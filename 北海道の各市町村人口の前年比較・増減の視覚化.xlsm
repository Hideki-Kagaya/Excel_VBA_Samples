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B50E9689-F62B-4946-B1DC-B23B74A28982}" xr6:coauthVersionLast="47" xr6:coauthVersionMax="47" xr10:uidLastSave="{00000000-0000-0000-0000-000000000000}"/>
  <bookViews>
    <workbookView xWindow="-120" yWindow="-120" windowWidth="19440" windowHeight="15000" xr2:uid="{D90765E7-44B8-42CC-9270-01EFBA7C0D62}"/>
  </bookViews>
  <sheets>
    <sheet name="HOME" sheetId="1" r:id="rId1"/>
    <sheet name="R3.1.1現在" sheetId="2" r:id="rId2"/>
    <sheet name="R2.1.1現在" sheetId="3" r:id="rId3"/>
  </sheets>
  <definedNames>
    <definedName name="_xlnm._FilterDatabase" localSheetId="2" hidden="1">'R2.1.1現在'!$A$2:$D$181</definedName>
    <definedName name="_xlnm._FilterDatabase" localSheetId="1" hidden="1">'R3.1.1現在'!$A$2:$E$182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2" l="1"/>
  <c r="D23" i="1"/>
  <c r="B182" i="3"/>
  <c r="C182" i="3"/>
  <c r="D27" i="3"/>
  <c r="D139" i="3"/>
  <c r="D9" i="3"/>
  <c r="D92" i="3"/>
  <c r="D55" i="3"/>
  <c r="D103" i="3"/>
  <c r="D53" i="3"/>
  <c r="D25" i="3"/>
  <c r="D82" i="3"/>
  <c r="D131" i="3"/>
  <c r="D129" i="3"/>
  <c r="D72" i="3"/>
  <c r="D168" i="3"/>
  <c r="D114" i="3"/>
  <c r="D36" i="3"/>
  <c r="D39" i="3"/>
  <c r="D14" i="3"/>
  <c r="D79" i="3"/>
  <c r="D161" i="3"/>
  <c r="D108" i="3"/>
  <c r="D13" i="3"/>
  <c r="D157" i="3"/>
  <c r="D70" i="3"/>
  <c r="D54" i="3"/>
  <c r="D48" i="3"/>
  <c r="D93" i="3"/>
  <c r="D38" i="3"/>
  <c r="D155" i="3"/>
  <c r="D89" i="3"/>
  <c r="D124" i="3"/>
  <c r="D78" i="3"/>
  <c r="D67" i="3"/>
  <c r="D121" i="3"/>
  <c r="D64" i="3"/>
  <c r="D49" i="3"/>
  <c r="D174" i="3"/>
  <c r="D5" i="3"/>
  <c r="D83" i="3"/>
  <c r="D178" i="3"/>
  <c r="D29" i="3"/>
  <c r="D30" i="3"/>
  <c r="D33" i="3"/>
  <c r="D31" i="3"/>
  <c r="D28" i="3"/>
  <c r="D133" i="3"/>
  <c r="D84" i="3"/>
  <c r="D90" i="3"/>
  <c r="D41" i="3"/>
  <c r="D85" i="3"/>
  <c r="D171" i="3"/>
  <c r="D91" i="3"/>
  <c r="D62" i="3"/>
  <c r="D127" i="3"/>
  <c r="D120" i="3"/>
  <c r="D11" i="3"/>
  <c r="D151" i="3"/>
  <c r="D95" i="3"/>
  <c r="D135" i="3"/>
  <c r="D43" i="3"/>
  <c r="D126" i="3"/>
  <c r="D10" i="3"/>
  <c r="D6" i="3"/>
  <c r="D132" i="3"/>
  <c r="D149" i="3"/>
  <c r="D77" i="3"/>
  <c r="D15" i="3"/>
  <c r="D172" i="3"/>
  <c r="D3" i="3"/>
  <c r="D76" i="3"/>
  <c r="D136" i="3"/>
  <c r="D156" i="3"/>
  <c r="D69" i="3"/>
  <c r="D148" i="3"/>
  <c r="D104" i="3"/>
  <c r="D165" i="3"/>
  <c r="D61" i="3"/>
  <c r="D60" i="3"/>
  <c r="D81" i="3"/>
  <c r="D137" i="3"/>
  <c r="D115" i="3"/>
  <c r="D47" i="3"/>
  <c r="D71" i="3"/>
  <c r="D44" i="3"/>
  <c r="D21" i="3"/>
  <c r="D20" i="3"/>
  <c r="D50" i="3"/>
  <c r="D4" i="3"/>
  <c r="D8" i="3"/>
  <c r="D56" i="3"/>
  <c r="D163" i="3"/>
  <c r="D147" i="3"/>
  <c r="D101" i="3"/>
  <c r="D122" i="3"/>
  <c r="D125" i="3"/>
  <c r="D138" i="3"/>
  <c r="D7" i="3"/>
  <c r="D74" i="3"/>
  <c r="D123" i="3"/>
  <c r="D140" i="3"/>
  <c r="D75" i="3"/>
  <c r="D113" i="3"/>
  <c r="D130" i="3"/>
  <c r="D94" i="3"/>
  <c r="D181" i="3"/>
  <c r="D40" i="3"/>
  <c r="D24" i="3"/>
  <c r="D141" i="3"/>
  <c r="D22" i="3"/>
  <c r="D110" i="3"/>
  <c r="D159" i="3"/>
  <c r="D179" i="3"/>
  <c r="D96" i="3"/>
  <c r="D68" i="3"/>
  <c r="D128" i="3"/>
  <c r="D12" i="3"/>
  <c r="D65" i="3"/>
  <c r="D19" i="3"/>
  <c r="D119" i="3"/>
  <c r="D106" i="3"/>
  <c r="D17" i="3"/>
  <c r="D146" i="3"/>
  <c r="D111" i="3"/>
  <c r="D58" i="3"/>
  <c r="D153" i="3"/>
  <c r="D180" i="3"/>
  <c r="D175" i="3"/>
  <c r="D176" i="3"/>
  <c r="D158" i="3"/>
  <c r="D154" i="3"/>
  <c r="D164" i="3"/>
  <c r="D166" i="3"/>
  <c r="D142" i="3"/>
  <c r="D116" i="3"/>
  <c r="D63" i="3"/>
  <c r="D87" i="3"/>
  <c r="D66" i="3"/>
  <c r="D37" i="3"/>
  <c r="D107" i="3"/>
  <c r="D52" i="3"/>
  <c r="D18" i="3"/>
  <c r="D167" i="3"/>
  <c r="D102" i="3"/>
  <c r="D32" i="3"/>
  <c r="D88" i="3"/>
  <c r="D169" i="3"/>
  <c r="D99" i="3"/>
  <c r="D98" i="3"/>
  <c r="D23" i="3"/>
  <c r="D57" i="3"/>
  <c r="D73" i="3"/>
  <c r="D59" i="3"/>
  <c r="D80" i="3"/>
  <c r="D86" i="3"/>
  <c r="D26" i="3"/>
  <c r="D109" i="3"/>
  <c r="D46" i="3"/>
  <c r="D100" i="3"/>
  <c r="D45" i="3"/>
  <c r="D162" i="3"/>
  <c r="D105" i="3"/>
  <c r="D152" i="3"/>
  <c r="D160" i="3"/>
  <c r="D97" i="3"/>
  <c r="D177" i="3"/>
  <c r="D16" i="3"/>
  <c r="D34" i="3"/>
  <c r="D35" i="3"/>
  <c r="D42" i="3"/>
  <c r="D145" i="3"/>
  <c r="D143" i="3"/>
  <c r="D118" i="3"/>
  <c r="D117" i="3"/>
  <c r="D134" i="3"/>
  <c r="D51" i="3"/>
  <c r="D150" i="3"/>
  <c r="D112" i="3"/>
  <c r="D144" i="3"/>
  <c r="D173" i="3"/>
  <c r="D170" i="3"/>
  <c r="B182" i="2"/>
  <c r="C182" i="2"/>
  <c r="D170" i="2"/>
  <c r="D27" i="2"/>
  <c r="E27" i="2" s="1"/>
  <c r="D139" i="2"/>
  <c r="E139" i="2" s="1"/>
  <c r="D9" i="2"/>
  <c r="D92" i="2"/>
  <c r="D55" i="2"/>
  <c r="E55" i="2" s="1"/>
  <c r="D103" i="2"/>
  <c r="E103" i="2" s="1"/>
  <c r="D53" i="2"/>
  <c r="E53" i="2" s="1"/>
  <c r="D25" i="2"/>
  <c r="E25" i="2" s="1"/>
  <c r="D82" i="2"/>
  <c r="E82" i="2" s="1"/>
  <c r="D131" i="2"/>
  <c r="E131" i="2" s="1"/>
  <c r="D129" i="2"/>
  <c r="D72" i="2"/>
  <c r="D168" i="2"/>
  <c r="E168" i="2" s="1"/>
  <c r="D114" i="2"/>
  <c r="E114" i="2" s="1"/>
  <c r="D36" i="2"/>
  <c r="D39" i="2"/>
  <c r="E39" i="2" s="1"/>
  <c r="D14" i="2"/>
  <c r="E14" i="2" s="1"/>
  <c r="D79" i="2"/>
  <c r="E79" i="2" s="1"/>
  <c r="D161" i="2"/>
  <c r="D108" i="2"/>
  <c r="D13" i="2"/>
  <c r="E13" i="2" s="1"/>
  <c r="D157" i="2"/>
  <c r="E157" i="2" s="1"/>
  <c r="D70" i="2"/>
  <c r="E70" i="2" s="1"/>
  <c r="D54" i="2"/>
  <c r="E54" i="2" s="1"/>
  <c r="D48" i="2"/>
  <c r="E48" i="2" s="1"/>
  <c r="D93" i="2"/>
  <c r="E93" i="2" s="1"/>
  <c r="D38" i="2"/>
  <c r="D155" i="2"/>
  <c r="D89" i="2"/>
  <c r="E89" i="2" s="1"/>
  <c r="D124" i="2"/>
  <c r="D78" i="2"/>
  <c r="E78" i="2" s="1"/>
  <c r="D67" i="2"/>
  <c r="E67" i="2" s="1"/>
  <c r="D121" i="2"/>
  <c r="E121" i="2" s="1"/>
  <c r="D64" i="2"/>
  <c r="E64" i="2" s="1"/>
  <c r="D49" i="2"/>
  <c r="D174" i="2"/>
  <c r="D5" i="2"/>
  <c r="E5" i="2" s="1"/>
  <c r="D83" i="2"/>
  <c r="E83" i="2" s="1"/>
  <c r="D178" i="2"/>
  <c r="E178" i="2" s="1"/>
  <c r="D29" i="2"/>
  <c r="E29" i="2" s="1"/>
  <c r="D30" i="2"/>
  <c r="E30" i="2" s="1"/>
  <c r="D33" i="2"/>
  <c r="E33" i="2" s="1"/>
  <c r="D31" i="2"/>
  <c r="D28" i="2"/>
  <c r="D133" i="2"/>
  <c r="E133" i="2" s="1"/>
  <c r="D84" i="2"/>
  <c r="E84" i="2" s="1"/>
  <c r="D90" i="2"/>
  <c r="E90" i="2" s="1"/>
  <c r="D41" i="2"/>
  <c r="D85" i="2"/>
  <c r="E85" i="2" s="1"/>
  <c r="D171" i="2"/>
  <c r="E171" i="2" s="1"/>
  <c r="D91" i="2"/>
  <c r="D62" i="2"/>
  <c r="D127" i="2"/>
  <c r="E127" i="2" s="1"/>
  <c r="D120" i="2"/>
  <c r="E120" i="2" s="1"/>
  <c r="D11" i="2"/>
  <c r="E11" i="2" s="1"/>
  <c r="D151" i="2"/>
  <c r="D95" i="2"/>
  <c r="E95" i="2" s="1"/>
  <c r="D135" i="2"/>
  <c r="E135" i="2" s="1"/>
  <c r="D43" i="2"/>
  <c r="D126" i="2"/>
  <c r="D10" i="2"/>
  <c r="E10" i="2" s="1"/>
  <c r="D6" i="2"/>
  <c r="E6" i="2" s="1"/>
  <c r="D132" i="2"/>
  <c r="D149" i="2"/>
  <c r="D77" i="2"/>
  <c r="E77" i="2" s="1"/>
  <c r="D15" i="2"/>
  <c r="E15" i="2" s="1"/>
  <c r="D172" i="2"/>
  <c r="D3" i="2"/>
  <c r="D76" i="2"/>
  <c r="E76" i="2" s="1"/>
  <c r="D136" i="2"/>
  <c r="E136" i="2" s="1"/>
  <c r="D156" i="2"/>
  <c r="E156" i="2" s="1"/>
  <c r="D69" i="2"/>
  <c r="D148" i="2"/>
  <c r="D104" i="2"/>
  <c r="E104" i="2" s="1"/>
  <c r="D165" i="2"/>
  <c r="D61" i="2"/>
  <c r="D60" i="2"/>
  <c r="E60" i="2" s="1"/>
  <c r="D81" i="2"/>
  <c r="E81" i="2" s="1"/>
  <c r="D137" i="2"/>
  <c r="E137" i="2" s="1"/>
  <c r="D115" i="2"/>
  <c r="D47" i="2"/>
  <c r="E47" i="2" s="1"/>
  <c r="D71" i="2"/>
  <c r="E71" i="2" s="1"/>
  <c r="D44" i="2"/>
  <c r="D21" i="2"/>
  <c r="D20" i="2"/>
  <c r="E20" i="2" s="1"/>
  <c r="D50" i="2"/>
  <c r="E50" i="2" s="1"/>
  <c r="D4" i="2"/>
  <c r="D8" i="2"/>
  <c r="D56" i="2"/>
  <c r="E56" i="2" s="1"/>
  <c r="D163" i="2"/>
  <c r="E163" i="2" s="1"/>
  <c r="D147" i="2"/>
  <c r="D101" i="2"/>
  <c r="D122" i="2"/>
  <c r="E122" i="2" s="1"/>
  <c r="D125" i="2"/>
  <c r="E125" i="2" s="1"/>
  <c r="D138" i="2"/>
  <c r="E138" i="2" s="1"/>
  <c r="D7" i="2"/>
  <c r="D74" i="2"/>
  <c r="E74" i="2" s="1"/>
  <c r="D123" i="2"/>
  <c r="E123" i="2" s="1"/>
  <c r="D140" i="2"/>
  <c r="D75" i="2"/>
  <c r="D113" i="2"/>
  <c r="E113" i="2" s="1"/>
  <c r="D130" i="2"/>
  <c r="E130" i="2" s="1"/>
  <c r="D94" i="2"/>
  <c r="E94" i="2" s="1"/>
  <c r="D181" i="2"/>
  <c r="E181" i="2" s="1"/>
  <c r="D40" i="2"/>
  <c r="E40" i="2" s="1"/>
  <c r="D24" i="2"/>
  <c r="E24" i="2" s="1"/>
  <c r="D141" i="2"/>
  <c r="D22" i="2"/>
  <c r="D110" i="2"/>
  <c r="E110" i="2" s="1"/>
  <c r="D159" i="2"/>
  <c r="E159" i="2" s="1"/>
  <c r="D179" i="2"/>
  <c r="E179" i="2" s="1"/>
  <c r="D96" i="2"/>
  <c r="E96" i="2" s="1"/>
  <c r="D68" i="2"/>
  <c r="E68" i="2" s="1"/>
  <c r="D128" i="2"/>
  <c r="E128" i="2" s="1"/>
  <c r="D12" i="2"/>
  <c r="D65" i="2"/>
  <c r="D19" i="2"/>
  <c r="E19" i="2" s="1"/>
  <c r="D119" i="2"/>
  <c r="E119" i="2" s="1"/>
  <c r="D106" i="2"/>
  <c r="E106" i="2" s="1"/>
  <c r="D17" i="2"/>
  <c r="E17" i="2" s="1"/>
  <c r="D146" i="2"/>
  <c r="E146" i="2" s="1"/>
  <c r="D111" i="2"/>
  <c r="E111" i="2" s="1"/>
  <c r="D58" i="2"/>
  <c r="D153" i="2"/>
  <c r="D180" i="2"/>
  <c r="E180" i="2" s="1"/>
  <c r="D175" i="2"/>
  <c r="E175" i="2" s="1"/>
  <c r="D176" i="2"/>
  <c r="E176" i="2" s="1"/>
  <c r="D158" i="2"/>
  <c r="E158" i="2" s="1"/>
  <c r="D154" i="2"/>
  <c r="E154" i="2" s="1"/>
  <c r="D164" i="2"/>
  <c r="E164" i="2" s="1"/>
  <c r="D166" i="2"/>
  <c r="D142" i="2"/>
  <c r="D116" i="2"/>
  <c r="E116" i="2" s="1"/>
  <c r="D63" i="2"/>
  <c r="E63" i="2" s="1"/>
  <c r="D87" i="2"/>
  <c r="E87" i="2" s="1"/>
  <c r="D66" i="2"/>
  <c r="E66" i="2" s="1"/>
  <c r="D37" i="2"/>
  <c r="E37" i="2" s="1"/>
  <c r="D107" i="2"/>
  <c r="E107" i="2" s="1"/>
  <c r="D52" i="2"/>
  <c r="D18" i="2"/>
  <c r="D167" i="2"/>
  <c r="E167" i="2" s="1"/>
  <c r="D102" i="2"/>
  <c r="E102" i="2" s="1"/>
  <c r="D32" i="2"/>
  <c r="E32" i="2" s="1"/>
  <c r="D88" i="2"/>
  <c r="E88" i="2" s="1"/>
  <c r="D169" i="2"/>
  <c r="E169" i="2" s="1"/>
  <c r="D99" i="2"/>
  <c r="E99" i="2" s="1"/>
  <c r="D98" i="2"/>
  <c r="D23" i="2"/>
  <c r="D57" i="2"/>
  <c r="E57" i="2" s="1"/>
  <c r="D73" i="2"/>
  <c r="E73" i="2" s="1"/>
  <c r="D59" i="2"/>
  <c r="E59" i="2" s="1"/>
  <c r="D80" i="2"/>
  <c r="E80" i="2" s="1"/>
  <c r="D86" i="2"/>
  <c r="E86" i="2" s="1"/>
  <c r="D26" i="2"/>
  <c r="E26" i="2" s="1"/>
  <c r="D109" i="2"/>
  <c r="D46" i="2"/>
  <c r="D100" i="2"/>
  <c r="E100" i="2" s="1"/>
  <c r="D45" i="2"/>
  <c r="E45" i="2" s="1"/>
  <c r="D162" i="2"/>
  <c r="E162" i="2" s="1"/>
  <c r="D105" i="2"/>
  <c r="E105" i="2" s="1"/>
  <c r="D152" i="2"/>
  <c r="E152" i="2" s="1"/>
  <c r="D160" i="2"/>
  <c r="E160" i="2" s="1"/>
  <c r="D97" i="2"/>
  <c r="D177" i="2"/>
  <c r="D16" i="2"/>
  <c r="E16" i="2" s="1"/>
  <c r="D34" i="2"/>
  <c r="E34" i="2" s="1"/>
  <c r="D35" i="2"/>
  <c r="E35" i="2" s="1"/>
  <c r="D42" i="2"/>
  <c r="E42" i="2" s="1"/>
  <c r="D145" i="2"/>
  <c r="E145" i="2" s="1"/>
  <c r="D143" i="2"/>
  <c r="E143" i="2" s="1"/>
  <c r="D118" i="2"/>
  <c r="D117" i="2"/>
  <c r="D134" i="2"/>
  <c r="E134" i="2" s="1"/>
  <c r="D51" i="2"/>
  <c r="E51" i="2" s="1"/>
  <c r="D150" i="2"/>
  <c r="E150" i="2" s="1"/>
  <c r="D112" i="2"/>
  <c r="E112" i="2" s="1"/>
  <c r="D144" i="2"/>
  <c r="E144" i="2" s="1"/>
  <c r="D173" i="2"/>
  <c r="E173" i="2" s="1"/>
  <c r="E148" i="2" l="1"/>
  <c r="E4" i="2"/>
  <c r="E132" i="2"/>
  <c r="E36" i="2"/>
  <c r="E124" i="2"/>
  <c r="E28" i="2"/>
  <c r="E108" i="2"/>
  <c r="E92" i="2"/>
  <c r="E52" i="2"/>
  <c r="E12" i="2"/>
  <c r="E140" i="2"/>
  <c r="E44" i="2"/>
  <c r="E172" i="2"/>
  <c r="E117" i="2"/>
  <c r="E177" i="2"/>
  <c r="E46" i="2"/>
  <c r="E23" i="2"/>
  <c r="E18" i="2"/>
  <c r="E142" i="2"/>
  <c r="E153" i="2"/>
  <c r="E65" i="2"/>
  <c r="E22" i="2"/>
  <c r="E75" i="2"/>
  <c r="E101" i="2"/>
  <c r="E21" i="2"/>
  <c r="E61" i="2"/>
  <c r="E3" i="2"/>
  <c r="E126" i="2"/>
  <c r="E62" i="2"/>
  <c r="E174" i="2"/>
  <c r="E155" i="2"/>
  <c r="E72" i="2"/>
  <c r="E118" i="2"/>
  <c r="E97" i="2"/>
  <c r="E109" i="2"/>
  <c r="E98" i="2"/>
  <c r="E166" i="2"/>
  <c r="E58" i="2"/>
  <c r="E141" i="2"/>
  <c r="E147" i="2"/>
  <c r="E165" i="2"/>
  <c r="E43" i="2"/>
  <c r="E91" i="2"/>
  <c r="E31" i="2"/>
  <c r="E49" i="2"/>
  <c r="E38" i="2"/>
  <c r="E161" i="2"/>
  <c r="E129" i="2"/>
  <c r="E9" i="2"/>
  <c r="E7" i="2"/>
  <c r="E115" i="2"/>
  <c r="E69" i="2"/>
  <c r="E149" i="2"/>
  <c r="E151" i="2"/>
  <c r="E41" i="2"/>
  <c r="E170" i="2"/>
  <c r="D182" i="3"/>
  <c r="D182" i="2"/>
  <c r="E182" i="2" l="1"/>
</calcChain>
</file>

<file path=xl/sharedStrings.xml><?xml version="1.0" encoding="utf-8"?>
<sst xmlns="http://schemas.openxmlformats.org/spreadsheetml/2006/main" count="391" uniqueCount="207">
  <si>
    <t>市町村名</t>
    <rPh sb="0" eb="4">
      <t>シチョウソンメイ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</si>
  <si>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</si>
  <si>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</si>
  <si>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合計</t>
    <rPh sb="0" eb="2">
      <t>ゴウケイ</t>
    </rPh>
    <phoneticPr fontId="2"/>
  </si>
  <si>
    <t>岩見沢市</t>
  </si>
  <si>
    <t>美唄市</t>
  </si>
  <si>
    <t>芦別市</t>
  </si>
  <si>
    <t>赤平市</t>
  </si>
  <si>
    <t>三笠市</t>
  </si>
  <si>
    <t>滝川市</t>
  </si>
  <si>
    <t>砂川市</t>
  </si>
  <si>
    <t>歌志内市</t>
  </si>
  <si>
    <t>深川市</t>
  </si>
  <si>
    <t>夕張市</t>
  </si>
  <si>
    <t>南幌町</t>
  </si>
  <si>
    <t>奈井江町</t>
  </si>
  <si>
    <t>上砂川町</t>
  </si>
  <si>
    <t>由仁町</t>
  </si>
  <si>
    <t>長沼町</t>
  </si>
  <si>
    <t>栗山町</t>
  </si>
  <si>
    <t>月形町</t>
  </si>
  <si>
    <t>浦臼町</t>
  </si>
  <si>
    <t>新十津川町</t>
  </si>
  <si>
    <t>妹背牛町</t>
  </si>
  <si>
    <t>秩父別町</t>
  </si>
  <si>
    <t>雨竜町</t>
  </si>
  <si>
    <t>北竜町</t>
  </si>
  <si>
    <t>沼田町</t>
  </si>
  <si>
    <t>札幌市</t>
  </si>
  <si>
    <t>江別市</t>
  </si>
  <si>
    <t>千歳市</t>
  </si>
  <si>
    <t>恵庭市</t>
  </si>
  <si>
    <t>北広島市</t>
  </si>
  <si>
    <t>石狩市</t>
  </si>
  <si>
    <t>当別町</t>
  </si>
  <si>
    <t>新篠津村</t>
  </si>
  <si>
    <t>小樽市</t>
  </si>
  <si>
    <t>島牧村</t>
  </si>
  <si>
    <t>寿都町</t>
  </si>
  <si>
    <t>黒松内町</t>
  </si>
  <si>
    <t>蘭越町</t>
  </si>
  <si>
    <t>ニセコ町</t>
  </si>
  <si>
    <t>真狩村</t>
  </si>
  <si>
    <t>留寿都村</t>
  </si>
  <si>
    <t>喜茂別町</t>
  </si>
  <si>
    <t>京極町</t>
  </si>
  <si>
    <t>倶知安町</t>
  </si>
  <si>
    <t>共和町</t>
  </si>
  <si>
    <t>岩内町</t>
  </si>
  <si>
    <t>泊村</t>
  </si>
  <si>
    <t>神恵内村</t>
  </si>
  <si>
    <t>積丹町</t>
  </si>
  <si>
    <t>古平町</t>
  </si>
  <si>
    <t>仁木町</t>
  </si>
  <si>
    <t>余市町</t>
  </si>
  <si>
    <t>赤井川村</t>
  </si>
  <si>
    <t>室蘭市</t>
  </si>
  <si>
    <t>苫小牧市</t>
  </si>
  <si>
    <t>登別市</t>
  </si>
  <si>
    <t>伊達市</t>
  </si>
  <si>
    <t>豊浦町</t>
  </si>
  <si>
    <t>壮瞥町</t>
  </si>
  <si>
    <t>白老町</t>
  </si>
  <si>
    <t>厚真町</t>
  </si>
  <si>
    <t>洞爺湖町</t>
  </si>
  <si>
    <t>安平町</t>
  </si>
  <si>
    <t>むかわ町</t>
  </si>
  <si>
    <t>日高町</t>
  </si>
  <si>
    <t>平取町</t>
  </si>
  <si>
    <t>新冠町</t>
  </si>
  <si>
    <t>浦河町</t>
  </si>
  <si>
    <t>様似町</t>
  </si>
  <si>
    <t>えりも町</t>
  </si>
  <si>
    <t>新ひだか町</t>
  </si>
  <si>
    <t>函館市</t>
  </si>
  <si>
    <t>北斗市</t>
  </si>
  <si>
    <t>松前町</t>
  </si>
  <si>
    <t>福島町</t>
  </si>
  <si>
    <t>知内町</t>
  </si>
  <si>
    <t>木古内町</t>
  </si>
  <si>
    <t>七飯町</t>
  </si>
  <si>
    <t>鹿部町</t>
  </si>
  <si>
    <t>森町</t>
  </si>
  <si>
    <t>八雲町</t>
  </si>
  <si>
    <t>長万部町</t>
  </si>
  <si>
    <t>江差町</t>
  </si>
  <si>
    <t>上ノ国町</t>
  </si>
  <si>
    <t>厚沢部町</t>
  </si>
  <si>
    <t>乙部町</t>
  </si>
  <si>
    <t>奥尻町</t>
  </si>
  <si>
    <t>今金町</t>
  </si>
  <si>
    <t>せたな町</t>
  </si>
  <si>
    <t>旭川市</t>
  </si>
  <si>
    <t>士別市</t>
  </si>
  <si>
    <t>名寄市</t>
  </si>
  <si>
    <t>富良野市</t>
  </si>
  <si>
    <t>鷹栖町</t>
  </si>
  <si>
    <t>東神楽町</t>
  </si>
  <si>
    <t>当麻町</t>
  </si>
  <si>
    <t>比布町</t>
  </si>
  <si>
    <t>愛別町</t>
  </si>
  <si>
    <t>上川町</t>
  </si>
  <si>
    <t>東川町</t>
  </si>
  <si>
    <t>美瑛町</t>
  </si>
  <si>
    <t>上富良野町</t>
  </si>
  <si>
    <t>中富良野町</t>
  </si>
  <si>
    <t>南富良野町</t>
  </si>
  <si>
    <t>占冠村</t>
  </si>
  <si>
    <t>和寒町</t>
  </si>
  <si>
    <t>剣淵町</t>
  </si>
  <si>
    <t>下川町</t>
  </si>
  <si>
    <t>美深町</t>
  </si>
  <si>
    <t>音威子府村</t>
  </si>
  <si>
    <t>中川町</t>
  </si>
  <si>
    <t>幌加内町</t>
  </si>
  <si>
    <t>留萌市</t>
  </si>
  <si>
    <t>増毛町</t>
  </si>
  <si>
    <t>小平町</t>
  </si>
  <si>
    <t>苫前町</t>
  </si>
  <si>
    <t>羽幌町</t>
  </si>
  <si>
    <t>初山別村</t>
  </si>
  <si>
    <t>遠別町</t>
  </si>
  <si>
    <t>天塩町</t>
  </si>
  <si>
    <t>稚内市</t>
  </si>
  <si>
    <t>猿払村</t>
  </si>
  <si>
    <t>浜頓別町</t>
  </si>
  <si>
    <t>中頓別町</t>
  </si>
  <si>
    <t>枝幸町</t>
  </si>
  <si>
    <t>豊富町</t>
  </si>
  <si>
    <t>礼文町</t>
  </si>
  <si>
    <t>利尻町</t>
  </si>
  <si>
    <t>利尻富士町</t>
  </si>
  <si>
    <t>幌延町</t>
  </si>
  <si>
    <t>北見市</t>
  </si>
  <si>
    <t>網走市</t>
  </si>
  <si>
    <t>紋別市</t>
  </si>
  <si>
    <t>美幌町</t>
  </si>
  <si>
    <t>津別町</t>
  </si>
  <si>
    <t>斜里町</t>
  </si>
  <si>
    <t>清里町</t>
  </si>
  <si>
    <t>小清水町</t>
  </si>
  <si>
    <t>訓子府町</t>
  </si>
  <si>
    <t>置戸町</t>
  </si>
  <si>
    <t>佐呂間町</t>
  </si>
  <si>
    <t>遠軽町</t>
  </si>
  <si>
    <t>湧別町</t>
  </si>
  <si>
    <t>滝上町</t>
  </si>
  <si>
    <t>興部町</t>
  </si>
  <si>
    <t>西興部村</t>
  </si>
  <si>
    <t>雄武町</t>
  </si>
  <si>
    <t>大空町</t>
  </si>
  <si>
    <t>帯広市</t>
  </si>
  <si>
    <t>音更町</t>
  </si>
  <si>
    <t>士幌町</t>
  </si>
  <si>
    <t>上士幌町</t>
  </si>
  <si>
    <t>鹿追町</t>
  </si>
  <si>
    <t>新得町</t>
  </si>
  <si>
    <t>清水町</t>
  </si>
  <si>
    <t>芽室町</t>
  </si>
  <si>
    <t>中札内村</t>
  </si>
  <si>
    <t>更別村</t>
  </si>
  <si>
    <t>大樹町</t>
  </si>
  <si>
    <t>広尾町</t>
  </si>
  <si>
    <t>幕別町</t>
  </si>
  <si>
    <t>池田町</t>
  </si>
  <si>
    <t>豊頃町</t>
  </si>
  <si>
    <t>本別町</t>
  </si>
  <si>
    <t>足寄町</t>
  </si>
  <si>
    <t>陸別町</t>
  </si>
  <si>
    <t>浦幌町</t>
  </si>
  <si>
    <t>釧路市</t>
  </si>
  <si>
    <t>釧路町</t>
  </si>
  <si>
    <t>厚岸町</t>
  </si>
  <si>
    <t>浜中町</t>
  </si>
  <si>
    <t>標茶町</t>
  </si>
  <si>
    <t>弟子屈町</t>
  </si>
  <si>
    <t>鶴居村</t>
  </si>
  <si>
    <t>白糠町</t>
  </si>
  <si>
    <t>根室市</t>
  </si>
  <si>
    <t>別海町</t>
  </si>
  <si>
    <t>中標津町</t>
  </si>
  <si>
    <t>標津町</t>
  </si>
  <si>
    <t>羅臼町</t>
  </si>
  <si>
    <t>北海道の住民基本台帳人口（令和3年1月1日現在）</t>
    <rPh sb="0" eb="3">
      <t>ホッカイドウ</t>
    </rPh>
    <rPh sb="13" eb="15">
      <t>レイワ</t>
    </rPh>
    <rPh sb="16" eb="17">
      <t>ネン</t>
    </rPh>
    <rPh sb="18" eb="19">
      <t>ガツ</t>
    </rPh>
    <rPh sb="20" eb="21">
      <t>ニチ</t>
    </rPh>
    <rPh sb="21" eb="23">
      <t>ゲンザイ</t>
    </rPh>
    <phoneticPr fontId="2"/>
  </si>
  <si>
    <t>札幌市</t>
    <phoneticPr fontId="2"/>
  </si>
  <si>
    <t>北海道の住民基本台帳人口（令和2年1月1日現在）</t>
    <rPh sb="0" eb="3">
      <t>ホッカイドウ</t>
    </rPh>
    <rPh sb="13" eb="15">
      <t>レイワ</t>
    </rPh>
    <rPh sb="16" eb="17">
      <t>ネン</t>
    </rPh>
    <rPh sb="18" eb="19">
      <t>ガツ</t>
    </rPh>
    <rPh sb="20" eb="21">
      <t>ニチ</t>
    </rPh>
    <rPh sb="21" eb="23">
      <t>ゲンザイ</t>
    </rPh>
    <phoneticPr fontId="2"/>
  </si>
  <si>
    <t>以下の通り書式設定をします。</t>
    <rPh sb="0" eb="2">
      <t>イカ</t>
    </rPh>
    <rPh sb="3" eb="4">
      <t>トオ</t>
    </rPh>
    <rPh sb="5" eb="9">
      <t>ショシキセッテイ</t>
    </rPh>
    <phoneticPr fontId="2"/>
  </si>
  <si>
    <t>令和3年と令和2年の北海道の各市町村人口を比較し、</t>
    <rPh sb="0" eb="2">
      <t>レイワ</t>
    </rPh>
    <rPh sb="3" eb="4">
      <t>ネン</t>
    </rPh>
    <rPh sb="5" eb="7">
      <t>レイワ</t>
    </rPh>
    <rPh sb="8" eb="9">
      <t>ネン</t>
    </rPh>
    <rPh sb="10" eb="13">
      <t>ホッカイドウ</t>
    </rPh>
    <rPh sb="14" eb="18">
      <t>カクシチョウソン</t>
    </rPh>
    <rPh sb="18" eb="20">
      <t>ジンコウ</t>
    </rPh>
    <rPh sb="21" eb="23">
      <t>ヒカク</t>
    </rPh>
    <phoneticPr fontId="2"/>
  </si>
  <si>
    <t>文字色を赤に変更・数値の後ろに「(▼)」を付与</t>
    <rPh sb="0" eb="2">
      <t>モジ</t>
    </rPh>
    <rPh sb="2" eb="3">
      <t>イロ</t>
    </rPh>
    <rPh sb="4" eb="5">
      <t>アカ</t>
    </rPh>
    <rPh sb="6" eb="8">
      <t>ヘンコウ</t>
    </rPh>
    <rPh sb="9" eb="11">
      <t>スウチ</t>
    </rPh>
    <rPh sb="12" eb="13">
      <t>ウシ</t>
    </rPh>
    <rPh sb="21" eb="23">
      <t>フヨ</t>
    </rPh>
    <phoneticPr fontId="2"/>
  </si>
  <si>
    <t>令和3年の人口を記載した「R3.1.1現在」シートに対して</t>
    <rPh sb="0" eb="2">
      <t>レイワ</t>
    </rPh>
    <rPh sb="3" eb="4">
      <t>ネン</t>
    </rPh>
    <rPh sb="5" eb="7">
      <t>ジンコウ</t>
    </rPh>
    <rPh sb="8" eb="10">
      <t>キサイ</t>
    </rPh>
    <rPh sb="19" eb="21">
      <t>ゲンザイ</t>
    </rPh>
    <rPh sb="26" eb="27">
      <t>タイ</t>
    </rPh>
    <phoneticPr fontId="2"/>
  </si>
  <si>
    <t>毎月の実績一覧表など、一定期間ごとに決められたフォーマットに</t>
    <rPh sb="0" eb="2">
      <t>マイツキ</t>
    </rPh>
    <rPh sb="3" eb="8">
      <t>ジッセキイチランヒョウ</t>
    </rPh>
    <rPh sb="18" eb="19">
      <t>キ</t>
    </rPh>
    <phoneticPr fontId="2"/>
  </si>
  <si>
    <t>文字色は黒のままでスタイルを太字に、背景色を黄色に変更</t>
    <rPh sb="0" eb="3">
      <t>モジショク</t>
    </rPh>
    <rPh sb="4" eb="5">
      <t>クロ</t>
    </rPh>
    <rPh sb="14" eb="16">
      <t>フトジ</t>
    </rPh>
    <rPh sb="18" eb="21">
      <t>ハイケイショク</t>
    </rPh>
    <rPh sb="22" eb="24">
      <t>キイロ</t>
    </rPh>
    <rPh sb="25" eb="27">
      <t>ヘンコウ</t>
    </rPh>
    <phoneticPr fontId="2"/>
  </si>
  <si>
    <t>各データを記録してExcelファイルとして保存する必要がある場合、</t>
    <rPh sb="0" eb="1">
      <t>カク</t>
    </rPh>
    <rPh sb="5" eb="7">
      <t>キロク</t>
    </rPh>
    <rPh sb="21" eb="23">
      <t>ホゾン</t>
    </rPh>
    <rPh sb="25" eb="27">
      <t>ヒツヨウ</t>
    </rPh>
    <rPh sb="30" eb="32">
      <t>バアイ</t>
    </rPh>
    <phoneticPr fontId="2"/>
  </si>
  <si>
    <t>データの増減などを視覚化するのにもVBAは役立ちます。</t>
    <rPh sb="4" eb="6">
      <t>ゾウゲン</t>
    </rPh>
    <rPh sb="9" eb="12">
      <t>シカクカ</t>
    </rPh>
    <rPh sb="21" eb="23">
      <t>ヤクダ</t>
    </rPh>
    <phoneticPr fontId="2"/>
  </si>
  <si>
    <t>前年比</t>
    <rPh sb="0" eb="3">
      <t>ゼンネンヒ</t>
    </rPh>
    <phoneticPr fontId="2"/>
  </si>
  <si>
    <t>増減なし</t>
    <rPh sb="0" eb="2">
      <t>ゾウゲン</t>
    </rPh>
    <phoneticPr fontId="2"/>
  </si>
  <si>
    <t>増減</t>
    <rPh sb="0" eb="2">
      <t>ゾウゲン</t>
    </rPh>
    <phoneticPr fontId="2"/>
  </si>
  <si>
    <t>直近のExcelファイルと前期のExcelファイルを比較して</t>
    <rPh sb="0" eb="2">
      <t>チョッキン</t>
    </rPh>
    <rPh sb="13" eb="15">
      <t>ゼンキ</t>
    </rPh>
    <rPh sb="26" eb="28">
      <t>ヒカク</t>
    </rPh>
    <phoneticPr fontId="2"/>
  </si>
  <si>
    <t>※北海道の各市区町村人口のデータは北海道庁Webサイトから</t>
    <rPh sb="1" eb="4">
      <t>ホッカイドウ</t>
    </rPh>
    <rPh sb="5" eb="10">
      <t>カクシクチョウソン</t>
    </rPh>
    <phoneticPr fontId="2"/>
  </si>
  <si>
    <t>引用しています。</t>
    <phoneticPr fontId="2"/>
  </si>
  <si>
    <t>「住民基本台帳人口・世帯数」のExcelファイルをダウンロードして</t>
    <phoneticPr fontId="2"/>
  </si>
  <si>
    <t>■令和3年の人口が令和2年より増加した場合：</t>
    <rPh sb="1" eb="3">
      <t>レイワ</t>
    </rPh>
    <rPh sb="4" eb="5">
      <t>ネン</t>
    </rPh>
    <rPh sb="6" eb="8">
      <t>ジンコウ</t>
    </rPh>
    <rPh sb="9" eb="11">
      <t>レイワ</t>
    </rPh>
    <rPh sb="12" eb="13">
      <t>ネン</t>
    </rPh>
    <rPh sb="15" eb="17">
      <t>ゾウカ</t>
    </rPh>
    <rPh sb="19" eb="21">
      <t>バアイ</t>
    </rPh>
    <phoneticPr fontId="2"/>
  </si>
  <si>
    <t>■令和3年の人口が令和2年より減少した場合：</t>
    <rPh sb="1" eb="3">
      <t>レイワ</t>
    </rPh>
    <rPh sb="4" eb="5">
      <t>ネン</t>
    </rPh>
    <rPh sb="6" eb="8">
      <t>ジンコウ</t>
    </rPh>
    <rPh sb="9" eb="11">
      <t>レイワ</t>
    </rPh>
    <rPh sb="12" eb="13">
      <t>ネン</t>
    </rPh>
    <rPh sb="15" eb="17">
      <t>ゲンショウ</t>
    </rPh>
    <rPh sb="19" eb="21">
      <t>バアイ</t>
    </rPh>
    <phoneticPr fontId="2"/>
  </si>
  <si>
    <t>■令和3年と令和2年で人口の増減がない場合：</t>
    <rPh sb="1" eb="3">
      <t>レイワ</t>
    </rPh>
    <rPh sb="4" eb="5">
      <t>ネン</t>
    </rPh>
    <rPh sb="6" eb="8">
      <t>レイワ</t>
    </rPh>
    <rPh sb="9" eb="10">
      <t>ネン</t>
    </rPh>
    <rPh sb="11" eb="13">
      <t>ジンコウ</t>
    </rPh>
    <rPh sb="14" eb="16">
      <t>ゾウゲン</t>
    </rPh>
    <rPh sb="19" eb="21">
      <t>バアイ</t>
    </rPh>
    <phoneticPr fontId="2"/>
  </si>
  <si>
    <t>文字色を青に変更・数値の後ろに「(▲)」を付与</t>
    <rPh sb="4" eb="5">
      <t>アオ</t>
    </rPh>
    <phoneticPr fontId="2"/>
  </si>
  <si>
    <t>増加(▲)</t>
    <rPh sb="0" eb="2">
      <t>ゾウカ</t>
    </rPh>
    <phoneticPr fontId="2"/>
  </si>
  <si>
    <t>減少(▼)</t>
    <rPh sb="0" eb="2">
      <t>ゲンショウ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</si>
</sst>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メイリオ"/>
      <family val="2"/>
      <charset val="128"/>
      <scheme val="minor"/>
    </font>
    <font>
      <sz val="11"/>
      <color rgb="FFFF000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</font>
    <font>
      <sz val="11"/>
      <color rgb="FF0070C0"/>
      <name val="メイリオ"/>
      <family val="2"/>
      <charset val="128"/>
      <scheme val="minor"/>
    </font>
    <font>
      <b/>
      <sz val="11"/>
      <color theme="0"/>
      <name val="メイリオ"/>
      <family val="3"/>
      <charset val="128"/>
      <scheme val="minor"/>
    </font>
    <font>
      <b/>
      <sz val="11"/>
      <color theme="1"/>
      <name val="メイリオ"/>
      <family val="3"/>
      <charset val="128"/>
      <scheme val="minor"/>
    </font>
    <font>
      <sz val="11"/>
      <color theme="1"/>
      <name val="メイリオ"/>
      <family val="3"/>
      <charset val="128"/>
      <scheme val="minor"/>
    </font>
    <font>
      <b/>
      <sz val="12"/>
      <color theme="1"/>
      <name val="メイリオ"/>
      <family val="3"/>
      <charset val="128"/>
      <scheme val="minor"/>
    </font>
    <font>
      <sz val="11"/>
      <color rgb="FF000000"/>
      <name val="メイリオ"/>
      <family val="3"/>
      <charset val="128"/>
      <scheme val="minor"/>
    </font>
    <font>
      <u/>
      <sz val="11"/>
      <color theme="10"/>
      <name val="メイリオ"/>
      <family val="2"/>
      <charset val="128"/>
      <scheme val="minor"/>
    </font>
    <font>
      <sz val="11"/>
      <color rgb="FF000000"/>
      <name val="メイリオ"/>
      <family val="3"/>
      <charset val="128"/>
    </font>
    <font>
      <b/>
      <sz val="11"/>
      <color rgb="FF000000"/>
      <name val="メイリオ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</borders>
  <cellStyleXfs count="4">
    <xf numFmtId="0" fontId="0" fillId="0" borderId="0">
      <alignment vertical="center"/>
    </xf>
    <xf numFmtId="1" fontId="3" fillId="0" borderId="0"/>
    <xf numFmtId="38" fontId="4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0" fontId="9" fillId="0" borderId="0" xfId="0" applyFont="1">
      <alignment vertical="center"/>
    </xf>
    <xf numFmtId="0" fontId="7" fillId="4" borderId="1" xfId="0" applyFont="1" applyFill="1" applyBorder="1">
      <alignment vertical="center"/>
    </xf>
    <xf numFmtId="3" fontId="7" fillId="4" borderId="1" xfId="0" applyNumberFormat="1" applyFont="1" applyFill="1" applyBorder="1">
      <alignment vertical="center"/>
    </xf>
    <xf numFmtId="0" fontId="6" fillId="5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8" fillId="3" borderId="2" xfId="0" applyFont="1" applyFill="1" applyBorder="1">
      <alignment vertical="center"/>
    </xf>
    <xf numFmtId="0" fontId="8" fillId="3" borderId="3" xfId="0" applyFont="1" applyFill="1" applyBorder="1">
      <alignment vertical="center"/>
    </xf>
    <xf numFmtId="3" fontId="8" fillId="3" borderId="3" xfId="0" applyNumberFormat="1" applyFont="1" applyFill="1" applyBorder="1">
      <alignment vertical="center"/>
    </xf>
    <xf numFmtId="3" fontId="8" fillId="3" borderId="2" xfId="0" applyNumberFormat="1" applyFont="1" applyFill="1" applyBorder="1">
      <alignment vertical="center"/>
    </xf>
    <xf numFmtId="0" fontId="1" fillId="0" borderId="0" xfId="0" applyFont="1">
      <alignment vertical="center"/>
    </xf>
    <xf numFmtId="0" fontId="7" fillId="6" borderId="0" xfId="0" applyFont="1" applyFill="1">
      <alignment vertical="center"/>
    </xf>
    <xf numFmtId="3" fontId="10" fillId="7" borderId="3" xfId="0" applyNumberFormat="1" applyFont="1" applyFill="1" applyBorder="1">
      <alignment vertical="center"/>
    </xf>
    <xf numFmtId="3" fontId="10" fillId="7" borderId="2" xfId="0" applyNumberFormat="1" applyFont="1" applyFill="1" applyBorder="1">
      <alignment vertical="center"/>
    </xf>
    <xf numFmtId="0" fontId="11" fillId="0" borderId="0" xfId="3">
      <alignment vertical="center"/>
    </xf>
    <xf numFmtId="0" fontId="6" fillId="2" borderId="0" xfId="0" applyFont="1" applyFill="1" applyAlignment="1">
      <alignment horizontal="centerContinuous" vertical="center"/>
    </xf>
    <xf numFmtId="0" fontId="0" fillId="2" borderId="0" xfId="0" applyFill="1" applyAlignment="1">
      <alignment horizontal="centerContinuous" vertical="center"/>
    </xf>
    <xf numFmtId="3" fontId="13" fillId="8" borderId="1" xfId="0" applyNumberFormat="1" applyFont="1" applyFill="1" applyBorder="1">
      <alignment vertical="center"/>
    </xf>
    <xf numFmtId="3" fontId="6" fillId="2" borderId="0" xfId="0" applyNumberFormat="1" applyFont="1" applyFill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3" borderId="5" xfId="0" applyFont="1" applyFill="1" applyBorder="1">
      <alignment vertical="center"/>
    </xf>
    <xf numFmtId="3" fontId="10" fillId="7" borderId="5" xfId="0" applyNumberFormat="1" applyFont="1" applyFill="1" applyBorder="1">
      <alignment vertical="center"/>
    </xf>
    <xf numFmtId="3" fontId="8" fillId="3" borderId="5" xfId="0" applyNumberFormat="1" applyFont="1" applyFill="1" applyBorder="1">
      <alignment vertical="center"/>
    </xf>
    <xf numFmtId="3" fontId="13" fillId="8" borderId="6" xfId="0" applyNumberFormat="1" applyFont="1" applyFill="1" applyBorder="1">
      <alignment vertical="center"/>
    </xf>
    <xf numFmtId="3" fontId="13" fillId="8" borderId="7" xfId="0" applyNumberFormat="1" applyFont="1" applyFill="1" applyBorder="1">
      <alignment vertical="center"/>
    </xf>
    <xf numFmtId="3" fontId="13" fillId="8" borderId="8" xfId="0" applyNumberFormat="1" applyFont="1" applyFill="1" applyBorder="1">
      <alignment vertical="center"/>
    </xf>
  </cellXfs>
  <cellStyles count="4">
    <cellStyle name="ハイパーリンク" xfId="3" builtinId="8"/>
    <cellStyle name="桁区切り 2" xfId="2" xr:uid="{F38779F4-C336-452F-824D-B44C81DBA117}"/>
    <cellStyle name="標準" xfId="0" builtinId="0"/>
    <cellStyle name="標準 2" xfId="1" xr:uid="{A74660D6-5007-4BE5-8C6C-6845FC880276}"/>
  </cellStyles>
  <dxfs count="0"/>
  <tableStyles count="0" defaultTableStyle="TableStyleMedium2" defaultPivotStyle="PivotStyleLight16"/>
  <colors>
    <mruColors>
      <color rgb="FFE0E0E0"/>
      <color rgb="FFE0FFF0"/>
      <color rgb="FFE0FFFA"/>
      <color rgb="FFE0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データの比較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書式のリセット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695F-1440-4A1E-8665-C4C0ED77A349}">
  <sheetPr codeName="Sheet1"/>
  <dimension ref="D2:D23"/>
  <sheetViews>
    <sheetView tabSelected="1" workbookViewId="0"/>
  </sheetViews>
  <sheetFormatPr defaultRowHeight="18.75" x14ac:dyDescent="0.45"/>
  <cols>
    <col min="1" max="1" width="4.44140625" customWidth="1"/>
    <col min="2" max="2" width="13.33203125" customWidth="1"/>
    <col min="3" max="3" width="4.44140625" customWidth="1"/>
    <col min="4" max="4" width="56.5546875" bestFit="1" customWidth="1"/>
  </cols>
  <sheetData>
    <row r="2" spans="4:4" x14ac:dyDescent="0.45">
      <c r="D2" t="s">
        <v>187</v>
      </c>
    </row>
    <row r="3" spans="4:4" x14ac:dyDescent="0.45">
      <c r="D3" t="s">
        <v>189</v>
      </c>
    </row>
    <row r="4" spans="4:4" x14ac:dyDescent="0.45">
      <c r="D4" t="s">
        <v>186</v>
      </c>
    </row>
    <row r="6" spans="4:4" x14ac:dyDescent="0.45">
      <c r="D6" t="s">
        <v>201</v>
      </c>
    </row>
    <row r="7" spans="4:4" x14ac:dyDescent="0.45">
      <c r="D7" s="1" t="s">
        <v>204</v>
      </c>
    </row>
    <row r="9" spans="4:4" x14ac:dyDescent="0.45">
      <c r="D9" t="s">
        <v>202</v>
      </c>
    </row>
    <row r="10" spans="4:4" x14ac:dyDescent="0.45">
      <c r="D10" s="12" t="s">
        <v>188</v>
      </c>
    </row>
    <row r="12" spans="4:4" x14ac:dyDescent="0.45">
      <c r="D12" t="s">
        <v>203</v>
      </c>
    </row>
    <row r="13" spans="4:4" x14ac:dyDescent="0.45">
      <c r="D13" s="13" t="s">
        <v>191</v>
      </c>
    </row>
    <row r="15" spans="4:4" x14ac:dyDescent="0.45">
      <c r="D15" t="s">
        <v>190</v>
      </c>
    </row>
    <row r="16" spans="4:4" x14ac:dyDescent="0.45">
      <c r="D16" t="s">
        <v>192</v>
      </c>
    </row>
    <row r="17" spans="4:4" x14ac:dyDescent="0.45">
      <c r="D17" t="s">
        <v>197</v>
      </c>
    </row>
    <row r="18" spans="4:4" x14ac:dyDescent="0.45">
      <c r="D18" t="s">
        <v>193</v>
      </c>
    </row>
    <row r="20" spans="4:4" x14ac:dyDescent="0.45">
      <c r="D20" t="s">
        <v>198</v>
      </c>
    </row>
    <row r="21" spans="4:4" x14ac:dyDescent="0.45">
      <c r="D21" t="s">
        <v>200</v>
      </c>
    </row>
    <row r="22" spans="4:4" x14ac:dyDescent="0.45">
      <c r="D22" t="s">
        <v>199</v>
      </c>
    </row>
    <row r="23" spans="4:4" x14ac:dyDescent="0.45">
      <c r="D23" s="16" t="str">
        <f>HYPERLINK("https://www.pref.hokkaido.lg.jp/ss/tuk/900brr/index2.html")</f>
        <v>https://www.pref.hokkaido.lg.jp/ss/tuk/900brr/index2.html</v>
      </c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の比較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書式を元に戻す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31825-8551-4E70-AE58-169C9F942F92}">
  <sheetPr codeName="Sheet2"/>
  <dimension ref="A1:I182"/>
  <sheetViews>
    <sheetView workbookViewId="0">
      <pane ySplit="2" topLeftCell="A3" activePane="bottomLeft" state="frozen"/>
      <selection pane="bottomLeft" activeCell="A3" sqref="A3"/>
    </sheetView>
  </sheetViews>
  <sheetFormatPr defaultRowHeight="18.75" x14ac:dyDescent="0.45"/>
  <cols>
    <col min="1" max="1" width="14" customWidth="1"/>
    <col min="2" max="4" width="14" bestFit="1" customWidth="1"/>
    <col min="5" max="5" width="14" customWidth="1"/>
    <col min="6" max="6" width="6.6640625" customWidth="1"/>
    <col min="7" max="7" width="8.21875" bestFit="1" customWidth="1"/>
    <col min="8" max="8" width="8.21875" customWidth="1"/>
    <col min="9" max="9" width="8.21875" bestFit="1" customWidth="1"/>
  </cols>
  <sheetData>
    <row r="1" spans="1:9" ht="19.5" x14ac:dyDescent="0.45">
      <c r="A1" s="3" t="s">
        <v>183</v>
      </c>
      <c r="B1" s="7"/>
      <c r="C1" s="7"/>
      <c r="D1" s="7"/>
      <c r="E1" s="7"/>
      <c r="G1" s="17" t="s">
        <v>194</v>
      </c>
      <c r="H1" s="18"/>
      <c r="I1" s="17"/>
    </row>
    <row r="2" spans="1:9" x14ac:dyDescent="0.45">
      <c r="A2" s="2" t="s">
        <v>0</v>
      </c>
      <c r="B2" s="20" t="s">
        <v>1</v>
      </c>
      <c r="C2" s="20" t="s">
        <v>2</v>
      </c>
      <c r="D2" s="20" t="s">
        <v>3</v>
      </c>
      <c r="E2" s="20" t="s">
        <v>196</v>
      </c>
      <c r="G2" s="21" t="s">
        <v>205</v>
      </c>
      <c r="H2" s="22" t="s">
        <v>206</v>
      </c>
      <c r="I2" s="23" t="s">
        <v>195</v>
      </c>
    </row>
    <row r="3" spans="1:9" x14ac:dyDescent="0.45">
      <c r="A3" s="8" t="s">
        <v>72</v>
      </c>
      <c r="B3" s="15">
        <v>2287</v>
      </c>
      <c r="C3" s="15">
        <v>2229</v>
      </c>
      <c r="D3" s="15">
        <f t="shared" ref="D3:D34" si="0">SUM(B3:C3)</f>
        <v>4516</v>
      </c>
      <c r="E3" s="28">
        <f>D3-'R2.1.1現在'!D3</f>
        <v>-63</v>
      </c>
    </row>
    <row r="4" spans="1:9" x14ac:dyDescent="0.45">
      <c r="A4" s="9" t="s">
        <v>91</v>
      </c>
      <c r="B4" s="14">
        <v>3558</v>
      </c>
      <c r="C4" s="14">
        <v>4005</v>
      </c>
      <c r="D4" s="14">
        <f t="shared" si="0"/>
        <v>7563</v>
      </c>
      <c r="E4" s="28">
        <f>D4-'R2.1.1現在'!D4</f>
        <v>-149</v>
      </c>
    </row>
    <row r="5" spans="1:9" x14ac:dyDescent="0.45">
      <c r="A5" s="9" t="s">
        <v>41</v>
      </c>
      <c r="B5" s="14">
        <v>2496</v>
      </c>
      <c r="C5" s="14">
        <v>2500</v>
      </c>
      <c r="D5" s="14">
        <f t="shared" si="0"/>
        <v>4996</v>
      </c>
      <c r="E5" s="28">
        <f>D5-'R2.1.1現在'!D5</f>
        <v>229</v>
      </c>
    </row>
    <row r="6" spans="1:9" x14ac:dyDescent="0.45">
      <c r="A6" s="9" t="s">
        <v>66</v>
      </c>
      <c r="B6" s="14">
        <v>3806</v>
      </c>
      <c r="C6" s="14">
        <v>3928</v>
      </c>
      <c r="D6" s="14">
        <f t="shared" si="0"/>
        <v>7734</v>
      </c>
      <c r="E6" s="28">
        <f>D6-'R2.1.1現在'!D6</f>
        <v>-40</v>
      </c>
    </row>
    <row r="7" spans="1:9" x14ac:dyDescent="0.45">
      <c r="A7" s="9" t="s">
        <v>100</v>
      </c>
      <c r="B7" s="14">
        <v>1257</v>
      </c>
      <c r="C7" s="14">
        <v>1424</v>
      </c>
      <c r="D7" s="14">
        <f t="shared" si="0"/>
        <v>2681</v>
      </c>
      <c r="E7" s="28">
        <f>D7-'R2.1.1現在'!D7</f>
        <v>-3</v>
      </c>
    </row>
    <row r="8" spans="1:9" x14ac:dyDescent="0.45">
      <c r="A8" s="9" t="s">
        <v>92</v>
      </c>
      <c r="B8" s="14">
        <v>153884</v>
      </c>
      <c r="C8" s="14">
        <v>177513</v>
      </c>
      <c r="D8" s="14">
        <f t="shared" si="0"/>
        <v>331397</v>
      </c>
      <c r="E8" s="28">
        <f>D8-'R2.1.1現在'!D8</f>
        <v>-1408</v>
      </c>
    </row>
    <row r="9" spans="1:9" x14ac:dyDescent="0.45">
      <c r="A9" s="9" t="s">
        <v>6</v>
      </c>
      <c r="B9" s="14">
        <v>5856</v>
      </c>
      <c r="C9" s="14">
        <v>6918</v>
      </c>
      <c r="D9" s="14">
        <f t="shared" si="0"/>
        <v>12774</v>
      </c>
      <c r="E9" s="28">
        <f>D9-'R2.1.1現在'!D9</f>
        <v>-394</v>
      </c>
    </row>
    <row r="10" spans="1:9" x14ac:dyDescent="0.45">
      <c r="A10" s="9" t="s">
        <v>65</v>
      </c>
      <c r="B10" s="14">
        <v>3743</v>
      </c>
      <c r="C10" s="14">
        <v>3823</v>
      </c>
      <c r="D10" s="14">
        <f t="shared" si="0"/>
        <v>7566</v>
      </c>
      <c r="E10" s="28">
        <f>D10-'R2.1.1現在'!D10</f>
        <v>-120</v>
      </c>
    </row>
    <row r="11" spans="1:9" x14ac:dyDescent="0.45">
      <c r="A11" s="9" t="s">
        <v>59</v>
      </c>
      <c r="B11" s="14">
        <v>15519</v>
      </c>
      <c r="C11" s="14">
        <v>17887</v>
      </c>
      <c r="D11" s="14">
        <f t="shared" si="0"/>
        <v>33406</v>
      </c>
      <c r="E11" s="28">
        <f>D11-'R2.1.1現在'!D11</f>
        <v>-264</v>
      </c>
    </row>
    <row r="12" spans="1:9" x14ac:dyDescent="0.45">
      <c r="A12" s="9" t="s">
        <v>119</v>
      </c>
      <c r="B12" s="14">
        <v>3199</v>
      </c>
      <c r="C12" s="14">
        <v>3462</v>
      </c>
      <c r="D12" s="14">
        <f t="shared" si="0"/>
        <v>6661</v>
      </c>
      <c r="E12" s="28">
        <f>D12-'R2.1.1現在'!D12</f>
        <v>-111</v>
      </c>
    </row>
    <row r="13" spans="1:9" x14ac:dyDescent="0.45">
      <c r="A13" s="9" t="s">
        <v>25</v>
      </c>
      <c r="B13" s="14">
        <v>1103</v>
      </c>
      <c r="C13" s="14">
        <v>1155</v>
      </c>
      <c r="D13" s="14">
        <f t="shared" si="0"/>
        <v>2258</v>
      </c>
      <c r="E13" s="28">
        <f>D13-'R2.1.1現在'!D13</f>
        <v>-59</v>
      </c>
    </row>
    <row r="14" spans="1:9" x14ac:dyDescent="0.45">
      <c r="A14" s="9" t="s">
        <v>21</v>
      </c>
      <c r="B14" s="14">
        <v>846</v>
      </c>
      <c r="C14" s="14">
        <v>903</v>
      </c>
      <c r="D14" s="14">
        <f t="shared" si="0"/>
        <v>1749</v>
      </c>
      <c r="E14" s="28">
        <f>D14-'R2.1.1現在'!D14</f>
        <v>-34</v>
      </c>
    </row>
    <row r="15" spans="1:9" x14ac:dyDescent="0.45">
      <c r="A15" s="9" t="s">
        <v>70</v>
      </c>
      <c r="B15" s="14">
        <v>5963</v>
      </c>
      <c r="C15" s="14">
        <v>6035</v>
      </c>
      <c r="D15" s="14">
        <f t="shared" si="0"/>
        <v>11998</v>
      </c>
      <c r="E15" s="28">
        <f>D15-'R2.1.1現在'!D15</f>
        <v>104</v>
      </c>
    </row>
    <row r="16" spans="1:9" x14ac:dyDescent="0.45">
      <c r="A16" s="9" t="s">
        <v>169</v>
      </c>
      <c r="B16" s="14">
        <v>2203</v>
      </c>
      <c r="C16" s="14">
        <v>2341</v>
      </c>
      <c r="D16" s="14">
        <f t="shared" si="0"/>
        <v>4544</v>
      </c>
      <c r="E16" s="28">
        <f>D16-'R2.1.1現在'!D16</f>
        <v>-44</v>
      </c>
    </row>
    <row r="17" spans="1:5" x14ac:dyDescent="0.45">
      <c r="A17" s="9" t="s">
        <v>124</v>
      </c>
      <c r="B17" s="14">
        <v>1331</v>
      </c>
      <c r="C17" s="14">
        <v>1391</v>
      </c>
      <c r="D17" s="14">
        <f t="shared" si="0"/>
        <v>2722</v>
      </c>
      <c r="E17" s="28">
        <f>D17-'R2.1.1現在'!D17</f>
        <v>112</v>
      </c>
    </row>
    <row r="18" spans="1:5" x14ac:dyDescent="0.45">
      <c r="A18" s="9" t="s">
        <v>144</v>
      </c>
      <c r="B18" s="14">
        <v>9431</v>
      </c>
      <c r="C18" s="14">
        <v>9927</v>
      </c>
      <c r="D18" s="14">
        <f t="shared" si="0"/>
        <v>19358</v>
      </c>
      <c r="E18" s="28">
        <f>D18-'R2.1.1現在'!D18</f>
        <v>-209</v>
      </c>
    </row>
    <row r="19" spans="1:5" x14ac:dyDescent="0.45">
      <c r="A19" s="9" t="s">
        <v>121</v>
      </c>
      <c r="B19" s="14">
        <v>1226</v>
      </c>
      <c r="C19" s="14">
        <v>1317</v>
      </c>
      <c r="D19" s="14">
        <f t="shared" si="0"/>
        <v>2543</v>
      </c>
      <c r="E19" s="28">
        <f>D19-'R2.1.1現在'!D19</f>
        <v>-32</v>
      </c>
    </row>
    <row r="20" spans="1:5" x14ac:dyDescent="0.45">
      <c r="A20" s="9" t="s">
        <v>89</v>
      </c>
      <c r="B20" s="14">
        <v>1339</v>
      </c>
      <c r="C20" s="14">
        <v>1159</v>
      </c>
      <c r="D20" s="14">
        <f t="shared" si="0"/>
        <v>2498</v>
      </c>
      <c r="E20" s="28">
        <f>D20-'R2.1.1現在'!D20</f>
        <v>-82</v>
      </c>
    </row>
    <row r="21" spans="1:5" x14ac:dyDescent="0.45">
      <c r="A21" s="9" t="s">
        <v>88</v>
      </c>
      <c r="B21" s="14">
        <v>1610</v>
      </c>
      <c r="C21" s="14">
        <v>1910</v>
      </c>
      <c r="D21" s="14">
        <f t="shared" si="0"/>
        <v>3520</v>
      </c>
      <c r="E21" s="28">
        <f>D21-'R2.1.1現在'!D21</f>
        <v>-87</v>
      </c>
    </row>
    <row r="22" spans="1:5" x14ac:dyDescent="0.45">
      <c r="A22" s="9" t="s">
        <v>112</v>
      </c>
      <c r="B22" s="14">
        <v>361</v>
      </c>
      <c r="C22" s="14">
        <v>338</v>
      </c>
      <c r="D22" s="14">
        <f t="shared" si="0"/>
        <v>699</v>
      </c>
      <c r="E22" s="28">
        <f>D22-'R2.1.1現在'!D22</f>
        <v>-29</v>
      </c>
    </row>
    <row r="23" spans="1:5" x14ac:dyDescent="0.45">
      <c r="A23" s="9" t="s">
        <v>152</v>
      </c>
      <c r="B23" s="14">
        <v>20908</v>
      </c>
      <c r="C23" s="14">
        <v>23137</v>
      </c>
      <c r="D23" s="14">
        <f t="shared" si="0"/>
        <v>44045</v>
      </c>
      <c r="E23" s="28">
        <f>D23-'R2.1.1現在'!D23</f>
        <v>-153</v>
      </c>
    </row>
    <row r="24" spans="1:5" x14ac:dyDescent="0.45">
      <c r="A24" s="9" t="s">
        <v>110</v>
      </c>
      <c r="B24" s="14">
        <v>1516</v>
      </c>
      <c r="C24" s="14">
        <v>1670</v>
      </c>
      <c r="D24" s="14">
        <f t="shared" si="0"/>
        <v>3186</v>
      </c>
      <c r="E24" s="28">
        <f>D24-'R2.1.1現在'!D24</f>
        <v>-45</v>
      </c>
    </row>
    <row r="25" spans="1:5" x14ac:dyDescent="0.45">
      <c r="A25" s="9" t="s">
        <v>11</v>
      </c>
      <c r="B25" s="14">
        <v>1432</v>
      </c>
      <c r="C25" s="14">
        <v>1587</v>
      </c>
      <c r="D25" s="14">
        <f t="shared" si="0"/>
        <v>3019</v>
      </c>
      <c r="E25" s="28">
        <f>D25-'R2.1.1現在'!D25</f>
        <v>-105</v>
      </c>
    </row>
    <row r="26" spans="1:5" x14ac:dyDescent="0.45">
      <c r="A26" s="9" t="s">
        <v>158</v>
      </c>
      <c r="B26" s="14">
        <v>8783</v>
      </c>
      <c r="C26" s="14">
        <v>9543</v>
      </c>
      <c r="D26" s="14">
        <f t="shared" si="0"/>
        <v>18326</v>
      </c>
      <c r="E26" s="28">
        <f>D26-'R2.1.1現在'!D26</f>
        <v>-84</v>
      </c>
    </row>
    <row r="27" spans="1:5" x14ac:dyDescent="0.45">
      <c r="A27" s="9" t="s">
        <v>4</v>
      </c>
      <c r="B27" s="14">
        <v>37072</v>
      </c>
      <c r="C27" s="14">
        <v>42280</v>
      </c>
      <c r="D27" s="14">
        <f t="shared" si="0"/>
        <v>79352</v>
      </c>
      <c r="E27" s="28">
        <f>D27-'R2.1.1現在'!D27</f>
        <v>-848</v>
      </c>
    </row>
    <row r="28" spans="1:5" x14ac:dyDescent="0.45">
      <c r="A28" s="9" t="s">
        <v>48</v>
      </c>
      <c r="B28" s="14">
        <v>5655</v>
      </c>
      <c r="C28" s="14">
        <v>6328</v>
      </c>
      <c r="D28" s="14">
        <f t="shared" si="0"/>
        <v>11983</v>
      </c>
      <c r="E28" s="28">
        <f>D28-'R2.1.1現在'!D28</f>
        <v>-267</v>
      </c>
    </row>
    <row r="29" spans="1:5" x14ac:dyDescent="0.45">
      <c r="A29" s="9" t="s">
        <v>44</v>
      </c>
      <c r="B29" s="14">
        <v>1082</v>
      </c>
      <c r="C29" s="14">
        <v>1049</v>
      </c>
      <c r="D29" s="14">
        <f t="shared" si="0"/>
        <v>2131</v>
      </c>
      <c r="E29" s="28">
        <f>D29-'R2.1.1現在'!D29</f>
        <v>36</v>
      </c>
    </row>
    <row r="30" spans="1:5" x14ac:dyDescent="0.45">
      <c r="A30" s="9" t="s">
        <v>45</v>
      </c>
      <c r="B30" s="14">
        <v>1420</v>
      </c>
      <c r="C30" s="14">
        <v>1507</v>
      </c>
      <c r="D30" s="14">
        <f t="shared" si="0"/>
        <v>2927</v>
      </c>
      <c r="E30" s="28">
        <f>D30-'R2.1.1現在'!D30</f>
        <v>8</v>
      </c>
    </row>
    <row r="31" spans="1:5" x14ac:dyDescent="0.45">
      <c r="A31" s="9" t="s">
        <v>47</v>
      </c>
      <c r="B31" s="14">
        <v>2913</v>
      </c>
      <c r="C31" s="14">
        <v>2817</v>
      </c>
      <c r="D31" s="14">
        <f t="shared" si="0"/>
        <v>5730</v>
      </c>
      <c r="E31" s="28">
        <f>D31-'R2.1.1現在'!D31</f>
        <v>-109</v>
      </c>
    </row>
    <row r="32" spans="1:5" x14ac:dyDescent="0.45">
      <c r="A32" s="9" t="s">
        <v>147</v>
      </c>
      <c r="B32" s="14">
        <v>1842</v>
      </c>
      <c r="C32" s="14">
        <v>1913</v>
      </c>
      <c r="D32" s="14">
        <f t="shared" si="0"/>
        <v>3755</v>
      </c>
      <c r="E32" s="28">
        <f>D32-'R2.1.1現在'!D32</f>
        <v>55</v>
      </c>
    </row>
    <row r="33" spans="1:5" x14ac:dyDescent="0.45">
      <c r="A33" s="9" t="s">
        <v>46</v>
      </c>
      <c r="B33" s="14">
        <v>7713</v>
      </c>
      <c r="C33" s="14">
        <v>7410</v>
      </c>
      <c r="D33" s="14">
        <f t="shared" si="0"/>
        <v>15123</v>
      </c>
      <c r="E33" s="28">
        <f>D33-'R2.1.1現在'!D33</f>
        <v>728</v>
      </c>
    </row>
    <row r="34" spans="1:5" x14ac:dyDescent="0.45">
      <c r="A34" s="9" t="s">
        <v>170</v>
      </c>
      <c r="B34" s="14">
        <v>77917</v>
      </c>
      <c r="C34" s="14">
        <v>87750</v>
      </c>
      <c r="D34" s="14">
        <f t="shared" si="0"/>
        <v>165667</v>
      </c>
      <c r="E34" s="28">
        <f>D34-'R2.1.1現在'!D34</f>
        <v>-1384</v>
      </c>
    </row>
    <row r="35" spans="1:5" x14ac:dyDescent="0.45">
      <c r="A35" s="9" t="s">
        <v>171</v>
      </c>
      <c r="B35" s="14">
        <v>9284</v>
      </c>
      <c r="C35" s="14">
        <v>10108</v>
      </c>
      <c r="D35" s="14">
        <f t="shared" ref="D35:D66" si="1">SUM(B35:C35)</f>
        <v>19392</v>
      </c>
      <c r="E35" s="28">
        <f>D35-'R2.1.1現在'!D35</f>
        <v>-121</v>
      </c>
    </row>
    <row r="36" spans="1:5" x14ac:dyDescent="0.45">
      <c r="A36" s="9" t="s">
        <v>19</v>
      </c>
      <c r="B36" s="14">
        <v>5321</v>
      </c>
      <c r="C36" s="14">
        <v>6153</v>
      </c>
      <c r="D36" s="14">
        <f t="shared" si="1"/>
        <v>11474</v>
      </c>
      <c r="E36" s="28">
        <f>D36-'R2.1.1現在'!D36</f>
        <v>-94</v>
      </c>
    </row>
    <row r="37" spans="1:5" x14ac:dyDescent="0.45">
      <c r="A37" s="9" t="s">
        <v>141</v>
      </c>
      <c r="B37" s="14">
        <v>2313</v>
      </c>
      <c r="C37" s="14">
        <v>2497</v>
      </c>
      <c r="D37" s="14">
        <f t="shared" si="1"/>
        <v>4810</v>
      </c>
      <c r="E37" s="28">
        <f>D37-'R2.1.1現在'!D37</f>
        <v>-45</v>
      </c>
    </row>
    <row r="38" spans="1:5" x14ac:dyDescent="0.45">
      <c r="A38" s="9" t="s">
        <v>31</v>
      </c>
      <c r="B38" s="14">
        <v>34124</v>
      </c>
      <c r="C38" s="14">
        <v>35973</v>
      </c>
      <c r="D38" s="14">
        <f t="shared" si="1"/>
        <v>70097</v>
      </c>
      <c r="E38" s="28">
        <f>D38-'R2.1.1現在'!D38</f>
        <v>545</v>
      </c>
    </row>
    <row r="39" spans="1:5" x14ac:dyDescent="0.45">
      <c r="A39" s="9" t="s">
        <v>20</v>
      </c>
      <c r="B39" s="14">
        <v>1582</v>
      </c>
      <c r="C39" s="14">
        <v>1498</v>
      </c>
      <c r="D39" s="14">
        <f t="shared" si="1"/>
        <v>3080</v>
      </c>
      <c r="E39" s="28">
        <f>D39-'R2.1.1現在'!D39</f>
        <v>-34</v>
      </c>
    </row>
    <row r="40" spans="1:5" x14ac:dyDescent="0.45">
      <c r="A40" s="9" t="s">
        <v>109</v>
      </c>
      <c r="B40" s="14">
        <v>1471</v>
      </c>
      <c r="C40" s="14">
        <v>1541</v>
      </c>
      <c r="D40" s="14">
        <f t="shared" si="1"/>
        <v>3012</v>
      </c>
      <c r="E40" s="28">
        <f>D40-'R2.1.1現在'!D40</f>
        <v>-50</v>
      </c>
    </row>
    <row r="41" spans="1:5" x14ac:dyDescent="0.45">
      <c r="A41" s="9" t="s">
        <v>52</v>
      </c>
      <c r="B41" s="14">
        <v>1372</v>
      </c>
      <c r="C41" s="14">
        <v>1528</v>
      </c>
      <c r="D41" s="14">
        <f t="shared" si="1"/>
        <v>2900</v>
      </c>
      <c r="E41" s="28">
        <f>D41-'R2.1.1現在'!D41</f>
        <v>-61</v>
      </c>
    </row>
    <row r="42" spans="1:5" x14ac:dyDescent="0.45">
      <c r="A42" s="9" t="s">
        <v>172</v>
      </c>
      <c r="B42" s="14">
        <v>4279</v>
      </c>
      <c r="C42" s="14">
        <v>4785</v>
      </c>
      <c r="D42" s="14">
        <f t="shared" si="1"/>
        <v>9064</v>
      </c>
      <c r="E42" s="28">
        <f>D42-'R2.1.1現在'!D42</f>
        <v>29</v>
      </c>
    </row>
    <row r="43" spans="1:5" x14ac:dyDescent="0.45">
      <c r="A43" s="9" t="s">
        <v>63</v>
      </c>
      <c r="B43" s="14">
        <v>2210</v>
      </c>
      <c r="C43" s="14">
        <v>2210</v>
      </c>
      <c r="D43" s="14">
        <f t="shared" si="1"/>
        <v>4420</v>
      </c>
      <c r="E43" s="28">
        <f>D43-'R2.1.1現在'!D43</f>
        <v>-37</v>
      </c>
    </row>
    <row r="44" spans="1:5" x14ac:dyDescent="0.45">
      <c r="A44" s="9" t="s">
        <v>87</v>
      </c>
      <c r="B44" s="14">
        <v>1757</v>
      </c>
      <c r="C44" s="14">
        <v>1944</v>
      </c>
      <c r="D44" s="14">
        <f t="shared" si="1"/>
        <v>3701</v>
      </c>
      <c r="E44" s="28">
        <f>D44-'R2.1.1現在'!D44</f>
        <v>-62</v>
      </c>
    </row>
    <row r="45" spans="1:5" x14ac:dyDescent="0.45">
      <c r="A45" s="9" t="s">
        <v>162</v>
      </c>
      <c r="B45" s="14">
        <v>3165</v>
      </c>
      <c r="C45" s="14">
        <v>3382</v>
      </c>
      <c r="D45" s="14">
        <f t="shared" si="1"/>
        <v>6547</v>
      </c>
      <c r="E45" s="28">
        <f>D45-'R2.1.1現在'!D45</f>
        <v>-66</v>
      </c>
    </row>
    <row r="46" spans="1:5" x14ac:dyDescent="0.45">
      <c r="A46" s="9" t="s">
        <v>160</v>
      </c>
      <c r="B46" s="14">
        <v>1550</v>
      </c>
      <c r="C46" s="14">
        <v>1601</v>
      </c>
      <c r="D46" s="14">
        <f t="shared" si="1"/>
        <v>3151</v>
      </c>
      <c r="E46" s="28">
        <f>D46-'R2.1.1現在'!D46</f>
        <v>2</v>
      </c>
    </row>
    <row r="47" spans="1:5" x14ac:dyDescent="0.45">
      <c r="A47" s="9" t="s">
        <v>85</v>
      </c>
      <c r="B47" s="14">
        <v>3529</v>
      </c>
      <c r="C47" s="14">
        <v>3781</v>
      </c>
      <c r="D47" s="14">
        <f t="shared" si="1"/>
        <v>7310</v>
      </c>
      <c r="E47" s="28">
        <f>D47-'R2.1.1現在'!D47</f>
        <v>-154</v>
      </c>
    </row>
    <row r="48" spans="1:5" x14ac:dyDescent="0.45">
      <c r="A48" s="9" t="s">
        <v>29</v>
      </c>
      <c r="B48" s="14">
        <v>56932</v>
      </c>
      <c r="C48" s="14">
        <v>62883</v>
      </c>
      <c r="D48" s="14">
        <f t="shared" si="1"/>
        <v>119815</v>
      </c>
      <c r="E48" s="28">
        <f>D48-'R2.1.1現在'!D48</f>
        <v>928</v>
      </c>
    </row>
    <row r="49" spans="1:5" x14ac:dyDescent="0.45">
      <c r="A49" s="9" t="s">
        <v>39</v>
      </c>
      <c r="B49" s="14">
        <v>1310</v>
      </c>
      <c r="C49" s="14">
        <v>1425</v>
      </c>
      <c r="D49" s="14">
        <f t="shared" si="1"/>
        <v>2735</v>
      </c>
      <c r="E49" s="28">
        <f>D49-'R2.1.1現在'!D49</f>
        <v>-34</v>
      </c>
    </row>
    <row r="50" spans="1:5" x14ac:dyDescent="0.45">
      <c r="A50" s="9" t="s">
        <v>90</v>
      </c>
      <c r="B50" s="14">
        <v>2418</v>
      </c>
      <c r="C50" s="14">
        <v>2636</v>
      </c>
      <c r="D50" s="14">
        <f t="shared" si="1"/>
        <v>5054</v>
      </c>
      <c r="E50" s="28">
        <f>D50-'R2.1.1現在'!D50</f>
        <v>-121</v>
      </c>
    </row>
    <row r="51" spans="1:5" x14ac:dyDescent="0.45">
      <c r="A51" s="9" t="s">
        <v>178</v>
      </c>
      <c r="B51" s="14">
        <v>11830</v>
      </c>
      <c r="C51" s="14">
        <v>13028</v>
      </c>
      <c r="D51" s="14">
        <f t="shared" si="1"/>
        <v>24858</v>
      </c>
      <c r="E51" s="28">
        <f>D51-'R2.1.1現在'!D51</f>
        <v>-278</v>
      </c>
    </row>
    <row r="52" spans="1:5" x14ac:dyDescent="0.45">
      <c r="A52" s="9" t="s">
        <v>143</v>
      </c>
      <c r="B52" s="14">
        <v>2344</v>
      </c>
      <c r="C52" s="14">
        <v>2611</v>
      </c>
      <c r="D52" s="14">
        <f t="shared" si="1"/>
        <v>4955</v>
      </c>
      <c r="E52" s="28">
        <f>D52-'R2.1.1現在'!D52</f>
        <v>73</v>
      </c>
    </row>
    <row r="53" spans="1:5" x14ac:dyDescent="0.45">
      <c r="A53" s="9" t="s">
        <v>10</v>
      </c>
      <c r="B53" s="14">
        <v>7611</v>
      </c>
      <c r="C53" s="14">
        <v>8894</v>
      </c>
      <c r="D53" s="14">
        <f t="shared" si="1"/>
        <v>16505</v>
      </c>
      <c r="E53" s="28">
        <f>D53-'R2.1.1現在'!D53</f>
        <v>-310</v>
      </c>
    </row>
    <row r="54" spans="1:5" x14ac:dyDescent="0.45">
      <c r="A54" s="9" t="s">
        <v>28</v>
      </c>
      <c r="B54" s="14">
        <v>916813</v>
      </c>
      <c r="C54" s="14">
        <v>1044762</v>
      </c>
      <c r="D54" s="14">
        <f t="shared" si="1"/>
        <v>1961575</v>
      </c>
      <c r="E54" s="28">
        <f>D54-'R2.1.1現在'!D54</f>
        <v>17218</v>
      </c>
    </row>
    <row r="55" spans="1:5" x14ac:dyDescent="0.45">
      <c r="A55" s="9" t="s">
        <v>8</v>
      </c>
      <c r="B55" s="14">
        <v>3711</v>
      </c>
      <c r="C55" s="14">
        <v>4437</v>
      </c>
      <c r="D55" s="14">
        <f t="shared" si="1"/>
        <v>8148</v>
      </c>
      <c r="E55" s="28">
        <f>D55-'R2.1.1現在'!D55</f>
        <v>-138</v>
      </c>
    </row>
    <row r="56" spans="1:5" x14ac:dyDescent="0.45">
      <c r="A56" s="9" t="s">
        <v>93</v>
      </c>
      <c r="B56" s="14">
        <v>8575</v>
      </c>
      <c r="C56" s="14">
        <v>9559</v>
      </c>
      <c r="D56" s="14">
        <f t="shared" si="1"/>
        <v>18134</v>
      </c>
      <c r="E56" s="28">
        <f>D56-'R2.1.1現在'!D56</f>
        <v>-347</v>
      </c>
    </row>
    <row r="57" spans="1:5" x14ac:dyDescent="0.45">
      <c r="A57" s="9" t="s">
        <v>153</v>
      </c>
      <c r="B57" s="14">
        <v>2959</v>
      </c>
      <c r="C57" s="14">
        <v>3068</v>
      </c>
      <c r="D57" s="14">
        <f t="shared" si="1"/>
        <v>6027</v>
      </c>
      <c r="E57" s="28">
        <f>D57-'R2.1.1現在'!D57</f>
        <v>70</v>
      </c>
    </row>
    <row r="58" spans="1:5" x14ac:dyDescent="0.45">
      <c r="A58" s="9" t="s">
        <v>127</v>
      </c>
      <c r="B58" s="14">
        <v>3730</v>
      </c>
      <c r="C58" s="14">
        <v>4126</v>
      </c>
      <c r="D58" s="14">
        <f t="shared" si="1"/>
        <v>7856</v>
      </c>
      <c r="E58" s="28">
        <f>D58-'R2.1.1現在'!D58</f>
        <v>-37</v>
      </c>
    </row>
    <row r="59" spans="1:5" x14ac:dyDescent="0.45">
      <c r="A59" s="9" t="s">
        <v>155</v>
      </c>
      <c r="B59" s="14">
        <v>2570</v>
      </c>
      <c r="C59" s="14">
        <v>2677</v>
      </c>
      <c r="D59" s="14">
        <f t="shared" si="1"/>
        <v>5247</v>
      </c>
      <c r="E59" s="28">
        <f>D59-'R2.1.1現在'!D59</f>
        <v>-12</v>
      </c>
    </row>
    <row r="60" spans="1:5" x14ac:dyDescent="0.45">
      <c r="A60" s="9" t="s">
        <v>81</v>
      </c>
      <c r="B60" s="14">
        <v>1811</v>
      </c>
      <c r="C60" s="14">
        <v>2000</v>
      </c>
      <c r="D60" s="14">
        <f t="shared" si="1"/>
        <v>3811</v>
      </c>
      <c r="E60" s="28">
        <f>D60-'R2.1.1現在'!D60</f>
        <v>25</v>
      </c>
    </row>
    <row r="61" spans="1:5" x14ac:dyDescent="0.45">
      <c r="A61" s="9" t="s">
        <v>80</v>
      </c>
      <c r="B61" s="14">
        <v>12953</v>
      </c>
      <c r="C61" s="14">
        <v>15119</v>
      </c>
      <c r="D61" s="14">
        <f t="shared" si="1"/>
        <v>28072</v>
      </c>
      <c r="E61" s="28">
        <f>D61-'R2.1.1現在'!D61</f>
        <v>38</v>
      </c>
    </row>
    <row r="62" spans="1:5" x14ac:dyDescent="0.45">
      <c r="A62" s="9" t="s">
        <v>56</v>
      </c>
      <c r="B62" s="14">
        <v>39181</v>
      </c>
      <c r="C62" s="14">
        <v>42398</v>
      </c>
      <c r="D62" s="14">
        <f t="shared" si="1"/>
        <v>81579</v>
      </c>
      <c r="E62" s="28">
        <f>D62-'R2.1.1現在'!D62</f>
        <v>-953</v>
      </c>
    </row>
    <row r="63" spans="1:5" x14ac:dyDescent="0.45">
      <c r="A63" s="9" t="s">
        <v>138</v>
      </c>
      <c r="B63" s="14">
        <v>5577</v>
      </c>
      <c r="C63" s="14">
        <v>5723</v>
      </c>
      <c r="D63" s="14">
        <f t="shared" si="1"/>
        <v>11300</v>
      </c>
      <c r="E63" s="28">
        <f>D63-'R2.1.1現在'!D63</f>
        <v>-14</v>
      </c>
    </row>
    <row r="64" spans="1:5" x14ac:dyDescent="0.45">
      <c r="A64" s="9" t="s">
        <v>38</v>
      </c>
      <c r="B64" s="14">
        <v>1414</v>
      </c>
      <c r="C64" s="14">
        <v>1473</v>
      </c>
      <c r="D64" s="14">
        <f t="shared" si="1"/>
        <v>2887</v>
      </c>
      <c r="E64" s="28">
        <f>D64-'R2.1.1現在'!D64</f>
        <v>-4</v>
      </c>
    </row>
    <row r="65" spans="1:5" x14ac:dyDescent="0.45">
      <c r="A65" s="9" t="s">
        <v>120</v>
      </c>
      <c r="B65" s="14">
        <v>534</v>
      </c>
      <c r="C65" s="14">
        <v>591</v>
      </c>
      <c r="D65" s="14">
        <f t="shared" si="1"/>
        <v>1125</v>
      </c>
      <c r="E65" s="28">
        <f>D65-'R2.1.1現在'!D65</f>
        <v>-18</v>
      </c>
    </row>
    <row r="66" spans="1:5" x14ac:dyDescent="0.45">
      <c r="A66" s="9" t="s">
        <v>140</v>
      </c>
      <c r="B66" s="14">
        <v>2215</v>
      </c>
      <c r="C66" s="14">
        <v>2461</v>
      </c>
      <c r="D66" s="14">
        <f t="shared" si="1"/>
        <v>4676</v>
      </c>
      <c r="E66" s="28">
        <f>D66-'R2.1.1現在'!D66</f>
        <v>-98</v>
      </c>
    </row>
    <row r="67" spans="1:5" x14ac:dyDescent="0.45">
      <c r="A67" s="9" t="s">
        <v>36</v>
      </c>
      <c r="B67" s="14">
        <v>50712</v>
      </c>
      <c r="C67" s="14">
        <v>61738</v>
      </c>
      <c r="D67" s="14">
        <f t="shared" ref="D67:D98" si="2">SUM(B67:C67)</f>
        <v>112450</v>
      </c>
      <c r="E67" s="28">
        <f>D67-'R2.1.1現在'!D67</f>
        <v>-1284</v>
      </c>
    </row>
    <row r="68" spans="1:5" x14ac:dyDescent="0.45">
      <c r="A68" s="9" t="s">
        <v>117</v>
      </c>
      <c r="B68" s="14">
        <v>1426</v>
      </c>
      <c r="C68" s="14">
        <v>1570</v>
      </c>
      <c r="D68" s="14">
        <f t="shared" si="2"/>
        <v>2996</v>
      </c>
      <c r="E68" s="28">
        <f>D68-'R2.1.1現在'!D68</f>
        <v>-27</v>
      </c>
    </row>
    <row r="69" spans="1:5" x14ac:dyDescent="0.45">
      <c r="A69" s="9" t="s">
        <v>76</v>
      </c>
      <c r="B69" s="14">
        <v>3193</v>
      </c>
      <c r="C69" s="14">
        <v>3560</v>
      </c>
      <c r="D69" s="14">
        <f t="shared" si="2"/>
        <v>6753</v>
      </c>
      <c r="E69" s="28">
        <f>D69-'R2.1.1現在'!D69</f>
        <v>-198</v>
      </c>
    </row>
    <row r="70" spans="1:5" x14ac:dyDescent="0.45">
      <c r="A70" s="9" t="s">
        <v>27</v>
      </c>
      <c r="B70" s="14">
        <v>1413</v>
      </c>
      <c r="C70" s="14">
        <v>1562</v>
      </c>
      <c r="D70" s="14">
        <f t="shared" si="2"/>
        <v>2975</v>
      </c>
      <c r="E70" s="28">
        <f>D70-'R2.1.1現在'!D70</f>
        <v>-34</v>
      </c>
    </row>
    <row r="71" spans="1:5" x14ac:dyDescent="0.45">
      <c r="A71" s="9" t="s">
        <v>86</v>
      </c>
      <c r="B71" s="14">
        <v>2138</v>
      </c>
      <c r="C71" s="14">
        <v>2477</v>
      </c>
      <c r="D71" s="14">
        <f t="shared" si="2"/>
        <v>4615</v>
      </c>
      <c r="E71" s="28">
        <f>D71-'R2.1.1現在'!D71</f>
        <v>-66</v>
      </c>
    </row>
    <row r="72" spans="1:5" x14ac:dyDescent="0.45">
      <c r="A72" s="9" t="s">
        <v>16</v>
      </c>
      <c r="B72" s="14">
        <v>1283</v>
      </c>
      <c r="C72" s="14">
        <v>1518</v>
      </c>
      <c r="D72" s="14">
        <f t="shared" si="2"/>
        <v>2801</v>
      </c>
      <c r="E72" s="28">
        <f>D72-'R2.1.1現在'!D72</f>
        <v>-61</v>
      </c>
    </row>
    <row r="73" spans="1:5" x14ac:dyDescent="0.45">
      <c r="A73" s="9" t="s">
        <v>154</v>
      </c>
      <c r="B73" s="14">
        <v>2441</v>
      </c>
      <c r="C73" s="14">
        <v>2523</v>
      </c>
      <c r="D73" s="14">
        <f t="shared" si="2"/>
        <v>4964</v>
      </c>
      <c r="E73" s="28">
        <f>D73-'R2.1.1現在'!D73</f>
        <v>139</v>
      </c>
    </row>
    <row r="74" spans="1:5" x14ac:dyDescent="0.45">
      <c r="A74" s="9" t="s">
        <v>101</v>
      </c>
      <c r="B74" s="14">
        <v>1605</v>
      </c>
      <c r="C74" s="14">
        <v>1793</v>
      </c>
      <c r="D74" s="14">
        <f t="shared" si="2"/>
        <v>3398</v>
      </c>
      <c r="E74" s="28">
        <f>D74-'R2.1.1現在'!D74</f>
        <v>-31</v>
      </c>
    </row>
    <row r="75" spans="1:5" x14ac:dyDescent="0.45">
      <c r="A75" s="9" t="s">
        <v>104</v>
      </c>
      <c r="B75" s="14">
        <v>5398</v>
      </c>
      <c r="C75" s="14">
        <v>5103</v>
      </c>
      <c r="D75" s="14">
        <f t="shared" si="2"/>
        <v>10501</v>
      </c>
      <c r="E75" s="28">
        <f>D75-'R2.1.1現在'!D75</f>
        <v>-96</v>
      </c>
    </row>
    <row r="76" spans="1:5" x14ac:dyDescent="0.45">
      <c r="A76" s="9" t="s">
        <v>73</v>
      </c>
      <c r="B76" s="14">
        <v>10643</v>
      </c>
      <c r="C76" s="14">
        <v>11229</v>
      </c>
      <c r="D76" s="14">
        <f t="shared" si="2"/>
        <v>21872</v>
      </c>
      <c r="E76" s="28">
        <f>D76-'R2.1.1現在'!D76</f>
        <v>-223</v>
      </c>
    </row>
    <row r="77" spans="1:5" x14ac:dyDescent="0.45">
      <c r="A77" s="9" t="s">
        <v>69</v>
      </c>
      <c r="B77" s="14">
        <v>2649</v>
      </c>
      <c r="C77" s="14">
        <v>2743</v>
      </c>
      <c r="D77" s="14">
        <f t="shared" si="2"/>
        <v>5392</v>
      </c>
      <c r="E77" s="28">
        <f>D77-'R2.1.1現在'!D77</f>
        <v>67</v>
      </c>
    </row>
    <row r="78" spans="1:5" x14ac:dyDescent="0.45">
      <c r="A78" s="9" t="s">
        <v>35</v>
      </c>
      <c r="B78" s="14">
        <v>1435</v>
      </c>
      <c r="C78" s="14">
        <v>1544</v>
      </c>
      <c r="D78" s="14">
        <f t="shared" si="2"/>
        <v>2979</v>
      </c>
      <c r="E78" s="28">
        <f>D78-'R2.1.1現在'!D78</f>
        <v>-47</v>
      </c>
    </row>
    <row r="79" spans="1:5" x14ac:dyDescent="0.45">
      <c r="A79" s="9" t="s">
        <v>22</v>
      </c>
      <c r="B79" s="14">
        <v>3051</v>
      </c>
      <c r="C79" s="14">
        <v>3497</v>
      </c>
      <c r="D79" s="14">
        <f t="shared" si="2"/>
        <v>6548</v>
      </c>
      <c r="E79" s="28">
        <f>D79-'R2.1.1現在'!D79</f>
        <v>36</v>
      </c>
    </row>
    <row r="80" spans="1:5" x14ac:dyDescent="0.45">
      <c r="A80" s="9" t="s">
        <v>156</v>
      </c>
      <c r="B80" s="14">
        <v>2882</v>
      </c>
      <c r="C80" s="14">
        <v>2953</v>
      </c>
      <c r="D80" s="14">
        <f t="shared" si="2"/>
        <v>5835</v>
      </c>
      <c r="E80" s="28">
        <f>D80-'R2.1.1現在'!D80</f>
        <v>-78</v>
      </c>
    </row>
    <row r="81" spans="1:5" x14ac:dyDescent="0.45">
      <c r="A81" s="9" t="s">
        <v>82</v>
      </c>
      <c r="B81" s="14">
        <v>6972</v>
      </c>
      <c r="C81" s="14">
        <v>7877</v>
      </c>
      <c r="D81" s="14">
        <f t="shared" si="2"/>
        <v>14849</v>
      </c>
      <c r="E81" s="28">
        <f>D81-'R2.1.1現在'!D81</f>
        <v>-75</v>
      </c>
    </row>
    <row r="82" spans="1:5" x14ac:dyDescent="0.45">
      <c r="A82" s="9" t="s">
        <v>12</v>
      </c>
      <c r="B82" s="14">
        <v>9436</v>
      </c>
      <c r="C82" s="14">
        <v>10649</v>
      </c>
      <c r="D82" s="14">
        <f t="shared" si="2"/>
        <v>20085</v>
      </c>
      <c r="E82" s="28">
        <f>D82-'R2.1.1現在'!D82</f>
        <v>-229</v>
      </c>
    </row>
    <row r="83" spans="1:5" x14ac:dyDescent="0.45">
      <c r="A83" s="9" t="s">
        <v>42</v>
      </c>
      <c r="B83" s="14">
        <v>1014</v>
      </c>
      <c r="C83" s="14">
        <v>996</v>
      </c>
      <c r="D83" s="14">
        <f t="shared" si="2"/>
        <v>2010</v>
      </c>
      <c r="E83" s="28">
        <f>D83-'R2.1.1現在'!D83</f>
        <v>-34</v>
      </c>
    </row>
    <row r="84" spans="1:5" x14ac:dyDescent="0.45">
      <c r="A84" s="9" t="s">
        <v>50</v>
      </c>
      <c r="B84" s="14">
        <v>392</v>
      </c>
      <c r="C84" s="14">
        <v>423</v>
      </c>
      <c r="D84" s="14">
        <f t="shared" si="2"/>
        <v>815</v>
      </c>
      <c r="E84" s="28">
        <f>D84-'R2.1.1現在'!D84</f>
        <v>-23</v>
      </c>
    </row>
    <row r="85" spans="1:5" x14ac:dyDescent="0.45">
      <c r="A85" s="9" t="s">
        <v>53</v>
      </c>
      <c r="B85" s="14">
        <v>1544</v>
      </c>
      <c r="C85" s="14">
        <v>1672</v>
      </c>
      <c r="D85" s="14">
        <f t="shared" si="2"/>
        <v>3216</v>
      </c>
      <c r="E85" s="28">
        <f>D85-'R2.1.1現在'!D85</f>
        <v>-17</v>
      </c>
    </row>
    <row r="86" spans="1:5" x14ac:dyDescent="0.45">
      <c r="A86" s="9" t="s">
        <v>157</v>
      </c>
      <c r="B86" s="14">
        <v>4600</v>
      </c>
      <c r="C86" s="14">
        <v>4705</v>
      </c>
      <c r="D86" s="14">
        <f t="shared" si="2"/>
        <v>9305</v>
      </c>
      <c r="E86" s="28">
        <f>D86-'R2.1.1現在'!D86</f>
        <v>89</v>
      </c>
    </row>
    <row r="87" spans="1:5" x14ac:dyDescent="0.45">
      <c r="A87" s="9" t="s">
        <v>139</v>
      </c>
      <c r="B87" s="14">
        <v>1942</v>
      </c>
      <c r="C87" s="14">
        <v>2009</v>
      </c>
      <c r="D87" s="14">
        <f t="shared" si="2"/>
        <v>3951</v>
      </c>
      <c r="E87" s="28">
        <f>D87-'R2.1.1現在'!D87</f>
        <v>-50</v>
      </c>
    </row>
    <row r="88" spans="1:5" x14ac:dyDescent="0.45">
      <c r="A88" s="9" t="s">
        <v>148</v>
      </c>
      <c r="B88" s="14">
        <v>523</v>
      </c>
      <c r="C88" s="14">
        <v>535</v>
      </c>
      <c r="D88" s="14">
        <f t="shared" si="2"/>
        <v>1058</v>
      </c>
      <c r="E88" s="28">
        <f>D88-'R2.1.1現在'!D88</f>
        <v>16</v>
      </c>
    </row>
    <row r="89" spans="1:5" x14ac:dyDescent="0.45">
      <c r="A89" s="9" t="s">
        <v>33</v>
      </c>
      <c r="B89" s="14">
        <v>28231</v>
      </c>
      <c r="C89" s="14">
        <v>30051</v>
      </c>
      <c r="D89" s="14">
        <f t="shared" si="2"/>
        <v>58282</v>
      </c>
      <c r="E89" s="28">
        <f>D89-'R2.1.1現在'!D89</f>
        <v>460</v>
      </c>
    </row>
    <row r="90" spans="1:5" x14ac:dyDescent="0.45">
      <c r="A90" s="9" t="s">
        <v>51</v>
      </c>
      <c r="B90" s="14">
        <v>893</v>
      </c>
      <c r="C90" s="14">
        <v>1029</v>
      </c>
      <c r="D90" s="14">
        <f t="shared" si="2"/>
        <v>1922</v>
      </c>
      <c r="E90" s="28">
        <f>D90-'R2.1.1現在'!D90</f>
        <v>-56</v>
      </c>
    </row>
    <row r="91" spans="1:5" x14ac:dyDescent="0.45">
      <c r="A91" s="9" t="s">
        <v>55</v>
      </c>
      <c r="B91" s="14">
        <v>588</v>
      </c>
      <c r="C91" s="14">
        <v>588</v>
      </c>
      <c r="D91" s="14">
        <f t="shared" si="2"/>
        <v>1176</v>
      </c>
      <c r="E91" s="28">
        <f>D91-'R2.1.1現在'!D91</f>
        <v>82</v>
      </c>
    </row>
    <row r="92" spans="1:5" x14ac:dyDescent="0.45">
      <c r="A92" s="9" t="s">
        <v>7</v>
      </c>
      <c r="B92" s="14">
        <v>4387</v>
      </c>
      <c r="C92" s="14">
        <v>5255</v>
      </c>
      <c r="D92" s="14">
        <f t="shared" si="2"/>
        <v>9642</v>
      </c>
      <c r="E92" s="28">
        <f>D92-'R2.1.1現在'!D92</f>
        <v>-193</v>
      </c>
    </row>
    <row r="93" spans="1:5" x14ac:dyDescent="0.45">
      <c r="A93" s="9" t="s">
        <v>30</v>
      </c>
      <c r="B93" s="14">
        <v>49723</v>
      </c>
      <c r="C93" s="14">
        <v>48219</v>
      </c>
      <c r="D93" s="14">
        <f t="shared" si="2"/>
        <v>97942</v>
      </c>
      <c r="E93" s="28">
        <f>D93-'R2.1.1現在'!D93</f>
        <v>1191</v>
      </c>
    </row>
    <row r="94" spans="1:5" x14ac:dyDescent="0.45">
      <c r="A94" s="9" t="s">
        <v>107</v>
      </c>
      <c r="B94" s="14">
        <v>652</v>
      </c>
      <c r="C94" s="14">
        <v>663</v>
      </c>
      <c r="D94" s="14">
        <f t="shared" si="2"/>
        <v>1315</v>
      </c>
      <c r="E94" s="28">
        <f>D94-'R2.1.1現在'!D94</f>
        <v>218</v>
      </c>
    </row>
    <row r="95" spans="1:5" x14ac:dyDescent="0.45">
      <c r="A95" s="9" t="s">
        <v>61</v>
      </c>
      <c r="B95" s="14">
        <v>1142</v>
      </c>
      <c r="C95" s="14">
        <v>1287</v>
      </c>
      <c r="D95" s="14">
        <f t="shared" si="2"/>
        <v>2429</v>
      </c>
      <c r="E95" s="28">
        <f>D95-'R2.1.1現在'!D95</f>
        <v>5</v>
      </c>
    </row>
    <row r="96" spans="1:5" x14ac:dyDescent="0.45">
      <c r="A96" s="9" t="s">
        <v>116</v>
      </c>
      <c r="B96" s="14">
        <v>1885</v>
      </c>
      <c r="C96" s="14">
        <v>2231</v>
      </c>
      <c r="D96" s="14">
        <f t="shared" si="2"/>
        <v>4116</v>
      </c>
      <c r="E96" s="28">
        <f>D96-'R2.1.1現在'!D96</f>
        <v>-20</v>
      </c>
    </row>
    <row r="97" spans="1:5" x14ac:dyDescent="0.45">
      <c r="A97" s="9" t="s">
        <v>167</v>
      </c>
      <c r="B97" s="14">
        <v>3286</v>
      </c>
      <c r="C97" s="14">
        <v>3398</v>
      </c>
      <c r="D97" s="14">
        <f t="shared" si="2"/>
        <v>6684</v>
      </c>
      <c r="E97" s="28">
        <f>D97-'R2.1.1現在'!D97</f>
        <v>-70</v>
      </c>
    </row>
    <row r="98" spans="1:5" x14ac:dyDescent="0.45">
      <c r="A98" s="9" t="s">
        <v>151</v>
      </c>
      <c r="B98" s="14">
        <v>78962</v>
      </c>
      <c r="C98" s="14">
        <v>86708</v>
      </c>
      <c r="D98" s="14">
        <f t="shared" si="2"/>
        <v>165670</v>
      </c>
      <c r="E98" s="28">
        <f>D98-'R2.1.1現在'!D98</f>
        <v>468</v>
      </c>
    </row>
    <row r="99" spans="1:5" x14ac:dyDescent="0.45">
      <c r="A99" s="9" t="s">
        <v>150</v>
      </c>
      <c r="B99" s="14">
        <v>3388</v>
      </c>
      <c r="C99" s="14">
        <v>3575</v>
      </c>
      <c r="D99" s="14">
        <f t="shared" ref="D99:D130" si="3">SUM(B99:C99)</f>
        <v>6963</v>
      </c>
      <c r="E99" s="28">
        <f>D99-'R2.1.1現在'!D99</f>
        <v>-151</v>
      </c>
    </row>
    <row r="100" spans="1:5" x14ac:dyDescent="0.45">
      <c r="A100" s="9" t="s">
        <v>161</v>
      </c>
      <c r="B100" s="14">
        <v>2704</v>
      </c>
      <c r="C100" s="14">
        <v>2747</v>
      </c>
      <c r="D100" s="14">
        <f t="shared" si="3"/>
        <v>5451</v>
      </c>
      <c r="E100" s="28">
        <f>D100-'R2.1.1現在'!D100</f>
        <v>40</v>
      </c>
    </row>
    <row r="101" spans="1:5" x14ac:dyDescent="0.45">
      <c r="A101" s="9" t="s">
        <v>96</v>
      </c>
      <c r="B101" s="14">
        <v>3212</v>
      </c>
      <c r="C101" s="14">
        <v>3559</v>
      </c>
      <c r="D101" s="14">
        <f t="shared" si="3"/>
        <v>6771</v>
      </c>
      <c r="E101" s="28">
        <f>D101-'R2.1.1現在'!D101</f>
        <v>-47</v>
      </c>
    </row>
    <row r="102" spans="1:5" x14ac:dyDescent="0.45">
      <c r="A102" s="9" t="s">
        <v>146</v>
      </c>
      <c r="B102" s="14">
        <v>1203</v>
      </c>
      <c r="C102" s="14">
        <v>1276</v>
      </c>
      <c r="D102" s="14">
        <f t="shared" si="3"/>
        <v>2479</v>
      </c>
      <c r="E102" s="28">
        <f>D102-'R2.1.1現在'!D102</f>
        <v>-41</v>
      </c>
    </row>
    <row r="103" spans="1:5" x14ac:dyDescent="0.45">
      <c r="A103" s="9" t="s">
        <v>9</v>
      </c>
      <c r="B103" s="14">
        <v>18667</v>
      </c>
      <c r="C103" s="14">
        <v>20597</v>
      </c>
      <c r="D103" s="14">
        <f t="shared" si="3"/>
        <v>39264</v>
      </c>
      <c r="E103" s="28">
        <f>D103-'R2.1.1現在'!D103</f>
        <v>-482</v>
      </c>
    </row>
    <row r="104" spans="1:5" x14ac:dyDescent="0.45">
      <c r="A104" s="9" t="s">
        <v>78</v>
      </c>
      <c r="B104" s="14">
        <v>2053</v>
      </c>
      <c r="C104" s="14">
        <v>2145</v>
      </c>
      <c r="D104" s="14">
        <f t="shared" si="3"/>
        <v>4198</v>
      </c>
      <c r="E104" s="28">
        <f>D104-'R2.1.1現在'!D104</f>
        <v>-34</v>
      </c>
    </row>
    <row r="105" spans="1:5" x14ac:dyDescent="0.45">
      <c r="A105" s="9" t="s">
        <v>164</v>
      </c>
      <c r="B105" s="14">
        <v>3037</v>
      </c>
      <c r="C105" s="14">
        <v>3403</v>
      </c>
      <c r="D105" s="14">
        <f t="shared" si="3"/>
        <v>6440</v>
      </c>
      <c r="E105" s="28">
        <f>D105-'R2.1.1現在'!D105</f>
        <v>-158</v>
      </c>
    </row>
    <row r="106" spans="1:5" x14ac:dyDescent="0.45">
      <c r="A106" s="9" t="s">
        <v>123</v>
      </c>
      <c r="B106" s="14">
        <v>16287</v>
      </c>
      <c r="C106" s="14">
        <v>16745</v>
      </c>
      <c r="D106" s="14">
        <f t="shared" si="3"/>
        <v>33032</v>
      </c>
      <c r="E106" s="28">
        <f>D106-'R2.1.1現在'!D106</f>
        <v>-142</v>
      </c>
    </row>
    <row r="107" spans="1:5" x14ac:dyDescent="0.45">
      <c r="A107" s="9" t="s">
        <v>142</v>
      </c>
      <c r="B107" s="14">
        <v>1280</v>
      </c>
      <c r="C107" s="14">
        <v>1485</v>
      </c>
      <c r="D107" s="14">
        <f t="shared" si="3"/>
        <v>2765</v>
      </c>
      <c r="E107" s="28">
        <f>D107-'R2.1.1現在'!D107</f>
        <v>-68</v>
      </c>
    </row>
    <row r="108" spans="1:5" x14ac:dyDescent="0.45">
      <c r="A108" s="9" t="s">
        <v>24</v>
      </c>
      <c r="B108" s="14">
        <v>1100</v>
      </c>
      <c r="C108" s="14">
        <v>1265</v>
      </c>
      <c r="D108" s="14">
        <f t="shared" si="3"/>
        <v>2365</v>
      </c>
      <c r="E108" s="28">
        <f>D108-'R2.1.1現在'!D108</f>
        <v>-33</v>
      </c>
    </row>
    <row r="109" spans="1:5" x14ac:dyDescent="0.45">
      <c r="A109" s="9" t="s">
        <v>159</v>
      </c>
      <c r="B109" s="14">
        <v>1895</v>
      </c>
      <c r="C109" s="14">
        <v>2027</v>
      </c>
      <c r="D109" s="14">
        <f t="shared" si="3"/>
        <v>3922</v>
      </c>
      <c r="E109" s="28">
        <f>D109-'R2.1.1現在'!D109</f>
        <v>79</v>
      </c>
    </row>
    <row r="110" spans="1:5" x14ac:dyDescent="0.45">
      <c r="A110" s="9" t="s">
        <v>113</v>
      </c>
      <c r="B110" s="14">
        <v>726</v>
      </c>
      <c r="C110" s="14">
        <v>714</v>
      </c>
      <c r="D110" s="14">
        <f t="shared" si="3"/>
        <v>1440</v>
      </c>
      <c r="E110" s="28">
        <f>D110-'R2.1.1現在'!D110</f>
        <v>-43</v>
      </c>
    </row>
    <row r="111" spans="1:5" x14ac:dyDescent="0.45">
      <c r="A111" s="9" t="s">
        <v>126</v>
      </c>
      <c r="B111" s="14">
        <v>825</v>
      </c>
      <c r="C111" s="14">
        <v>832</v>
      </c>
      <c r="D111" s="14">
        <f t="shared" si="3"/>
        <v>1657</v>
      </c>
      <c r="E111" s="28">
        <f>D111-'R2.1.1現在'!D111</f>
        <v>-18</v>
      </c>
    </row>
    <row r="112" spans="1:5" x14ac:dyDescent="0.45">
      <c r="A112" s="9" t="s">
        <v>180</v>
      </c>
      <c r="B112" s="14">
        <v>11435</v>
      </c>
      <c r="C112" s="14">
        <v>11768</v>
      </c>
      <c r="D112" s="14">
        <f t="shared" si="3"/>
        <v>23203</v>
      </c>
      <c r="E112" s="28">
        <f>D112-'R2.1.1現在'!D112</f>
        <v>-80</v>
      </c>
    </row>
    <row r="113" spans="1:5" x14ac:dyDescent="0.45">
      <c r="A113" s="9" t="s">
        <v>105</v>
      </c>
      <c r="B113" s="14">
        <v>2330</v>
      </c>
      <c r="C113" s="14">
        <v>2519</v>
      </c>
      <c r="D113" s="14">
        <f t="shared" si="3"/>
        <v>4849</v>
      </c>
      <c r="E113" s="28">
        <f>D113-'R2.1.1現在'!D113</f>
        <v>-52</v>
      </c>
    </row>
    <row r="114" spans="1:5" x14ac:dyDescent="0.45">
      <c r="A114" s="9" t="s">
        <v>18</v>
      </c>
      <c r="B114" s="14">
        <v>5081</v>
      </c>
      <c r="C114" s="14">
        <v>5434</v>
      </c>
      <c r="D114" s="14">
        <f t="shared" si="3"/>
        <v>10515</v>
      </c>
      <c r="E114" s="28">
        <f>D114-'R2.1.1現在'!D114</f>
        <v>-104</v>
      </c>
    </row>
    <row r="115" spans="1:5" x14ac:dyDescent="0.45">
      <c r="A115" s="9" t="s">
        <v>84</v>
      </c>
      <c r="B115" s="14">
        <v>2360</v>
      </c>
      <c r="C115" s="14">
        <v>2751</v>
      </c>
      <c r="D115" s="14">
        <f t="shared" si="3"/>
        <v>5111</v>
      </c>
      <c r="E115" s="28">
        <f>D115-'R2.1.1現在'!D115</f>
        <v>-15</v>
      </c>
    </row>
    <row r="116" spans="1:5" x14ac:dyDescent="0.45">
      <c r="A116" s="9" t="s">
        <v>137</v>
      </c>
      <c r="B116" s="14">
        <v>2174</v>
      </c>
      <c r="C116" s="14">
        <v>2310</v>
      </c>
      <c r="D116" s="14">
        <f t="shared" si="3"/>
        <v>4484</v>
      </c>
      <c r="E116" s="28">
        <f>D116-'R2.1.1現在'!D116</f>
        <v>-100</v>
      </c>
    </row>
    <row r="117" spans="1:5" x14ac:dyDescent="0.45">
      <c r="A117" s="9" t="s">
        <v>176</v>
      </c>
      <c r="B117" s="14">
        <v>1270</v>
      </c>
      <c r="C117" s="14">
        <v>1250</v>
      </c>
      <c r="D117" s="14">
        <f t="shared" si="3"/>
        <v>2520</v>
      </c>
      <c r="E117" s="28">
        <f>D117-'R2.1.1現在'!D117</f>
        <v>43</v>
      </c>
    </row>
    <row r="118" spans="1:5" x14ac:dyDescent="0.45">
      <c r="A118" s="9" t="s">
        <v>175</v>
      </c>
      <c r="B118" s="14">
        <v>3311</v>
      </c>
      <c r="C118" s="14">
        <v>3626</v>
      </c>
      <c r="D118" s="14">
        <f t="shared" si="3"/>
        <v>6937</v>
      </c>
      <c r="E118" s="28">
        <f>D118-'R2.1.1現在'!D118</f>
        <v>-108</v>
      </c>
    </row>
    <row r="119" spans="1:5" x14ac:dyDescent="0.45">
      <c r="A119" s="9" t="s">
        <v>122</v>
      </c>
      <c r="B119" s="14">
        <v>1490</v>
      </c>
      <c r="C119" s="14">
        <v>1483</v>
      </c>
      <c r="D119" s="14">
        <f t="shared" si="3"/>
        <v>2973</v>
      </c>
      <c r="E119" s="28">
        <f>D119-'R2.1.1現在'!D119</f>
        <v>3</v>
      </c>
    </row>
    <row r="120" spans="1:5" x14ac:dyDescent="0.45">
      <c r="A120" s="9" t="s">
        <v>58</v>
      </c>
      <c r="B120" s="14">
        <v>22463</v>
      </c>
      <c r="C120" s="14">
        <v>24370</v>
      </c>
      <c r="D120" s="14">
        <f t="shared" si="3"/>
        <v>46833</v>
      </c>
      <c r="E120" s="28">
        <f>D120-'R2.1.1現在'!D120</f>
        <v>-534</v>
      </c>
    </row>
    <row r="121" spans="1:5" x14ac:dyDescent="0.45">
      <c r="A121" s="9" t="s">
        <v>37</v>
      </c>
      <c r="B121" s="14">
        <v>704</v>
      </c>
      <c r="C121" s="14">
        <v>706</v>
      </c>
      <c r="D121" s="14">
        <f t="shared" si="3"/>
        <v>1410</v>
      </c>
      <c r="E121" s="28">
        <f>D121-'R2.1.1現在'!D121</f>
        <v>-22</v>
      </c>
    </row>
    <row r="122" spans="1:5" x14ac:dyDescent="0.45">
      <c r="A122" s="9" t="s">
        <v>97</v>
      </c>
      <c r="B122" s="14">
        <v>4786</v>
      </c>
      <c r="C122" s="14">
        <v>5368</v>
      </c>
      <c r="D122" s="14">
        <f t="shared" si="3"/>
        <v>10154</v>
      </c>
      <c r="E122" s="28">
        <f>D122-'R2.1.1現在'!D122</f>
        <v>-43</v>
      </c>
    </row>
    <row r="123" spans="1:5" x14ac:dyDescent="0.45">
      <c r="A123" s="9" t="s">
        <v>102</v>
      </c>
      <c r="B123" s="14">
        <v>3936</v>
      </c>
      <c r="C123" s="14">
        <v>4501</v>
      </c>
      <c r="D123" s="14">
        <f t="shared" si="3"/>
        <v>8437</v>
      </c>
      <c r="E123" s="28">
        <f>D123-'R2.1.1現在'!D123</f>
        <v>448</v>
      </c>
    </row>
    <row r="124" spans="1:5" x14ac:dyDescent="0.45">
      <c r="A124" s="9" t="s">
        <v>34</v>
      </c>
      <c r="B124" s="14">
        <v>7622</v>
      </c>
      <c r="C124" s="14">
        <v>7996</v>
      </c>
      <c r="D124" s="14">
        <f t="shared" si="3"/>
        <v>15618</v>
      </c>
      <c r="E124" s="28">
        <f>D124-'R2.1.1現在'!D124</f>
        <v>-89</v>
      </c>
    </row>
    <row r="125" spans="1:5" x14ac:dyDescent="0.45">
      <c r="A125" s="9" t="s">
        <v>98</v>
      </c>
      <c r="B125" s="14">
        <v>2941</v>
      </c>
      <c r="C125" s="14">
        <v>3431</v>
      </c>
      <c r="D125" s="14">
        <f t="shared" si="3"/>
        <v>6372</v>
      </c>
      <c r="E125" s="28">
        <f>D125-'R2.1.1現在'!D125</f>
        <v>-17</v>
      </c>
    </row>
    <row r="126" spans="1:5" x14ac:dyDescent="0.45">
      <c r="A126" s="9" t="s">
        <v>64</v>
      </c>
      <c r="B126" s="14">
        <v>3945</v>
      </c>
      <c r="C126" s="14">
        <v>4549</v>
      </c>
      <c r="D126" s="14">
        <f t="shared" si="3"/>
        <v>8494</v>
      </c>
      <c r="E126" s="28">
        <f>D126-'R2.1.1現在'!D126</f>
        <v>-67</v>
      </c>
    </row>
    <row r="127" spans="1:5" x14ac:dyDescent="0.45">
      <c r="A127" s="9" t="s">
        <v>57</v>
      </c>
      <c r="B127" s="14">
        <v>83313</v>
      </c>
      <c r="C127" s="14">
        <v>86892</v>
      </c>
      <c r="D127" s="14">
        <f t="shared" si="3"/>
        <v>170205</v>
      </c>
      <c r="E127" s="28">
        <f>D127-'R2.1.1現在'!D127</f>
        <v>-314</v>
      </c>
    </row>
    <row r="128" spans="1:5" x14ac:dyDescent="0.45">
      <c r="A128" s="9" t="s">
        <v>118</v>
      </c>
      <c r="B128" s="14">
        <v>1446</v>
      </c>
      <c r="C128" s="14">
        <v>1540</v>
      </c>
      <c r="D128" s="14">
        <f t="shared" si="3"/>
        <v>2986</v>
      </c>
      <c r="E128" s="28">
        <f>D128-'R2.1.1現在'!D128</f>
        <v>-26</v>
      </c>
    </row>
    <row r="129" spans="1:5" x14ac:dyDescent="0.45">
      <c r="A129" s="9" t="s">
        <v>15</v>
      </c>
      <c r="B129" s="14">
        <v>2477</v>
      </c>
      <c r="C129" s="14">
        <v>2758</v>
      </c>
      <c r="D129" s="14">
        <f t="shared" si="3"/>
        <v>5235</v>
      </c>
      <c r="E129" s="28">
        <f>D129-'R2.1.1現在'!D129</f>
        <v>-70</v>
      </c>
    </row>
    <row r="130" spans="1:5" x14ac:dyDescent="0.45">
      <c r="A130" s="9" t="s">
        <v>106</v>
      </c>
      <c r="B130" s="14">
        <v>1217</v>
      </c>
      <c r="C130" s="14">
        <v>1168</v>
      </c>
      <c r="D130" s="14">
        <f t="shared" si="3"/>
        <v>2385</v>
      </c>
      <c r="E130" s="28">
        <f>D130-'R2.1.1現在'!D130</f>
        <v>-35</v>
      </c>
    </row>
    <row r="131" spans="1:5" x14ac:dyDescent="0.45">
      <c r="A131" s="9" t="s">
        <v>14</v>
      </c>
      <c r="B131" s="14">
        <v>3544</v>
      </c>
      <c r="C131" s="14">
        <v>3903</v>
      </c>
      <c r="D131" s="14">
        <f t="shared" ref="D131:D162" si="4">SUM(B131:C131)</f>
        <v>7447</v>
      </c>
      <c r="E131" s="28">
        <f>D131-'R2.1.1現在'!D131</f>
        <v>50</v>
      </c>
    </row>
    <row r="132" spans="1:5" x14ac:dyDescent="0.45">
      <c r="A132" s="9" t="s">
        <v>67</v>
      </c>
      <c r="B132" s="14">
        <v>5902</v>
      </c>
      <c r="C132" s="14">
        <v>5745</v>
      </c>
      <c r="D132" s="14">
        <f t="shared" si="4"/>
        <v>11647</v>
      </c>
      <c r="E132" s="28">
        <f>D132-'R2.1.1現在'!D132</f>
        <v>10</v>
      </c>
    </row>
    <row r="133" spans="1:5" x14ac:dyDescent="0.45">
      <c r="A133" s="9" t="s">
        <v>49</v>
      </c>
      <c r="B133" s="14">
        <v>747</v>
      </c>
      <c r="C133" s="14">
        <v>814</v>
      </c>
      <c r="D133" s="14">
        <f t="shared" si="4"/>
        <v>1561</v>
      </c>
      <c r="E133" s="28">
        <f>D133-'R2.1.1現在'!D133</f>
        <v>-46</v>
      </c>
    </row>
    <row r="134" spans="1:5" x14ac:dyDescent="0.45">
      <c r="A134" s="9" t="s">
        <v>177</v>
      </c>
      <c r="B134" s="14">
        <v>3536</v>
      </c>
      <c r="C134" s="14">
        <v>4003</v>
      </c>
      <c r="D134" s="14">
        <f t="shared" si="4"/>
        <v>7539</v>
      </c>
      <c r="E134" s="28">
        <f>D134-'R2.1.1現在'!D134</f>
        <v>-54</v>
      </c>
    </row>
    <row r="135" spans="1:5" x14ac:dyDescent="0.45">
      <c r="A135" s="9" t="s">
        <v>62</v>
      </c>
      <c r="B135" s="14">
        <v>7772</v>
      </c>
      <c r="C135" s="14">
        <v>8584</v>
      </c>
      <c r="D135" s="14">
        <f t="shared" si="4"/>
        <v>16356</v>
      </c>
      <c r="E135" s="28">
        <f>D135-'R2.1.1現在'!D135</f>
        <v>-65</v>
      </c>
    </row>
    <row r="136" spans="1:5" x14ac:dyDescent="0.45">
      <c r="A136" s="9" t="s">
        <v>74</v>
      </c>
      <c r="B136" s="14">
        <v>114642</v>
      </c>
      <c r="C136" s="14">
        <v>137249</v>
      </c>
      <c r="D136" s="14">
        <f t="shared" si="4"/>
        <v>251891</v>
      </c>
      <c r="E136" s="28">
        <f>D136-'R2.1.1現在'!D136</f>
        <v>-2255</v>
      </c>
    </row>
    <row r="137" spans="1:5" x14ac:dyDescent="0.45">
      <c r="A137" s="9" t="s">
        <v>83</v>
      </c>
      <c r="B137" s="14">
        <v>7683</v>
      </c>
      <c r="C137" s="14">
        <v>7990</v>
      </c>
      <c r="D137" s="14">
        <f t="shared" si="4"/>
        <v>15673</v>
      </c>
      <c r="E137" s="28">
        <f>D137-'R2.1.1現在'!D137</f>
        <v>-362</v>
      </c>
    </row>
    <row r="138" spans="1:5" x14ac:dyDescent="0.45">
      <c r="A138" s="9" t="s">
        <v>99</v>
      </c>
      <c r="B138" s="14">
        <v>1704</v>
      </c>
      <c r="C138" s="14">
        <v>1912</v>
      </c>
      <c r="D138" s="14">
        <f t="shared" si="4"/>
        <v>3616</v>
      </c>
      <c r="E138" s="28">
        <f>D138-'R2.1.1現在'!D138</f>
        <v>-56</v>
      </c>
    </row>
    <row r="139" spans="1:5" x14ac:dyDescent="0.45">
      <c r="A139" s="9" t="s">
        <v>5</v>
      </c>
      <c r="B139" s="14">
        <v>9768</v>
      </c>
      <c r="C139" s="14">
        <v>10736</v>
      </c>
      <c r="D139" s="14">
        <f t="shared" si="4"/>
        <v>20504</v>
      </c>
      <c r="E139" s="28">
        <f>D139-'R2.1.1現在'!D139</f>
        <v>-497</v>
      </c>
    </row>
    <row r="140" spans="1:5" x14ac:dyDescent="0.45">
      <c r="A140" s="9" t="s">
        <v>103</v>
      </c>
      <c r="B140" s="14">
        <v>4552</v>
      </c>
      <c r="C140" s="14">
        <v>5223</v>
      </c>
      <c r="D140" s="14">
        <f t="shared" si="4"/>
        <v>9775</v>
      </c>
      <c r="E140" s="28">
        <f>D140-'R2.1.1現在'!D140</f>
        <v>-51</v>
      </c>
    </row>
    <row r="141" spans="1:5" x14ac:dyDescent="0.45">
      <c r="A141" s="9" t="s">
        <v>111</v>
      </c>
      <c r="B141" s="14">
        <v>2019</v>
      </c>
      <c r="C141" s="14">
        <v>2093</v>
      </c>
      <c r="D141" s="14">
        <f t="shared" si="4"/>
        <v>4112</v>
      </c>
      <c r="E141" s="28">
        <f>D141-'R2.1.1現在'!D141</f>
        <v>-120</v>
      </c>
    </row>
    <row r="142" spans="1:5" x14ac:dyDescent="0.45">
      <c r="A142" s="9" t="s">
        <v>136</v>
      </c>
      <c r="B142" s="14">
        <v>9210</v>
      </c>
      <c r="C142" s="14">
        <v>9731</v>
      </c>
      <c r="D142" s="14">
        <f t="shared" si="4"/>
        <v>18941</v>
      </c>
      <c r="E142" s="28">
        <f>D142-'R2.1.1現在'!D142</f>
        <v>-197</v>
      </c>
    </row>
    <row r="143" spans="1:5" x14ac:dyDescent="0.45">
      <c r="A143" s="9" t="s">
        <v>174</v>
      </c>
      <c r="B143" s="14">
        <v>3556</v>
      </c>
      <c r="C143" s="14">
        <v>3869</v>
      </c>
      <c r="D143" s="14">
        <f t="shared" si="4"/>
        <v>7425</v>
      </c>
      <c r="E143" s="28">
        <f>D143-'R2.1.1現在'!D143</f>
        <v>14</v>
      </c>
    </row>
    <row r="144" spans="1:5" x14ac:dyDescent="0.45">
      <c r="A144" s="9" t="s">
        <v>181</v>
      </c>
      <c r="B144" s="14">
        <v>2487</v>
      </c>
      <c r="C144" s="14">
        <v>2636</v>
      </c>
      <c r="D144" s="14">
        <f t="shared" si="4"/>
        <v>5123</v>
      </c>
      <c r="E144" s="28">
        <f>D144-'R2.1.1現在'!D144</f>
        <v>-25</v>
      </c>
    </row>
    <row r="145" spans="1:5" x14ac:dyDescent="0.45">
      <c r="A145" s="9" t="s">
        <v>173</v>
      </c>
      <c r="B145" s="14">
        <v>2775</v>
      </c>
      <c r="C145" s="14">
        <v>2889</v>
      </c>
      <c r="D145" s="14">
        <f t="shared" si="4"/>
        <v>5664</v>
      </c>
      <c r="E145" s="28">
        <f>D145-'R2.1.1現在'!D145</f>
        <v>-18</v>
      </c>
    </row>
    <row r="146" spans="1:5" x14ac:dyDescent="0.45">
      <c r="A146" s="9" t="s">
        <v>125</v>
      </c>
      <c r="B146" s="14">
        <v>1708</v>
      </c>
      <c r="C146" s="14">
        <v>1780</v>
      </c>
      <c r="D146" s="14">
        <f t="shared" si="4"/>
        <v>3488</v>
      </c>
      <c r="E146" s="28">
        <f>D146-'R2.1.1現在'!D146</f>
        <v>37</v>
      </c>
    </row>
    <row r="147" spans="1:5" x14ac:dyDescent="0.45">
      <c r="A147" s="9" t="s">
        <v>95</v>
      </c>
      <c r="B147" s="14">
        <v>9914</v>
      </c>
      <c r="C147" s="14">
        <v>11157</v>
      </c>
      <c r="D147" s="14">
        <f t="shared" si="4"/>
        <v>21071</v>
      </c>
      <c r="E147" s="28">
        <f>D147-'R2.1.1現在'!D147</f>
        <v>-204</v>
      </c>
    </row>
    <row r="148" spans="1:5" x14ac:dyDescent="0.45">
      <c r="A148" s="9" t="s">
        <v>77</v>
      </c>
      <c r="B148" s="14">
        <v>1790</v>
      </c>
      <c r="C148" s="14">
        <v>2069</v>
      </c>
      <c r="D148" s="14">
        <f t="shared" si="4"/>
        <v>3859</v>
      </c>
      <c r="E148" s="28">
        <f>D148-'R2.1.1現在'!D148</f>
        <v>-72</v>
      </c>
    </row>
    <row r="149" spans="1:5" x14ac:dyDescent="0.45">
      <c r="A149" s="9" t="s">
        <v>68</v>
      </c>
      <c r="B149" s="14">
        <v>2337</v>
      </c>
      <c r="C149" s="14">
        <v>2448</v>
      </c>
      <c r="D149" s="14">
        <f t="shared" si="4"/>
        <v>4785</v>
      </c>
      <c r="E149" s="28">
        <f>D149-'R2.1.1現在'!D149</f>
        <v>-45</v>
      </c>
    </row>
    <row r="150" spans="1:5" x14ac:dyDescent="0.45">
      <c r="A150" s="9" t="s">
        <v>179</v>
      </c>
      <c r="B150" s="14">
        <v>7508</v>
      </c>
      <c r="C150" s="14">
        <v>7319</v>
      </c>
      <c r="D150" s="14">
        <f t="shared" si="4"/>
        <v>14827</v>
      </c>
      <c r="E150" s="28">
        <f>D150-'R2.1.1現在'!D150</f>
        <v>205</v>
      </c>
    </row>
    <row r="151" spans="1:5" x14ac:dyDescent="0.45">
      <c r="A151" s="9" t="s">
        <v>60</v>
      </c>
      <c r="B151" s="14">
        <v>1778</v>
      </c>
      <c r="C151" s="14">
        <v>1981</v>
      </c>
      <c r="D151" s="14">
        <f t="shared" si="4"/>
        <v>3759</v>
      </c>
      <c r="E151" s="28">
        <f>D151-'R2.1.1現在'!D151</f>
        <v>-61</v>
      </c>
    </row>
    <row r="152" spans="1:5" x14ac:dyDescent="0.45">
      <c r="A152" s="9" t="s">
        <v>165</v>
      </c>
      <c r="B152" s="14">
        <v>1499</v>
      </c>
      <c r="C152" s="14">
        <v>1589</v>
      </c>
      <c r="D152" s="14">
        <f t="shared" si="4"/>
        <v>3088</v>
      </c>
      <c r="E152" s="28">
        <f>D152-'R2.1.1現在'!D152</f>
        <v>-14</v>
      </c>
    </row>
    <row r="153" spans="1:5" x14ac:dyDescent="0.45">
      <c r="A153" s="9" t="s">
        <v>128</v>
      </c>
      <c r="B153" s="14">
        <v>1935</v>
      </c>
      <c r="C153" s="14">
        <v>1888</v>
      </c>
      <c r="D153" s="14">
        <f t="shared" si="4"/>
        <v>3823</v>
      </c>
      <c r="E153" s="28">
        <f>D153-'R2.1.1現在'!D153</f>
        <v>-30</v>
      </c>
    </row>
    <row r="154" spans="1:5" x14ac:dyDescent="0.45">
      <c r="A154" s="9" t="s">
        <v>133</v>
      </c>
      <c r="B154" s="14">
        <v>54902</v>
      </c>
      <c r="C154" s="14">
        <v>60533</v>
      </c>
      <c r="D154" s="14">
        <f t="shared" si="4"/>
        <v>115435</v>
      </c>
      <c r="E154" s="28">
        <f>D154-'R2.1.1現在'!D154</f>
        <v>-733</v>
      </c>
    </row>
    <row r="155" spans="1:5" x14ac:dyDescent="0.45">
      <c r="A155" s="9" t="s">
        <v>32</v>
      </c>
      <c r="B155" s="14">
        <v>27880</v>
      </c>
      <c r="C155" s="14">
        <v>30250</v>
      </c>
      <c r="D155" s="14">
        <f t="shared" si="4"/>
        <v>58130</v>
      </c>
      <c r="E155" s="28">
        <f>D155-'R2.1.1現在'!D155</f>
        <v>241</v>
      </c>
    </row>
    <row r="156" spans="1:5" x14ac:dyDescent="0.45">
      <c r="A156" s="9" t="s">
        <v>75</v>
      </c>
      <c r="B156" s="14">
        <v>21396</v>
      </c>
      <c r="C156" s="14">
        <v>24261</v>
      </c>
      <c r="D156" s="14">
        <f t="shared" si="4"/>
        <v>45657</v>
      </c>
      <c r="E156" s="28">
        <f>D156-'R2.1.1現在'!D156</f>
        <v>-108</v>
      </c>
    </row>
    <row r="157" spans="1:5" x14ac:dyDescent="0.45">
      <c r="A157" s="9" t="s">
        <v>26</v>
      </c>
      <c r="B157" s="14">
        <v>850</v>
      </c>
      <c r="C157" s="14">
        <v>906</v>
      </c>
      <c r="D157" s="14">
        <f t="shared" si="4"/>
        <v>1756</v>
      </c>
      <c r="E157" s="28">
        <f>D157-'R2.1.1現在'!D157</f>
        <v>-37</v>
      </c>
    </row>
    <row r="158" spans="1:5" x14ac:dyDescent="0.45">
      <c r="A158" s="9" t="s">
        <v>132</v>
      </c>
      <c r="B158" s="14">
        <v>1171</v>
      </c>
      <c r="C158" s="14">
        <v>1098</v>
      </c>
      <c r="D158" s="14">
        <f t="shared" si="4"/>
        <v>2269</v>
      </c>
      <c r="E158" s="28">
        <f>D158-'R2.1.1現在'!D158</f>
        <v>2</v>
      </c>
    </row>
    <row r="159" spans="1:5" x14ac:dyDescent="0.45">
      <c r="A159" s="9" t="s">
        <v>114</v>
      </c>
      <c r="B159" s="14">
        <v>684</v>
      </c>
      <c r="C159" s="14">
        <v>702</v>
      </c>
      <c r="D159" s="14">
        <f t="shared" si="4"/>
        <v>1386</v>
      </c>
      <c r="E159" s="28">
        <f>D159-'R2.1.1現在'!D159</f>
        <v>-59</v>
      </c>
    </row>
    <row r="160" spans="1:5" x14ac:dyDescent="0.45">
      <c r="A160" s="9" t="s">
        <v>166</v>
      </c>
      <c r="B160" s="14">
        <v>3297</v>
      </c>
      <c r="C160" s="14">
        <v>3436</v>
      </c>
      <c r="D160" s="14">
        <f t="shared" si="4"/>
        <v>6733</v>
      </c>
      <c r="E160" s="28">
        <f>D160-'R2.1.1現在'!D160</f>
        <v>-118</v>
      </c>
    </row>
    <row r="161" spans="1:5" x14ac:dyDescent="0.45">
      <c r="A161" s="9" t="s">
        <v>23</v>
      </c>
      <c r="B161" s="14">
        <v>1350</v>
      </c>
      <c r="C161" s="14">
        <v>1477</v>
      </c>
      <c r="D161" s="14">
        <f t="shared" si="4"/>
        <v>2827</v>
      </c>
      <c r="E161" s="28">
        <f>D161-'R2.1.1現在'!D161</f>
        <v>-32</v>
      </c>
    </row>
    <row r="162" spans="1:5" x14ac:dyDescent="0.45">
      <c r="A162" s="9" t="s">
        <v>163</v>
      </c>
      <c r="B162" s="14">
        <v>12630</v>
      </c>
      <c r="C162" s="14">
        <v>13813</v>
      </c>
      <c r="D162" s="14">
        <f t="shared" si="4"/>
        <v>26443</v>
      </c>
      <c r="E162" s="28">
        <f>D162-'R2.1.1現在'!D162</f>
        <v>-81</v>
      </c>
    </row>
    <row r="163" spans="1:5" x14ac:dyDescent="0.45">
      <c r="A163" s="9" t="s">
        <v>94</v>
      </c>
      <c r="B163" s="14">
        <v>13189</v>
      </c>
      <c r="C163" s="14">
        <v>13870</v>
      </c>
      <c r="D163" s="14">
        <f t="shared" ref="D163:D181" si="5">SUM(B163:C163)</f>
        <v>27059</v>
      </c>
      <c r="E163" s="28">
        <f>D163-'R2.1.1現在'!D163</f>
        <v>-143</v>
      </c>
    </row>
    <row r="164" spans="1:5" x14ac:dyDescent="0.45">
      <c r="A164" s="9" t="s">
        <v>134</v>
      </c>
      <c r="B164" s="14">
        <v>16986</v>
      </c>
      <c r="C164" s="14">
        <v>17654</v>
      </c>
      <c r="D164" s="14">
        <f t="shared" si="5"/>
        <v>34640</v>
      </c>
      <c r="E164" s="28">
        <f>D164-'R2.1.1現在'!D164</f>
        <v>-68</v>
      </c>
    </row>
    <row r="165" spans="1:5" x14ac:dyDescent="0.45">
      <c r="A165" s="9" t="s">
        <v>79</v>
      </c>
      <c r="B165" s="14">
        <v>1829</v>
      </c>
      <c r="C165" s="14">
        <v>2127</v>
      </c>
      <c r="D165" s="14">
        <f t="shared" si="5"/>
        <v>3956</v>
      </c>
      <c r="E165" s="28">
        <f>D165-'R2.1.1現在'!D165</f>
        <v>-87</v>
      </c>
    </row>
    <row r="166" spans="1:5" x14ac:dyDescent="0.45">
      <c r="A166" s="9" t="s">
        <v>135</v>
      </c>
      <c r="B166" s="14">
        <v>9958</v>
      </c>
      <c r="C166" s="14">
        <v>11359</v>
      </c>
      <c r="D166" s="14">
        <f t="shared" si="5"/>
        <v>21317</v>
      </c>
      <c r="E166" s="28">
        <f>D166-'R2.1.1現在'!D166</f>
        <v>146</v>
      </c>
    </row>
    <row r="167" spans="1:5" x14ac:dyDescent="0.45">
      <c r="A167" s="9" t="s">
        <v>145</v>
      </c>
      <c r="B167" s="14">
        <v>4035</v>
      </c>
      <c r="C167" s="14">
        <v>4434</v>
      </c>
      <c r="D167" s="14">
        <f t="shared" si="5"/>
        <v>8469</v>
      </c>
      <c r="E167" s="28">
        <f>D167-'R2.1.1現在'!D167</f>
        <v>-20</v>
      </c>
    </row>
    <row r="168" spans="1:5" x14ac:dyDescent="0.45">
      <c r="A168" s="9" t="s">
        <v>17</v>
      </c>
      <c r="B168" s="14">
        <v>2365</v>
      </c>
      <c r="C168" s="14">
        <v>2568</v>
      </c>
      <c r="D168" s="14">
        <f t="shared" si="5"/>
        <v>4933</v>
      </c>
      <c r="E168" s="28">
        <f>D168-'R2.1.1現在'!D168</f>
        <v>-109</v>
      </c>
    </row>
    <row r="169" spans="1:5" x14ac:dyDescent="0.45">
      <c r="A169" s="9" t="s">
        <v>149</v>
      </c>
      <c r="B169" s="14">
        <v>2079</v>
      </c>
      <c r="C169" s="14">
        <v>2260</v>
      </c>
      <c r="D169" s="14">
        <f t="shared" si="5"/>
        <v>4339</v>
      </c>
      <c r="E169" s="28">
        <f>D169-'R2.1.1現在'!D169</f>
        <v>146</v>
      </c>
    </row>
    <row r="170" spans="1:5" x14ac:dyDescent="0.45">
      <c r="A170" s="9" t="s">
        <v>13</v>
      </c>
      <c r="B170" s="14">
        <v>3447</v>
      </c>
      <c r="C170" s="14">
        <v>3983</v>
      </c>
      <c r="D170" s="14">
        <f t="shared" si="5"/>
        <v>7430</v>
      </c>
      <c r="E170" s="28">
        <f>D170-'R2.1.1現在'!D170</f>
        <v>-286</v>
      </c>
    </row>
    <row r="171" spans="1:5" x14ac:dyDescent="0.45">
      <c r="A171" s="9" t="s">
        <v>54</v>
      </c>
      <c r="B171" s="14">
        <v>8512</v>
      </c>
      <c r="C171" s="14">
        <v>9741</v>
      </c>
      <c r="D171" s="14">
        <f t="shared" si="5"/>
        <v>18253</v>
      </c>
      <c r="E171" s="28">
        <f>D171-'R2.1.1現在'!D171</f>
        <v>-156</v>
      </c>
    </row>
    <row r="172" spans="1:5" x14ac:dyDescent="0.45">
      <c r="A172" s="9" t="s">
        <v>71</v>
      </c>
      <c r="B172" s="14">
        <v>1960</v>
      </c>
      <c r="C172" s="14">
        <v>2165</v>
      </c>
      <c r="D172" s="14">
        <f t="shared" si="5"/>
        <v>4125</v>
      </c>
      <c r="E172" s="28">
        <f>D172-'R2.1.1現在'!D172</f>
        <v>-77</v>
      </c>
    </row>
    <row r="173" spans="1:5" x14ac:dyDescent="0.45">
      <c r="A173" s="9" t="s">
        <v>182</v>
      </c>
      <c r="B173" s="14">
        <v>2364</v>
      </c>
      <c r="C173" s="14">
        <v>2402</v>
      </c>
      <c r="D173" s="14">
        <f t="shared" si="5"/>
        <v>4766</v>
      </c>
      <c r="E173" s="28">
        <f>D173-'R2.1.1現在'!D173</f>
        <v>-148</v>
      </c>
    </row>
    <row r="174" spans="1:5" x14ac:dyDescent="0.45">
      <c r="A174" s="9" t="s">
        <v>40</v>
      </c>
      <c r="B174" s="14">
        <v>2239</v>
      </c>
      <c r="C174" s="14">
        <v>2366</v>
      </c>
      <c r="D174" s="14">
        <f t="shared" si="5"/>
        <v>4605</v>
      </c>
      <c r="E174" s="28">
        <f>D174-'R2.1.1現在'!D174</f>
        <v>-4</v>
      </c>
    </row>
    <row r="175" spans="1:5" x14ac:dyDescent="0.45">
      <c r="A175" s="9" t="s">
        <v>130</v>
      </c>
      <c r="B175" s="14">
        <v>961</v>
      </c>
      <c r="C175" s="14">
        <v>1003</v>
      </c>
      <c r="D175" s="14">
        <f t="shared" si="5"/>
        <v>1964</v>
      </c>
      <c r="E175" s="28">
        <f>D175-'R2.1.1現在'!D175</f>
        <v>-36</v>
      </c>
    </row>
    <row r="176" spans="1:5" x14ac:dyDescent="0.45">
      <c r="A176" s="9" t="s">
        <v>131</v>
      </c>
      <c r="B176" s="14">
        <v>1156</v>
      </c>
      <c r="C176" s="14">
        <v>1232</v>
      </c>
      <c r="D176" s="14">
        <f t="shared" si="5"/>
        <v>2388</v>
      </c>
      <c r="E176" s="28">
        <f>D176-'R2.1.1現在'!D176</f>
        <v>-31</v>
      </c>
    </row>
    <row r="177" spans="1:5" x14ac:dyDescent="0.45">
      <c r="A177" s="9" t="s">
        <v>168</v>
      </c>
      <c r="B177" s="14">
        <v>1162</v>
      </c>
      <c r="C177" s="14">
        <v>1152</v>
      </c>
      <c r="D177" s="14">
        <f t="shared" si="5"/>
        <v>2314</v>
      </c>
      <c r="E177" s="28">
        <f>D177-'R2.1.1現在'!D177</f>
        <v>-3</v>
      </c>
    </row>
    <row r="178" spans="1:5" x14ac:dyDescent="0.45">
      <c r="A178" s="9" t="s">
        <v>43</v>
      </c>
      <c r="B178" s="14">
        <v>969</v>
      </c>
      <c r="C178" s="14">
        <v>942</v>
      </c>
      <c r="D178" s="14">
        <f t="shared" si="5"/>
        <v>1911</v>
      </c>
      <c r="E178" s="28">
        <f>D178-'R2.1.1現在'!D178</f>
        <v>142</v>
      </c>
    </row>
    <row r="179" spans="1:5" x14ac:dyDescent="0.45">
      <c r="A179" s="9" t="s">
        <v>115</v>
      </c>
      <c r="B179" s="14">
        <v>9698</v>
      </c>
      <c r="C179" s="14">
        <v>10559</v>
      </c>
      <c r="D179" s="14">
        <f t="shared" si="5"/>
        <v>20257</v>
      </c>
      <c r="E179" s="28">
        <f>D179-'R2.1.1現在'!D179</f>
        <v>-312</v>
      </c>
    </row>
    <row r="180" spans="1:5" x14ac:dyDescent="0.45">
      <c r="A180" s="9" t="s">
        <v>129</v>
      </c>
      <c r="B180" s="14">
        <v>1226</v>
      </c>
      <c r="C180" s="14">
        <v>1190</v>
      </c>
      <c r="D180" s="14">
        <f t="shared" si="5"/>
        <v>2416</v>
      </c>
      <c r="E180" s="28">
        <f>D180-'R2.1.1現在'!D180</f>
        <v>-37</v>
      </c>
    </row>
    <row r="181" spans="1:5" ht="19.5" thickBot="1" x14ac:dyDescent="0.5">
      <c r="A181" s="24" t="s">
        <v>108</v>
      </c>
      <c r="B181" s="25">
        <v>1517</v>
      </c>
      <c r="C181" s="25">
        <v>1705</v>
      </c>
      <c r="D181" s="25">
        <f t="shared" si="5"/>
        <v>3222</v>
      </c>
      <c r="E181" s="29">
        <f>D181-'R2.1.1現在'!D181</f>
        <v>-38</v>
      </c>
    </row>
    <row r="182" spans="1:5" ht="20.25" thickTop="1" thickBot="1" x14ac:dyDescent="0.5">
      <c r="A182" s="4" t="s">
        <v>3</v>
      </c>
      <c r="B182" s="19">
        <f t="shared" ref="B182:D182" si="6">SUM(B3:B181)</f>
        <v>2471013</v>
      </c>
      <c r="C182" s="19">
        <f t="shared" si="6"/>
        <v>2757719</v>
      </c>
      <c r="D182" s="19">
        <f t="shared" si="6"/>
        <v>5228732</v>
      </c>
      <c r="E182" s="27">
        <f>SUM(E3:E181)</f>
        <v>2666</v>
      </c>
    </row>
  </sheetData>
  <sortState xmlns:xlrd2="http://schemas.microsoft.com/office/spreadsheetml/2017/richdata2" ref="A3:D181">
    <sortCondition ref="A2:A181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F1EC-286C-4B78-95E3-1AAF3FDF4BDA}">
  <sheetPr codeName="Sheet3"/>
  <dimension ref="A1:D182"/>
  <sheetViews>
    <sheetView zoomScaleNormal="100" workbookViewId="0">
      <pane ySplit="2" topLeftCell="A3" activePane="bottomLeft" state="frozen"/>
      <selection pane="bottomLeft"/>
    </sheetView>
  </sheetViews>
  <sheetFormatPr defaultRowHeight="18.75" x14ac:dyDescent="0.45"/>
  <cols>
    <col min="1" max="4" width="14" customWidth="1"/>
  </cols>
  <sheetData>
    <row r="1" spans="1:4" ht="19.5" x14ac:dyDescent="0.45">
      <c r="A1" s="3" t="s">
        <v>185</v>
      </c>
      <c r="B1" s="7"/>
      <c r="C1" s="7"/>
      <c r="D1" s="7"/>
    </row>
    <row r="2" spans="1:4" x14ac:dyDescent="0.45">
      <c r="A2" s="6" t="s">
        <v>0</v>
      </c>
      <c r="B2" s="6" t="s">
        <v>1</v>
      </c>
      <c r="C2" s="6" t="s">
        <v>2</v>
      </c>
      <c r="D2" s="6" t="s">
        <v>3</v>
      </c>
    </row>
    <row r="3" spans="1:4" x14ac:dyDescent="0.45">
      <c r="A3" s="8" t="s">
        <v>72</v>
      </c>
      <c r="B3" s="11">
        <v>2305</v>
      </c>
      <c r="C3" s="11">
        <v>2274</v>
      </c>
      <c r="D3" s="11">
        <f t="shared" ref="D3:D34" si="0">SUM(B3:C3)</f>
        <v>4579</v>
      </c>
    </row>
    <row r="4" spans="1:4" x14ac:dyDescent="0.45">
      <c r="A4" s="9" t="s">
        <v>91</v>
      </c>
      <c r="B4" s="10">
        <v>3647</v>
      </c>
      <c r="C4" s="10">
        <v>4065</v>
      </c>
      <c r="D4" s="10">
        <f t="shared" si="0"/>
        <v>7712</v>
      </c>
    </row>
    <row r="5" spans="1:4" x14ac:dyDescent="0.45">
      <c r="A5" s="9" t="s">
        <v>41</v>
      </c>
      <c r="B5" s="10">
        <v>2377</v>
      </c>
      <c r="C5" s="10">
        <v>2390</v>
      </c>
      <c r="D5" s="10">
        <f t="shared" si="0"/>
        <v>4767</v>
      </c>
    </row>
    <row r="6" spans="1:4" x14ac:dyDescent="0.45">
      <c r="A6" s="9" t="s">
        <v>66</v>
      </c>
      <c r="B6" s="10">
        <v>3796</v>
      </c>
      <c r="C6" s="10">
        <v>3978</v>
      </c>
      <c r="D6" s="10">
        <f t="shared" si="0"/>
        <v>7774</v>
      </c>
    </row>
    <row r="7" spans="1:4" x14ac:dyDescent="0.45">
      <c r="A7" s="9" t="s">
        <v>100</v>
      </c>
      <c r="B7" s="10">
        <v>1268</v>
      </c>
      <c r="C7" s="10">
        <v>1416</v>
      </c>
      <c r="D7" s="10">
        <f t="shared" si="0"/>
        <v>2684</v>
      </c>
    </row>
    <row r="8" spans="1:4" x14ac:dyDescent="0.45">
      <c r="A8" s="9" t="s">
        <v>92</v>
      </c>
      <c r="B8" s="10">
        <v>154503</v>
      </c>
      <c r="C8" s="10">
        <v>178302</v>
      </c>
      <c r="D8" s="10">
        <f t="shared" si="0"/>
        <v>332805</v>
      </c>
    </row>
    <row r="9" spans="1:4" x14ac:dyDescent="0.45">
      <c r="A9" s="9" t="s">
        <v>6</v>
      </c>
      <c r="B9" s="10">
        <v>6028</v>
      </c>
      <c r="C9" s="10">
        <v>7140</v>
      </c>
      <c r="D9" s="10">
        <f t="shared" si="0"/>
        <v>13168</v>
      </c>
    </row>
    <row r="10" spans="1:4" x14ac:dyDescent="0.45">
      <c r="A10" s="9" t="s">
        <v>65</v>
      </c>
      <c r="B10" s="10">
        <v>3811</v>
      </c>
      <c r="C10" s="10">
        <v>3875</v>
      </c>
      <c r="D10" s="10">
        <f t="shared" si="0"/>
        <v>7686</v>
      </c>
    </row>
    <row r="11" spans="1:4" x14ac:dyDescent="0.45">
      <c r="A11" s="9" t="s">
        <v>59</v>
      </c>
      <c r="B11" s="10">
        <v>15708</v>
      </c>
      <c r="C11" s="10">
        <v>17962</v>
      </c>
      <c r="D11" s="10">
        <f t="shared" si="0"/>
        <v>33670</v>
      </c>
    </row>
    <row r="12" spans="1:4" x14ac:dyDescent="0.45">
      <c r="A12" s="9" t="s">
        <v>119</v>
      </c>
      <c r="B12" s="10">
        <v>3248</v>
      </c>
      <c r="C12" s="10">
        <v>3524</v>
      </c>
      <c r="D12" s="10">
        <f t="shared" si="0"/>
        <v>6772</v>
      </c>
    </row>
    <row r="13" spans="1:4" x14ac:dyDescent="0.45">
      <c r="A13" s="9" t="s">
        <v>25</v>
      </c>
      <c r="B13" s="10">
        <v>1129</v>
      </c>
      <c r="C13" s="10">
        <v>1188</v>
      </c>
      <c r="D13" s="10">
        <f t="shared" si="0"/>
        <v>2317</v>
      </c>
    </row>
    <row r="14" spans="1:4" x14ac:dyDescent="0.45">
      <c r="A14" s="9" t="s">
        <v>21</v>
      </c>
      <c r="B14" s="10">
        <v>858</v>
      </c>
      <c r="C14" s="10">
        <v>925</v>
      </c>
      <c r="D14" s="10">
        <f t="shared" si="0"/>
        <v>1783</v>
      </c>
    </row>
    <row r="15" spans="1:4" x14ac:dyDescent="0.45">
      <c r="A15" s="9" t="s">
        <v>70</v>
      </c>
      <c r="B15" s="10">
        <v>5819</v>
      </c>
      <c r="C15" s="10">
        <v>6075</v>
      </c>
      <c r="D15" s="10">
        <f t="shared" si="0"/>
        <v>11894</v>
      </c>
    </row>
    <row r="16" spans="1:4" x14ac:dyDescent="0.45">
      <c r="A16" s="9" t="s">
        <v>169</v>
      </c>
      <c r="B16" s="10">
        <v>2220</v>
      </c>
      <c r="C16" s="10">
        <v>2368</v>
      </c>
      <c r="D16" s="10">
        <f t="shared" si="0"/>
        <v>4588</v>
      </c>
    </row>
    <row r="17" spans="1:4" x14ac:dyDescent="0.45">
      <c r="A17" s="9" t="s">
        <v>124</v>
      </c>
      <c r="B17" s="10">
        <v>1312</v>
      </c>
      <c r="C17" s="10">
        <v>1298</v>
      </c>
      <c r="D17" s="10">
        <f t="shared" si="0"/>
        <v>2610</v>
      </c>
    </row>
    <row r="18" spans="1:4" x14ac:dyDescent="0.45">
      <c r="A18" s="9" t="s">
        <v>144</v>
      </c>
      <c r="B18" s="10">
        <v>9553</v>
      </c>
      <c r="C18" s="10">
        <v>10014</v>
      </c>
      <c r="D18" s="10">
        <f t="shared" si="0"/>
        <v>19567</v>
      </c>
    </row>
    <row r="19" spans="1:4" x14ac:dyDescent="0.45">
      <c r="A19" s="9" t="s">
        <v>121</v>
      </c>
      <c r="B19" s="10">
        <v>1255</v>
      </c>
      <c r="C19" s="10">
        <v>1320</v>
      </c>
      <c r="D19" s="10">
        <f t="shared" si="0"/>
        <v>2575</v>
      </c>
    </row>
    <row r="20" spans="1:4" x14ac:dyDescent="0.45">
      <c r="A20" s="9" t="s">
        <v>89</v>
      </c>
      <c r="B20" s="10">
        <v>1377</v>
      </c>
      <c r="C20" s="10">
        <v>1203</v>
      </c>
      <c r="D20" s="10">
        <f t="shared" si="0"/>
        <v>2580</v>
      </c>
    </row>
    <row r="21" spans="1:4" x14ac:dyDescent="0.45">
      <c r="A21" s="9" t="s">
        <v>88</v>
      </c>
      <c r="B21" s="10">
        <v>1660</v>
      </c>
      <c r="C21" s="10">
        <v>1947</v>
      </c>
      <c r="D21" s="10">
        <f t="shared" si="0"/>
        <v>3607</v>
      </c>
    </row>
    <row r="22" spans="1:4" x14ac:dyDescent="0.45">
      <c r="A22" s="9" t="s">
        <v>112</v>
      </c>
      <c r="B22" s="10">
        <v>375</v>
      </c>
      <c r="C22" s="10">
        <v>353</v>
      </c>
      <c r="D22" s="10">
        <f t="shared" si="0"/>
        <v>728</v>
      </c>
    </row>
    <row r="23" spans="1:4" x14ac:dyDescent="0.45">
      <c r="A23" s="9" t="s">
        <v>152</v>
      </c>
      <c r="B23" s="10">
        <v>20970</v>
      </c>
      <c r="C23" s="10">
        <v>23228</v>
      </c>
      <c r="D23" s="10">
        <f t="shared" si="0"/>
        <v>44198</v>
      </c>
    </row>
    <row r="24" spans="1:4" x14ac:dyDescent="0.45">
      <c r="A24" s="9" t="s">
        <v>110</v>
      </c>
      <c r="B24" s="10">
        <v>1536</v>
      </c>
      <c r="C24" s="10">
        <v>1695</v>
      </c>
      <c r="D24" s="10">
        <f t="shared" si="0"/>
        <v>3231</v>
      </c>
    </row>
    <row r="25" spans="1:4" x14ac:dyDescent="0.45">
      <c r="A25" s="9" t="s">
        <v>11</v>
      </c>
      <c r="B25" s="10">
        <v>1471</v>
      </c>
      <c r="C25" s="10">
        <v>1653</v>
      </c>
      <c r="D25" s="10">
        <f t="shared" si="0"/>
        <v>3124</v>
      </c>
    </row>
    <row r="26" spans="1:4" x14ac:dyDescent="0.45">
      <c r="A26" s="9" t="s">
        <v>158</v>
      </c>
      <c r="B26" s="10">
        <v>8820</v>
      </c>
      <c r="C26" s="10">
        <v>9590</v>
      </c>
      <c r="D26" s="10">
        <f t="shared" si="0"/>
        <v>18410</v>
      </c>
    </row>
    <row r="27" spans="1:4" x14ac:dyDescent="0.45">
      <c r="A27" s="9" t="s">
        <v>4</v>
      </c>
      <c r="B27" s="10">
        <v>37452</v>
      </c>
      <c r="C27" s="10">
        <v>42748</v>
      </c>
      <c r="D27" s="10">
        <f t="shared" si="0"/>
        <v>80200</v>
      </c>
    </row>
    <row r="28" spans="1:4" x14ac:dyDescent="0.45">
      <c r="A28" s="9" t="s">
        <v>48</v>
      </c>
      <c r="B28" s="10">
        <v>5792</v>
      </c>
      <c r="C28" s="10">
        <v>6458</v>
      </c>
      <c r="D28" s="10">
        <f t="shared" si="0"/>
        <v>12250</v>
      </c>
    </row>
    <row r="29" spans="1:4" x14ac:dyDescent="0.45">
      <c r="A29" s="9" t="s">
        <v>44</v>
      </c>
      <c r="B29" s="10">
        <v>1068</v>
      </c>
      <c r="C29" s="10">
        <v>1027</v>
      </c>
      <c r="D29" s="10">
        <f t="shared" si="0"/>
        <v>2095</v>
      </c>
    </row>
    <row r="30" spans="1:4" x14ac:dyDescent="0.45">
      <c r="A30" s="9" t="s">
        <v>45</v>
      </c>
      <c r="B30" s="10">
        <v>1425</v>
      </c>
      <c r="C30" s="10">
        <v>1494</v>
      </c>
      <c r="D30" s="10">
        <f t="shared" si="0"/>
        <v>2919</v>
      </c>
    </row>
    <row r="31" spans="1:4" x14ac:dyDescent="0.45">
      <c r="A31" s="9" t="s">
        <v>47</v>
      </c>
      <c r="B31" s="10">
        <v>2974</v>
      </c>
      <c r="C31" s="10">
        <v>2865</v>
      </c>
      <c r="D31" s="10">
        <f t="shared" si="0"/>
        <v>5839</v>
      </c>
    </row>
    <row r="32" spans="1:4" x14ac:dyDescent="0.45">
      <c r="A32" s="9" t="s">
        <v>147</v>
      </c>
      <c r="B32" s="10">
        <v>1832</v>
      </c>
      <c r="C32" s="10">
        <v>1868</v>
      </c>
      <c r="D32" s="10">
        <f t="shared" si="0"/>
        <v>3700</v>
      </c>
    </row>
    <row r="33" spans="1:4" x14ac:dyDescent="0.45">
      <c r="A33" s="9" t="s">
        <v>46</v>
      </c>
      <c r="B33" s="10">
        <v>7261</v>
      </c>
      <c r="C33" s="10">
        <v>7134</v>
      </c>
      <c r="D33" s="10">
        <f t="shared" si="0"/>
        <v>14395</v>
      </c>
    </row>
    <row r="34" spans="1:4" x14ac:dyDescent="0.45">
      <c r="A34" s="9" t="s">
        <v>170</v>
      </c>
      <c r="B34" s="10">
        <v>78771</v>
      </c>
      <c r="C34" s="10">
        <v>88280</v>
      </c>
      <c r="D34" s="10">
        <f t="shared" si="0"/>
        <v>167051</v>
      </c>
    </row>
    <row r="35" spans="1:4" x14ac:dyDescent="0.45">
      <c r="A35" s="9" t="s">
        <v>171</v>
      </c>
      <c r="B35" s="10">
        <v>9290</v>
      </c>
      <c r="C35" s="10">
        <v>10223</v>
      </c>
      <c r="D35" s="10">
        <f t="shared" ref="D35:D66" si="1">SUM(B35:C35)</f>
        <v>19513</v>
      </c>
    </row>
    <row r="36" spans="1:4" x14ac:dyDescent="0.45">
      <c r="A36" s="9" t="s">
        <v>19</v>
      </c>
      <c r="B36" s="10">
        <v>5364</v>
      </c>
      <c r="C36" s="10">
        <v>6204</v>
      </c>
      <c r="D36" s="10">
        <f t="shared" si="1"/>
        <v>11568</v>
      </c>
    </row>
    <row r="37" spans="1:4" x14ac:dyDescent="0.45">
      <c r="A37" s="9" t="s">
        <v>141</v>
      </c>
      <c r="B37" s="10">
        <v>2326</v>
      </c>
      <c r="C37" s="10">
        <v>2529</v>
      </c>
      <c r="D37" s="10">
        <f t="shared" si="1"/>
        <v>4855</v>
      </c>
    </row>
    <row r="38" spans="1:4" x14ac:dyDescent="0.45">
      <c r="A38" s="9" t="s">
        <v>31</v>
      </c>
      <c r="B38" s="10">
        <v>33847</v>
      </c>
      <c r="C38" s="10">
        <v>35705</v>
      </c>
      <c r="D38" s="10">
        <f t="shared" si="1"/>
        <v>69552</v>
      </c>
    </row>
    <row r="39" spans="1:4" x14ac:dyDescent="0.45">
      <c r="A39" s="9" t="s">
        <v>20</v>
      </c>
      <c r="B39" s="10">
        <v>1582</v>
      </c>
      <c r="C39" s="10">
        <v>1532</v>
      </c>
      <c r="D39" s="10">
        <f t="shared" si="1"/>
        <v>3114</v>
      </c>
    </row>
    <row r="40" spans="1:4" x14ac:dyDescent="0.45">
      <c r="A40" s="9" t="s">
        <v>109</v>
      </c>
      <c r="B40" s="10">
        <v>1490</v>
      </c>
      <c r="C40" s="10">
        <v>1572</v>
      </c>
      <c r="D40" s="10">
        <f t="shared" si="1"/>
        <v>3062</v>
      </c>
    </row>
    <row r="41" spans="1:4" x14ac:dyDescent="0.45">
      <c r="A41" s="9" t="s">
        <v>52</v>
      </c>
      <c r="B41" s="10">
        <v>1399</v>
      </c>
      <c r="C41" s="10">
        <v>1562</v>
      </c>
      <c r="D41" s="10">
        <f t="shared" si="1"/>
        <v>2961</v>
      </c>
    </row>
    <row r="42" spans="1:4" x14ac:dyDescent="0.45">
      <c r="A42" s="9" t="s">
        <v>172</v>
      </c>
      <c r="B42" s="10">
        <v>4314</v>
      </c>
      <c r="C42" s="10">
        <v>4721</v>
      </c>
      <c r="D42" s="10">
        <f t="shared" si="1"/>
        <v>9035</v>
      </c>
    </row>
    <row r="43" spans="1:4" x14ac:dyDescent="0.45">
      <c r="A43" s="9" t="s">
        <v>63</v>
      </c>
      <c r="B43" s="10">
        <v>2207</v>
      </c>
      <c r="C43" s="10">
        <v>2250</v>
      </c>
      <c r="D43" s="10">
        <f t="shared" si="1"/>
        <v>4457</v>
      </c>
    </row>
    <row r="44" spans="1:4" x14ac:dyDescent="0.45">
      <c r="A44" s="9" t="s">
        <v>87</v>
      </c>
      <c r="B44" s="10">
        <v>1802</v>
      </c>
      <c r="C44" s="10">
        <v>1961</v>
      </c>
      <c r="D44" s="10">
        <f t="shared" si="1"/>
        <v>3763</v>
      </c>
    </row>
    <row r="45" spans="1:4" x14ac:dyDescent="0.45">
      <c r="A45" s="9" t="s">
        <v>162</v>
      </c>
      <c r="B45" s="10">
        <v>3203</v>
      </c>
      <c r="C45" s="10">
        <v>3410</v>
      </c>
      <c r="D45" s="10">
        <f t="shared" si="1"/>
        <v>6613</v>
      </c>
    </row>
    <row r="46" spans="1:4" x14ac:dyDescent="0.45">
      <c r="A46" s="9" t="s">
        <v>160</v>
      </c>
      <c r="B46" s="10">
        <v>1552</v>
      </c>
      <c r="C46" s="10">
        <v>1597</v>
      </c>
      <c r="D46" s="10">
        <f t="shared" si="1"/>
        <v>3149</v>
      </c>
    </row>
    <row r="47" spans="1:4" x14ac:dyDescent="0.45">
      <c r="A47" s="9" t="s">
        <v>85</v>
      </c>
      <c r="B47" s="10">
        <v>3584</v>
      </c>
      <c r="C47" s="10">
        <v>3880</v>
      </c>
      <c r="D47" s="10">
        <f t="shared" si="1"/>
        <v>7464</v>
      </c>
    </row>
    <row r="48" spans="1:4" x14ac:dyDescent="0.45">
      <c r="A48" s="9" t="s">
        <v>29</v>
      </c>
      <c r="B48" s="10">
        <v>56532</v>
      </c>
      <c r="C48" s="10">
        <v>62355</v>
      </c>
      <c r="D48" s="10">
        <f t="shared" si="1"/>
        <v>118887</v>
      </c>
    </row>
    <row r="49" spans="1:4" x14ac:dyDescent="0.45">
      <c r="A49" s="9" t="s">
        <v>39</v>
      </c>
      <c r="B49" s="10">
        <v>1320</v>
      </c>
      <c r="C49" s="10">
        <v>1449</v>
      </c>
      <c r="D49" s="10">
        <f t="shared" si="1"/>
        <v>2769</v>
      </c>
    </row>
    <row r="50" spans="1:4" x14ac:dyDescent="0.45">
      <c r="A50" s="9" t="s">
        <v>90</v>
      </c>
      <c r="B50" s="10">
        <v>2485</v>
      </c>
      <c r="C50" s="10">
        <v>2690</v>
      </c>
      <c r="D50" s="10">
        <f t="shared" si="1"/>
        <v>5175</v>
      </c>
    </row>
    <row r="51" spans="1:4" x14ac:dyDescent="0.45">
      <c r="A51" s="9" t="s">
        <v>178</v>
      </c>
      <c r="B51" s="10">
        <v>12102</v>
      </c>
      <c r="C51" s="10">
        <v>13034</v>
      </c>
      <c r="D51" s="10">
        <f t="shared" si="1"/>
        <v>25136</v>
      </c>
    </row>
    <row r="52" spans="1:4" x14ac:dyDescent="0.45">
      <c r="A52" s="9" t="s">
        <v>143</v>
      </c>
      <c r="B52" s="10">
        <v>2380</v>
      </c>
      <c r="C52" s="10">
        <v>2502</v>
      </c>
      <c r="D52" s="10">
        <f t="shared" si="1"/>
        <v>4882</v>
      </c>
    </row>
    <row r="53" spans="1:4" x14ac:dyDescent="0.45">
      <c r="A53" s="9" t="s">
        <v>10</v>
      </c>
      <c r="B53" s="10">
        <v>7784</v>
      </c>
      <c r="C53" s="10">
        <v>9031</v>
      </c>
      <c r="D53" s="10">
        <f t="shared" si="1"/>
        <v>16815</v>
      </c>
    </row>
    <row r="54" spans="1:4" x14ac:dyDescent="0.45">
      <c r="A54" s="9" t="s">
        <v>184</v>
      </c>
      <c r="B54" s="10">
        <v>907910</v>
      </c>
      <c r="C54" s="10">
        <v>1036447</v>
      </c>
      <c r="D54" s="10">
        <f t="shared" si="1"/>
        <v>1944357</v>
      </c>
    </row>
    <row r="55" spans="1:4" x14ac:dyDescent="0.45">
      <c r="A55" s="9" t="s">
        <v>8</v>
      </c>
      <c r="B55" s="10">
        <v>3750</v>
      </c>
      <c r="C55" s="10">
        <v>4536</v>
      </c>
      <c r="D55" s="10">
        <f t="shared" si="1"/>
        <v>8286</v>
      </c>
    </row>
    <row r="56" spans="1:4" x14ac:dyDescent="0.45">
      <c r="A56" s="9" t="s">
        <v>93</v>
      </c>
      <c r="B56" s="10">
        <v>8718</v>
      </c>
      <c r="C56" s="10">
        <v>9763</v>
      </c>
      <c r="D56" s="10">
        <f t="shared" si="1"/>
        <v>18481</v>
      </c>
    </row>
    <row r="57" spans="1:4" x14ac:dyDescent="0.45">
      <c r="A57" s="9" t="s">
        <v>153</v>
      </c>
      <c r="B57" s="10">
        <v>2880</v>
      </c>
      <c r="C57" s="10">
        <v>3077</v>
      </c>
      <c r="D57" s="10">
        <f t="shared" si="1"/>
        <v>5957</v>
      </c>
    </row>
    <row r="58" spans="1:4" x14ac:dyDescent="0.45">
      <c r="A58" s="9" t="s">
        <v>127</v>
      </c>
      <c r="B58" s="10">
        <v>3814</v>
      </c>
      <c r="C58" s="10">
        <v>4079</v>
      </c>
      <c r="D58" s="10">
        <f t="shared" si="1"/>
        <v>7893</v>
      </c>
    </row>
    <row r="59" spans="1:4" x14ac:dyDescent="0.45">
      <c r="A59" s="9" t="s">
        <v>155</v>
      </c>
      <c r="B59" s="10">
        <v>2602</v>
      </c>
      <c r="C59" s="10">
        <v>2657</v>
      </c>
      <c r="D59" s="10">
        <f t="shared" si="1"/>
        <v>5259</v>
      </c>
    </row>
    <row r="60" spans="1:4" x14ac:dyDescent="0.45">
      <c r="A60" s="9" t="s">
        <v>81</v>
      </c>
      <c r="B60" s="10">
        <v>1821</v>
      </c>
      <c r="C60" s="10">
        <v>1965</v>
      </c>
      <c r="D60" s="10">
        <f t="shared" si="1"/>
        <v>3786</v>
      </c>
    </row>
    <row r="61" spans="1:4" x14ac:dyDescent="0.45">
      <c r="A61" s="9" t="s">
        <v>80</v>
      </c>
      <c r="B61" s="10">
        <v>12987</v>
      </c>
      <c r="C61" s="10">
        <v>15047</v>
      </c>
      <c r="D61" s="10">
        <f t="shared" si="1"/>
        <v>28034</v>
      </c>
    </row>
    <row r="62" spans="1:4" x14ac:dyDescent="0.45">
      <c r="A62" s="9" t="s">
        <v>56</v>
      </c>
      <c r="B62" s="10">
        <v>39500</v>
      </c>
      <c r="C62" s="10">
        <v>43032</v>
      </c>
      <c r="D62" s="10">
        <f t="shared" si="1"/>
        <v>82532</v>
      </c>
    </row>
    <row r="63" spans="1:4" x14ac:dyDescent="0.45">
      <c r="A63" s="9" t="s">
        <v>138</v>
      </c>
      <c r="B63" s="10">
        <v>5619</v>
      </c>
      <c r="C63" s="10">
        <v>5695</v>
      </c>
      <c r="D63" s="10">
        <f t="shared" si="1"/>
        <v>11314</v>
      </c>
    </row>
    <row r="64" spans="1:4" x14ac:dyDescent="0.45">
      <c r="A64" s="9" t="s">
        <v>38</v>
      </c>
      <c r="B64" s="10">
        <v>1435</v>
      </c>
      <c r="C64" s="10">
        <v>1456</v>
      </c>
      <c r="D64" s="10">
        <f t="shared" si="1"/>
        <v>2891</v>
      </c>
    </row>
    <row r="65" spans="1:4" x14ac:dyDescent="0.45">
      <c r="A65" s="9" t="s">
        <v>120</v>
      </c>
      <c r="B65" s="10">
        <v>547</v>
      </c>
      <c r="C65" s="10">
        <v>596</v>
      </c>
      <c r="D65" s="10">
        <f t="shared" si="1"/>
        <v>1143</v>
      </c>
    </row>
    <row r="66" spans="1:4" x14ac:dyDescent="0.45">
      <c r="A66" s="9" t="s">
        <v>140</v>
      </c>
      <c r="B66" s="10">
        <v>2287</v>
      </c>
      <c r="C66" s="10">
        <v>2487</v>
      </c>
      <c r="D66" s="10">
        <f t="shared" si="1"/>
        <v>4774</v>
      </c>
    </row>
    <row r="67" spans="1:4" x14ac:dyDescent="0.45">
      <c r="A67" s="9" t="s">
        <v>36</v>
      </c>
      <c r="B67" s="10">
        <v>51346</v>
      </c>
      <c r="C67" s="10">
        <v>62388</v>
      </c>
      <c r="D67" s="10">
        <f t="shared" ref="D67:D98" si="2">SUM(B67:C67)</f>
        <v>113734</v>
      </c>
    </row>
    <row r="68" spans="1:4" x14ac:dyDescent="0.45">
      <c r="A68" s="9" t="s">
        <v>117</v>
      </c>
      <c r="B68" s="10">
        <v>1455</v>
      </c>
      <c r="C68" s="10">
        <v>1568</v>
      </c>
      <c r="D68" s="10">
        <f t="shared" si="2"/>
        <v>3023</v>
      </c>
    </row>
    <row r="69" spans="1:4" x14ac:dyDescent="0.45">
      <c r="A69" s="9" t="s">
        <v>76</v>
      </c>
      <c r="B69" s="10">
        <v>3293</v>
      </c>
      <c r="C69" s="10">
        <v>3658</v>
      </c>
      <c r="D69" s="10">
        <f t="shared" si="2"/>
        <v>6951</v>
      </c>
    </row>
    <row r="70" spans="1:4" x14ac:dyDescent="0.45">
      <c r="A70" s="9" t="s">
        <v>27</v>
      </c>
      <c r="B70" s="10">
        <v>1422</v>
      </c>
      <c r="C70" s="10">
        <v>1587</v>
      </c>
      <c r="D70" s="10">
        <f t="shared" si="2"/>
        <v>3009</v>
      </c>
    </row>
    <row r="71" spans="1:4" x14ac:dyDescent="0.45">
      <c r="A71" s="9" t="s">
        <v>86</v>
      </c>
      <c r="B71" s="10">
        <v>2185</v>
      </c>
      <c r="C71" s="10">
        <v>2496</v>
      </c>
      <c r="D71" s="10">
        <f t="shared" si="2"/>
        <v>4681</v>
      </c>
    </row>
    <row r="72" spans="1:4" x14ac:dyDescent="0.45">
      <c r="A72" s="9" t="s">
        <v>16</v>
      </c>
      <c r="B72" s="10">
        <v>1307</v>
      </c>
      <c r="C72" s="10">
        <v>1555</v>
      </c>
      <c r="D72" s="10">
        <f t="shared" si="2"/>
        <v>2862</v>
      </c>
    </row>
    <row r="73" spans="1:4" x14ac:dyDescent="0.45">
      <c r="A73" s="9" t="s">
        <v>154</v>
      </c>
      <c r="B73" s="10">
        <v>2363</v>
      </c>
      <c r="C73" s="10">
        <v>2462</v>
      </c>
      <c r="D73" s="10">
        <f t="shared" si="2"/>
        <v>4825</v>
      </c>
    </row>
    <row r="74" spans="1:4" x14ac:dyDescent="0.45">
      <c r="A74" s="9" t="s">
        <v>101</v>
      </c>
      <c r="B74" s="10">
        <v>1613</v>
      </c>
      <c r="C74" s="10">
        <v>1816</v>
      </c>
      <c r="D74" s="10">
        <f t="shared" si="2"/>
        <v>3429</v>
      </c>
    </row>
    <row r="75" spans="1:4" x14ac:dyDescent="0.45">
      <c r="A75" s="9" t="s">
        <v>104</v>
      </c>
      <c r="B75" s="10">
        <v>5420</v>
      </c>
      <c r="C75" s="10">
        <v>5177</v>
      </c>
      <c r="D75" s="10">
        <f t="shared" si="2"/>
        <v>10597</v>
      </c>
    </row>
    <row r="76" spans="1:4" x14ac:dyDescent="0.45">
      <c r="A76" s="9" t="s">
        <v>73</v>
      </c>
      <c r="B76" s="10">
        <v>10692</v>
      </c>
      <c r="C76" s="10">
        <v>11403</v>
      </c>
      <c r="D76" s="10">
        <f t="shared" si="2"/>
        <v>22095</v>
      </c>
    </row>
    <row r="77" spans="1:4" x14ac:dyDescent="0.45">
      <c r="A77" s="9" t="s">
        <v>69</v>
      </c>
      <c r="B77" s="10">
        <v>2572</v>
      </c>
      <c r="C77" s="10">
        <v>2753</v>
      </c>
      <c r="D77" s="10">
        <f t="shared" si="2"/>
        <v>5325</v>
      </c>
    </row>
    <row r="78" spans="1:4" x14ac:dyDescent="0.45">
      <c r="A78" s="9" t="s">
        <v>35</v>
      </c>
      <c r="B78" s="10">
        <v>1460</v>
      </c>
      <c r="C78" s="10">
        <v>1566</v>
      </c>
      <c r="D78" s="10">
        <f t="shared" si="2"/>
        <v>3026</v>
      </c>
    </row>
    <row r="79" spans="1:4" x14ac:dyDescent="0.45">
      <c r="A79" s="9" t="s">
        <v>22</v>
      </c>
      <c r="B79" s="10">
        <v>3028</v>
      </c>
      <c r="C79" s="10">
        <v>3484</v>
      </c>
      <c r="D79" s="10">
        <f t="shared" si="2"/>
        <v>6512</v>
      </c>
    </row>
    <row r="80" spans="1:4" x14ac:dyDescent="0.45">
      <c r="A80" s="9" t="s">
        <v>156</v>
      </c>
      <c r="B80" s="10">
        <v>2911</v>
      </c>
      <c r="C80" s="10">
        <v>3002</v>
      </c>
      <c r="D80" s="10">
        <f t="shared" si="2"/>
        <v>5913</v>
      </c>
    </row>
    <row r="81" spans="1:4" x14ac:dyDescent="0.45">
      <c r="A81" s="9" t="s">
        <v>82</v>
      </c>
      <c r="B81" s="10">
        <v>7074</v>
      </c>
      <c r="C81" s="10">
        <v>7850</v>
      </c>
      <c r="D81" s="10">
        <f t="shared" si="2"/>
        <v>14924</v>
      </c>
    </row>
    <row r="82" spans="1:4" x14ac:dyDescent="0.45">
      <c r="A82" s="9" t="s">
        <v>12</v>
      </c>
      <c r="B82" s="10">
        <v>9521</v>
      </c>
      <c r="C82" s="10">
        <v>10793</v>
      </c>
      <c r="D82" s="10">
        <f t="shared" si="2"/>
        <v>20314</v>
      </c>
    </row>
    <row r="83" spans="1:4" x14ac:dyDescent="0.45">
      <c r="A83" s="9" t="s">
        <v>42</v>
      </c>
      <c r="B83" s="10">
        <v>1014</v>
      </c>
      <c r="C83" s="10">
        <v>1030</v>
      </c>
      <c r="D83" s="10">
        <f t="shared" si="2"/>
        <v>2044</v>
      </c>
    </row>
    <row r="84" spans="1:4" x14ac:dyDescent="0.45">
      <c r="A84" s="9" t="s">
        <v>50</v>
      </c>
      <c r="B84" s="10">
        <v>396</v>
      </c>
      <c r="C84" s="10">
        <v>442</v>
      </c>
      <c r="D84" s="10">
        <f t="shared" si="2"/>
        <v>838</v>
      </c>
    </row>
    <row r="85" spans="1:4" x14ac:dyDescent="0.45">
      <c r="A85" s="9" t="s">
        <v>53</v>
      </c>
      <c r="B85" s="10">
        <v>1565</v>
      </c>
      <c r="C85" s="10">
        <v>1668</v>
      </c>
      <c r="D85" s="10">
        <f t="shared" si="2"/>
        <v>3233</v>
      </c>
    </row>
    <row r="86" spans="1:4" x14ac:dyDescent="0.45">
      <c r="A86" s="9" t="s">
        <v>157</v>
      </c>
      <c r="B86" s="10">
        <v>4553</v>
      </c>
      <c r="C86" s="10">
        <v>4663</v>
      </c>
      <c r="D86" s="10">
        <f t="shared" si="2"/>
        <v>9216</v>
      </c>
    </row>
    <row r="87" spans="1:4" x14ac:dyDescent="0.45">
      <c r="A87" s="9" t="s">
        <v>139</v>
      </c>
      <c r="B87" s="10">
        <v>1972</v>
      </c>
      <c r="C87" s="10">
        <v>2029</v>
      </c>
      <c r="D87" s="10">
        <f t="shared" si="2"/>
        <v>4001</v>
      </c>
    </row>
    <row r="88" spans="1:4" x14ac:dyDescent="0.45">
      <c r="A88" s="9" t="s">
        <v>148</v>
      </c>
      <c r="B88" s="10">
        <v>508</v>
      </c>
      <c r="C88" s="10">
        <v>534</v>
      </c>
      <c r="D88" s="10">
        <f t="shared" si="2"/>
        <v>1042</v>
      </c>
    </row>
    <row r="89" spans="1:4" x14ac:dyDescent="0.45">
      <c r="A89" s="9" t="s">
        <v>33</v>
      </c>
      <c r="B89" s="10">
        <v>28007</v>
      </c>
      <c r="C89" s="10">
        <v>29815</v>
      </c>
      <c r="D89" s="10">
        <f t="shared" si="2"/>
        <v>57822</v>
      </c>
    </row>
    <row r="90" spans="1:4" x14ac:dyDescent="0.45">
      <c r="A90" s="9" t="s">
        <v>51</v>
      </c>
      <c r="B90" s="10">
        <v>917</v>
      </c>
      <c r="C90" s="10">
        <v>1061</v>
      </c>
      <c r="D90" s="10">
        <f t="shared" si="2"/>
        <v>1978</v>
      </c>
    </row>
    <row r="91" spans="1:4" x14ac:dyDescent="0.45">
      <c r="A91" s="9" t="s">
        <v>55</v>
      </c>
      <c r="B91" s="10">
        <v>543</v>
      </c>
      <c r="C91" s="10">
        <v>551</v>
      </c>
      <c r="D91" s="10">
        <f t="shared" si="2"/>
        <v>1094</v>
      </c>
    </row>
    <row r="92" spans="1:4" x14ac:dyDescent="0.45">
      <c r="A92" s="9" t="s">
        <v>7</v>
      </c>
      <c r="B92" s="10">
        <v>4466</v>
      </c>
      <c r="C92" s="10">
        <v>5369</v>
      </c>
      <c r="D92" s="10">
        <f t="shared" si="2"/>
        <v>9835</v>
      </c>
    </row>
    <row r="93" spans="1:4" x14ac:dyDescent="0.45">
      <c r="A93" s="9" t="s">
        <v>30</v>
      </c>
      <c r="B93" s="10">
        <v>49131</v>
      </c>
      <c r="C93" s="10">
        <v>47620</v>
      </c>
      <c r="D93" s="10">
        <f t="shared" si="2"/>
        <v>96751</v>
      </c>
    </row>
    <row r="94" spans="1:4" x14ac:dyDescent="0.45">
      <c r="A94" s="9" t="s">
        <v>107</v>
      </c>
      <c r="B94" s="10">
        <v>549</v>
      </c>
      <c r="C94" s="10">
        <v>548</v>
      </c>
      <c r="D94" s="10">
        <f t="shared" si="2"/>
        <v>1097</v>
      </c>
    </row>
    <row r="95" spans="1:4" x14ac:dyDescent="0.45">
      <c r="A95" s="9" t="s">
        <v>61</v>
      </c>
      <c r="B95" s="10">
        <v>1150</v>
      </c>
      <c r="C95" s="10">
        <v>1274</v>
      </c>
      <c r="D95" s="10">
        <f t="shared" si="2"/>
        <v>2424</v>
      </c>
    </row>
    <row r="96" spans="1:4" x14ac:dyDescent="0.45">
      <c r="A96" s="9" t="s">
        <v>116</v>
      </c>
      <c r="B96" s="10">
        <v>1908</v>
      </c>
      <c r="C96" s="10">
        <v>2228</v>
      </c>
      <c r="D96" s="10">
        <f t="shared" si="2"/>
        <v>4136</v>
      </c>
    </row>
    <row r="97" spans="1:4" x14ac:dyDescent="0.45">
      <c r="A97" s="9" t="s">
        <v>167</v>
      </c>
      <c r="B97" s="10">
        <v>3307</v>
      </c>
      <c r="C97" s="10">
        <v>3447</v>
      </c>
      <c r="D97" s="10">
        <f t="shared" si="2"/>
        <v>6754</v>
      </c>
    </row>
    <row r="98" spans="1:4" x14ac:dyDescent="0.45">
      <c r="A98" s="9" t="s">
        <v>151</v>
      </c>
      <c r="B98" s="10">
        <v>78744</v>
      </c>
      <c r="C98" s="10">
        <v>86458</v>
      </c>
      <c r="D98" s="10">
        <f t="shared" si="2"/>
        <v>165202</v>
      </c>
    </row>
    <row r="99" spans="1:4" x14ac:dyDescent="0.45">
      <c r="A99" s="9" t="s">
        <v>150</v>
      </c>
      <c r="B99" s="10">
        <v>3470</v>
      </c>
      <c r="C99" s="10">
        <v>3644</v>
      </c>
      <c r="D99" s="10">
        <f t="shared" ref="D99:D130" si="3">SUM(B99:C99)</f>
        <v>7114</v>
      </c>
    </row>
    <row r="100" spans="1:4" x14ac:dyDescent="0.45">
      <c r="A100" s="9" t="s">
        <v>161</v>
      </c>
      <c r="B100" s="10">
        <v>2681</v>
      </c>
      <c r="C100" s="10">
        <v>2730</v>
      </c>
      <c r="D100" s="10">
        <f t="shared" si="3"/>
        <v>5411</v>
      </c>
    </row>
    <row r="101" spans="1:4" x14ac:dyDescent="0.45">
      <c r="A101" s="9" t="s">
        <v>96</v>
      </c>
      <c r="B101" s="10">
        <v>3233</v>
      </c>
      <c r="C101" s="10">
        <v>3585</v>
      </c>
      <c r="D101" s="10">
        <f t="shared" si="3"/>
        <v>6818</v>
      </c>
    </row>
    <row r="102" spans="1:4" x14ac:dyDescent="0.45">
      <c r="A102" s="9" t="s">
        <v>146</v>
      </c>
      <c r="B102" s="10">
        <v>1219</v>
      </c>
      <c r="C102" s="10">
        <v>1301</v>
      </c>
      <c r="D102" s="10">
        <f t="shared" si="3"/>
        <v>2520</v>
      </c>
    </row>
    <row r="103" spans="1:4" x14ac:dyDescent="0.45">
      <c r="A103" s="9" t="s">
        <v>9</v>
      </c>
      <c r="B103" s="10">
        <v>18885</v>
      </c>
      <c r="C103" s="10">
        <v>20861</v>
      </c>
      <c r="D103" s="10">
        <f t="shared" si="3"/>
        <v>39746</v>
      </c>
    </row>
    <row r="104" spans="1:4" x14ac:dyDescent="0.45">
      <c r="A104" s="9" t="s">
        <v>78</v>
      </c>
      <c r="B104" s="10">
        <v>2072</v>
      </c>
      <c r="C104" s="10">
        <v>2160</v>
      </c>
      <c r="D104" s="10">
        <f t="shared" si="3"/>
        <v>4232</v>
      </c>
    </row>
    <row r="105" spans="1:4" x14ac:dyDescent="0.45">
      <c r="A105" s="9" t="s">
        <v>164</v>
      </c>
      <c r="B105" s="10">
        <v>3112</v>
      </c>
      <c r="C105" s="10">
        <v>3486</v>
      </c>
      <c r="D105" s="10">
        <f t="shared" si="3"/>
        <v>6598</v>
      </c>
    </row>
    <row r="106" spans="1:4" x14ac:dyDescent="0.45">
      <c r="A106" s="9" t="s">
        <v>123</v>
      </c>
      <c r="B106" s="10">
        <v>16381</v>
      </c>
      <c r="C106" s="10">
        <v>16793</v>
      </c>
      <c r="D106" s="10">
        <f t="shared" si="3"/>
        <v>33174</v>
      </c>
    </row>
    <row r="107" spans="1:4" x14ac:dyDescent="0.45">
      <c r="A107" s="9" t="s">
        <v>142</v>
      </c>
      <c r="B107" s="10">
        <v>1319</v>
      </c>
      <c r="C107" s="10">
        <v>1514</v>
      </c>
      <c r="D107" s="10">
        <f t="shared" si="3"/>
        <v>2833</v>
      </c>
    </row>
    <row r="108" spans="1:4" x14ac:dyDescent="0.45">
      <c r="A108" s="9" t="s">
        <v>24</v>
      </c>
      <c r="B108" s="10">
        <v>1121</v>
      </c>
      <c r="C108" s="10">
        <v>1277</v>
      </c>
      <c r="D108" s="10">
        <f t="shared" si="3"/>
        <v>2398</v>
      </c>
    </row>
    <row r="109" spans="1:4" x14ac:dyDescent="0.45">
      <c r="A109" s="9" t="s">
        <v>159</v>
      </c>
      <c r="B109" s="10">
        <v>1875</v>
      </c>
      <c r="C109" s="10">
        <v>1968</v>
      </c>
      <c r="D109" s="10">
        <f t="shared" si="3"/>
        <v>3843</v>
      </c>
    </row>
    <row r="110" spans="1:4" x14ac:dyDescent="0.45">
      <c r="A110" s="9" t="s">
        <v>113</v>
      </c>
      <c r="B110" s="10">
        <v>728</v>
      </c>
      <c r="C110" s="10">
        <v>755</v>
      </c>
      <c r="D110" s="10">
        <f t="shared" si="3"/>
        <v>1483</v>
      </c>
    </row>
    <row r="111" spans="1:4" x14ac:dyDescent="0.45">
      <c r="A111" s="9" t="s">
        <v>126</v>
      </c>
      <c r="B111" s="10">
        <v>837</v>
      </c>
      <c r="C111" s="10">
        <v>838</v>
      </c>
      <c r="D111" s="10">
        <f t="shared" si="3"/>
        <v>1675</v>
      </c>
    </row>
    <row r="112" spans="1:4" x14ac:dyDescent="0.45">
      <c r="A112" s="9" t="s">
        <v>180</v>
      </c>
      <c r="B112" s="10">
        <v>11448</v>
      </c>
      <c r="C112" s="10">
        <v>11835</v>
      </c>
      <c r="D112" s="10">
        <f t="shared" si="3"/>
        <v>23283</v>
      </c>
    </row>
    <row r="113" spans="1:4" x14ac:dyDescent="0.45">
      <c r="A113" s="9" t="s">
        <v>105</v>
      </c>
      <c r="B113" s="10">
        <v>2343</v>
      </c>
      <c r="C113" s="10">
        <v>2558</v>
      </c>
      <c r="D113" s="10">
        <f t="shared" si="3"/>
        <v>4901</v>
      </c>
    </row>
    <row r="114" spans="1:4" x14ac:dyDescent="0.45">
      <c r="A114" s="9" t="s">
        <v>18</v>
      </c>
      <c r="B114" s="10">
        <v>5125</v>
      </c>
      <c r="C114" s="10">
        <v>5494</v>
      </c>
      <c r="D114" s="10">
        <f t="shared" si="3"/>
        <v>10619</v>
      </c>
    </row>
    <row r="115" spans="1:4" x14ac:dyDescent="0.45">
      <c r="A115" s="9" t="s">
        <v>84</v>
      </c>
      <c r="B115" s="10">
        <v>2389</v>
      </c>
      <c r="C115" s="10">
        <v>2737</v>
      </c>
      <c r="D115" s="10">
        <f t="shared" si="3"/>
        <v>5126</v>
      </c>
    </row>
    <row r="116" spans="1:4" x14ac:dyDescent="0.45">
      <c r="A116" s="9" t="s">
        <v>137</v>
      </c>
      <c r="B116" s="10">
        <v>2225</v>
      </c>
      <c r="C116" s="10">
        <v>2359</v>
      </c>
      <c r="D116" s="10">
        <f t="shared" si="3"/>
        <v>4584</v>
      </c>
    </row>
    <row r="117" spans="1:4" x14ac:dyDescent="0.45">
      <c r="A117" s="9" t="s">
        <v>176</v>
      </c>
      <c r="B117" s="10">
        <v>1259</v>
      </c>
      <c r="C117" s="10">
        <v>1218</v>
      </c>
      <c r="D117" s="10">
        <f t="shared" si="3"/>
        <v>2477</v>
      </c>
    </row>
    <row r="118" spans="1:4" x14ac:dyDescent="0.45">
      <c r="A118" s="9" t="s">
        <v>175</v>
      </c>
      <c r="B118" s="10">
        <v>3347</v>
      </c>
      <c r="C118" s="10">
        <v>3698</v>
      </c>
      <c r="D118" s="10">
        <f t="shared" si="3"/>
        <v>7045</v>
      </c>
    </row>
    <row r="119" spans="1:4" x14ac:dyDescent="0.45">
      <c r="A119" s="9" t="s">
        <v>122</v>
      </c>
      <c r="B119" s="10">
        <v>1487</v>
      </c>
      <c r="C119" s="10">
        <v>1483</v>
      </c>
      <c r="D119" s="10">
        <f t="shared" si="3"/>
        <v>2970</v>
      </c>
    </row>
    <row r="120" spans="1:4" x14ac:dyDescent="0.45">
      <c r="A120" s="9" t="s">
        <v>58</v>
      </c>
      <c r="B120" s="10">
        <v>22653</v>
      </c>
      <c r="C120" s="10">
        <v>24714</v>
      </c>
      <c r="D120" s="10">
        <f t="shared" si="3"/>
        <v>47367</v>
      </c>
    </row>
    <row r="121" spans="1:4" x14ac:dyDescent="0.45">
      <c r="A121" s="9" t="s">
        <v>37</v>
      </c>
      <c r="B121" s="10">
        <v>717</v>
      </c>
      <c r="C121" s="10">
        <v>715</v>
      </c>
      <c r="D121" s="10">
        <f t="shared" si="3"/>
        <v>1432</v>
      </c>
    </row>
    <row r="122" spans="1:4" x14ac:dyDescent="0.45">
      <c r="A122" s="9" t="s">
        <v>97</v>
      </c>
      <c r="B122" s="10">
        <v>4810</v>
      </c>
      <c r="C122" s="10">
        <v>5387</v>
      </c>
      <c r="D122" s="10">
        <f t="shared" si="3"/>
        <v>10197</v>
      </c>
    </row>
    <row r="123" spans="1:4" x14ac:dyDescent="0.45">
      <c r="A123" s="9" t="s">
        <v>102</v>
      </c>
      <c r="B123" s="10">
        <v>3768</v>
      </c>
      <c r="C123" s="10">
        <v>4221</v>
      </c>
      <c r="D123" s="10">
        <f t="shared" si="3"/>
        <v>7989</v>
      </c>
    </row>
    <row r="124" spans="1:4" x14ac:dyDescent="0.45">
      <c r="A124" s="9" t="s">
        <v>34</v>
      </c>
      <c r="B124" s="10">
        <v>7648</v>
      </c>
      <c r="C124" s="10">
        <v>8059</v>
      </c>
      <c r="D124" s="10">
        <f t="shared" si="3"/>
        <v>15707</v>
      </c>
    </row>
    <row r="125" spans="1:4" x14ac:dyDescent="0.45">
      <c r="A125" s="9" t="s">
        <v>98</v>
      </c>
      <c r="B125" s="10">
        <v>2942</v>
      </c>
      <c r="C125" s="10">
        <v>3447</v>
      </c>
      <c r="D125" s="10">
        <f t="shared" si="3"/>
        <v>6389</v>
      </c>
    </row>
    <row r="126" spans="1:4" x14ac:dyDescent="0.45">
      <c r="A126" s="9" t="s">
        <v>64</v>
      </c>
      <c r="B126" s="10">
        <v>3994</v>
      </c>
      <c r="C126" s="10">
        <v>4567</v>
      </c>
      <c r="D126" s="10">
        <f t="shared" si="3"/>
        <v>8561</v>
      </c>
    </row>
    <row r="127" spans="1:4" x14ac:dyDescent="0.45">
      <c r="A127" s="9" t="s">
        <v>57</v>
      </c>
      <c r="B127" s="10">
        <v>83275</v>
      </c>
      <c r="C127" s="10">
        <v>87244</v>
      </c>
      <c r="D127" s="10">
        <f t="shared" si="3"/>
        <v>170519</v>
      </c>
    </row>
    <row r="128" spans="1:4" x14ac:dyDescent="0.45">
      <c r="A128" s="9" t="s">
        <v>118</v>
      </c>
      <c r="B128" s="10">
        <v>1443</v>
      </c>
      <c r="C128" s="10">
        <v>1569</v>
      </c>
      <c r="D128" s="10">
        <f t="shared" si="3"/>
        <v>3012</v>
      </c>
    </row>
    <row r="129" spans="1:4" x14ac:dyDescent="0.45">
      <c r="A129" s="9" t="s">
        <v>15</v>
      </c>
      <c r="B129" s="10">
        <v>2511</v>
      </c>
      <c r="C129" s="10">
        <v>2794</v>
      </c>
      <c r="D129" s="10">
        <f t="shared" si="3"/>
        <v>5305</v>
      </c>
    </row>
    <row r="130" spans="1:4" x14ac:dyDescent="0.45">
      <c r="A130" s="9" t="s">
        <v>106</v>
      </c>
      <c r="B130" s="10">
        <v>1222</v>
      </c>
      <c r="C130" s="10">
        <v>1198</v>
      </c>
      <c r="D130" s="10">
        <f t="shared" si="3"/>
        <v>2420</v>
      </c>
    </row>
    <row r="131" spans="1:4" x14ac:dyDescent="0.45">
      <c r="A131" s="9" t="s">
        <v>14</v>
      </c>
      <c r="B131" s="10">
        <v>3531</v>
      </c>
      <c r="C131" s="10">
        <v>3866</v>
      </c>
      <c r="D131" s="10">
        <f t="shared" ref="D131:D162" si="4">SUM(B131:C131)</f>
        <v>7397</v>
      </c>
    </row>
    <row r="132" spans="1:4" x14ac:dyDescent="0.45">
      <c r="A132" s="9" t="s">
        <v>67</v>
      </c>
      <c r="B132" s="10">
        <v>5828</v>
      </c>
      <c r="C132" s="10">
        <v>5809</v>
      </c>
      <c r="D132" s="10">
        <f t="shared" si="4"/>
        <v>11637</v>
      </c>
    </row>
    <row r="133" spans="1:4" x14ac:dyDescent="0.45">
      <c r="A133" s="9" t="s">
        <v>49</v>
      </c>
      <c r="B133" s="10">
        <v>770</v>
      </c>
      <c r="C133" s="10">
        <v>837</v>
      </c>
      <c r="D133" s="10">
        <f t="shared" si="4"/>
        <v>1607</v>
      </c>
    </row>
    <row r="134" spans="1:4" x14ac:dyDescent="0.45">
      <c r="A134" s="9" t="s">
        <v>177</v>
      </c>
      <c r="B134" s="10">
        <v>3595</v>
      </c>
      <c r="C134" s="10">
        <v>3998</v>
      </c>
      <c r="D134" s="10">
        <f t="shared" si="4"/>
        <v>7593</v>
      </c>
    </row>
    <row r="135" spans="1:4" x14ac:dyDescent="0.45">
      <c r="A135" s="9" t="s">
        <v>62</v>
      </c>
      <c r="B135" s="10">
        <v>7865</v>
      </c>
      <c r="C135" s="10">
        <v>8556</v>
      </c>
      <c r="D135" s="10">
        <f t="shared" si="4"/>
        <v>16421</v>
      </c>
    </row>
    <row r="136" spans="1:4" x14ac:dyDescent="0.45">
      <c r="A136" s="9" t="s">
        <v>74</v>
      </c>
      <c r="B136" s="10">
        <v>115814</v>
      </c>
      <c r="C136" s="10">
        <v>138332</v>
      </c>
      <c r="D136" s="10">
        <f t="shared" si="4"/>
        <v>254146</v>
      </c>
    </row>
    <row r="137" spans="1:4" x14ac:dyDescent="0.45">
      <c r="A137" s="9" t="s">
        <v>83</v>
      </c>
      <c r="B137" s="10">
        <v>7816</v>
      </c>
      <c r="C137" s="10">
        <v>8219</v>
      </c>
      <c r="D137" s="10">
        <f t="shared" si="4"/>
        <v>16035</v>
      </c>
    </row>
    <row r="138" spans="1:4" x14ac:dyDescent="0.45">
      <c r="A138" s="9" t="s">
        <v>99</v>
      </c>
      <c r="B138" s="10">
        <v>1731</v>
      </c>
      <c r="C138" s="10">
        <v>1941</v>
      </c>
      <c r="D138" s="10">
        <f t="shared" si="4"/>
        <v>3672</v>
      </c>
    </row>
    <row r="139" spans="1:4" x14ac:dyDescent="0.45">
      <c r="A139" s="9" t="s">
        <v>5</v>
      </c>
      <c r="B139" s="10">
        <v>9968</v>
      </c>
      <c r="C139" s="10">
        <v>11033</v>
      </c>
      <c r="D139" s="10">
        <f t="shared" si="4"/>
        <v>21001</v>
      </c>
    </row>
    <row r="140" spans="1:4" x14ac:dyDescent="0.45">
      <c r="A140" s="9" t="s">
        <v>103</v>
      </c>
      <c r="B140" s="10">
        <v>4575</v>
      </c>
      <c r="C140" s="10">
        <v>5251</v>
      </c>
      <c r="D140" s="10">
        <f t="shared" si="4"/>
        <v>9826</v>
      </c>
    </row>
    <row r="141" spans="1:4" x14ac:dyDescent="0.45">
      <c r="A141" s="9" t="s">
        <v>111</v>
      </c>
      <c r="B141" s="10">
        <v>2082</v>
      </c>
      <c r="C141" s="10">
        <v>2150</v>
      </c>
      <c r="D141" s="10">
        <f t="shared" si="4"/>
        <v>4232</v>
      </c>
    </row>
    <row r="142" spans="1:4" x14ac:dyDescent="0.45">
      <c r="A142" s="9" t="s">
        <v>136</v>
      </c>
      <c r="B142" s="10">
        <v>9319</v>
      </c>
      <c r="C142" s="10">
        <v>9819</v>
      </c>
      <c r="D142" s="10">
        <f t="shared" si="4"/>
        <v>19138</v>
      </c>
    </row>
    <row r="143" spans="1:4" x14ac:dyDescent="0.45">
      <c r="A143" s="9" t="s">
        <v>174</v>
      </c>
      <c r="B143" s="10">
        <v>3580</v>
      </c>
      <c r="C143" s="10">
        <v>3831</v>
      </c>
      <c r="D143" s="10">
        <f t="shared" si="4"/>
        <v>7411</v>
      </c>
    </row>
    <row r="144" spans="1:4" x14ac:dyDescent="0.45">
      <c r="A144" s="9" t="s">
        <v>181</v>
      </c>
      <c r="B144" s="10">
        <v>2509</v>
      </c>
      <c r="C144" s="10">
        <v>2639</v>
      </c>
      <c r="D144" s="10">
        <f t="shared" si="4"/>
        <v>5148</v>
      </c>
    </row>
    <row r="145" spans="1:4" x14ac:dyDescent="0.45">
      <c r="A145" s="9" t="s">
        <v>173</v>
      </c>
      <c r="B145" s="10">
        <v>2830</v>
      </c>
      <c r="C145" s="10">
        <v>2852</v>
      </c>
      <c r="D145" s="10">
        <f t="shared" si="4"/>
        <v>5682</v>
      </c>
    </row>
    <row r="146" spans="1:4" x14ac:dyDescent="0.45">
      <c r="A146" s="9" t="s">
        <v>125</v>
      </c>
      <c r="B146" s="10">
        <v>1720</v>
      </c>
      <c r="C146" s="10">
        <v>1731</v>
      </c>
      <c r="D146" s="10">
        <f t="shared" si="4"/>
        <v>3451</v>
      </c>
    </row>
    <row r="147" spans="1:4" x14ac:dyDescent="0.45">
      <c r="A147" s="9" t="s">
        <v>95</v>
      </c>
      <c r="B147" s="10">
        <v>10053</v>
      </c>
      <c r="C147" s="10">
        <v>11222</v>
      </c>
      <c r="D147" s="10">
        <f t="shared" si="4"/>
        <v>21275</v>
      </c>
    </row>
    <row r="148" spans="1:4" x14ac:dyDescent="0.45">
      <c r="A148" s="9" t="s">
        <v>77</v>
      </c>
      <c r="B148" s="10">
        <v>1845</v>
      </c>
      <c r="C148" s="10">
        <v>2086</v>
      </c>
      <c r="D148" s="10">
        <f t="shared" si="4"/>
        <v>3931</v>
      </c>
    </row>
    <row r="149" spans="1:4" x14ac:dyDescent="0.45">
      <c r="A149" s="9" t="s">
        <v>68</v>
      </c>
      <c r="B149" s="10">
        <v>2344</v>
      </c>
      <c r="C149" s="10">
        <v>2486</v>
      </c>
      <c r="D149" s="10">
        <f t="shared" si="4"/>
        <v>4830</v>
      </c>
    </row>
    <row r="150" spans="1:4" x14ac:dyDescent="0.45">
      <c r="A150" s="9" t="s">
        <v>179</v>
      </c>
      <c r="B150" s="10">
        <v>7404</v>
      </c>
      <c r="C150" s="10">
        <v>7218</v>
      </c>
      <c r="D150" s="10">
        <f t="shared" si="4"/>
        <v>14622</v>
      </c>
    </row>
    <row r="151" spans="1:4" x14ac:dyDescent="0.45">
      <c r="A151" s="9" t="s">
        <v>60</v>
      </c>
      <c r="B151" s="10">
        <v>1793</v>
      </c>
      <c r="C151" s="10">
        <v>2027</v>
      </c>
      <c r="D151" s="10">
        <f t="shared" si="4"/>
        <v>3820</v>
      </c>
    </row>
    <row r="152" spans="1:4" x14ac:dyDescent="0.45">
      <c r="A152" s="9" t="s">
        <v>165</v>
      </c>
      <c r="B152" s="10">
        <v>1519</v>
      </c>
      <c r="C152" s="10">
        <v>1583</v>
      </c>
      <c r="D152" s="10">
        <f t="shared" si="4"/>
        <v>3102</v>
      </c>
    </row>
    <row r="153" spans="1:4" x14ac:dyDescent="0.45">
      <c r="A153" s="9" t="s">
        <v>128</v>
      </c>
      <c r="B153" s="10">
        <v>1956</v>
      </c>
      <c r="C153" s="10">
        <v>1897</v>
      </c>
      <c r="D153" s="10">
        <f t="shared" si="4"/>
        <v>3853</v>
      </c>
    </row>
    <row r="154" spans="1:4" x14ac:dyDescent="0.45">
      <c r="A154" s="9" t="s">
        <v>133</v>
      </c>
      <c r="B154" s="10">
        <v>55166</v>
      </c>
      <c r="C154" s="10">
        <v>61002</v>
      </c>
      <c r="D154" s="10">
        <f t="shared" si="4"/>
        <v>116168</v>
      </c>
    </row>
    <row r="155" spans="1:4" x14ac:dyDescent="0.45">
      <c r="A155" s="9" t="s">
        <v>32</v>
      </c>
      <c r="B155" s="10">
        <v>27753</v>
      </c>
      <c r="C155" s="10">
        <v>30136</v>
      </c>
      <c r="D155" s="10">
        <f t="shared" si="4"/>
        <v>57889</v>
      </c>
    </row>
    <row r="156" spans="1:4" x14ac:dyDescent="0.45">
      <c r="A156" s="9" t="s">
        <v>75</v>
      </c>
      <c r="B156" s="10">
        <v>21543</v>
      </c>
      <c r="C156" s="10">
        <v>24222</v>
      </c>
      <c r="D156" s="10">
        <f t="shared" si="4"/>
        <v>45765</v>
      </c>
    </row>
    <row r="157" spans="1:4" x14ac:dyDescent="0.45">
      <c r="A157" s="9" t="s">
        <v>26</v>
      </c>
      <c r="B157" s="10">
        <v>860</v>
      </c>
      <c r="C157" s="10">
        <v>933</v>
      </c>
      <c r="D157" s="10">
        <f t="shared" si="4"/>
        <v>1793</v>
      </c>
    </row>
    <row r="158" spans="1:4" x14ac:dyDescent="0.45">
      <c r="A158" s="9" t="s">
        <v>132</v>
      </c>
      <c r="B158" s="10">
        <v>1166</v>
      </c>
      <c r="C158" s="10">
        <v>1101</v>
      </c>
      <c r="D158" s="10">
        <f t="shared" si="4"/>
        <v>2267</v>
      </c>
    </row>
    <row r="159" spans="1:4" x14ac:dyDescent="0.45">
      <c r="A159" s="9" t="s">
        <v>114</v>
      </c>
      <c r="B159" s="10">
        <v>719</v>
      </c>
      <c r="C159" s="10">
        <v>726</v>
      </c>
      <c r="D159" s="10">
        <f t="shared" si="4"/>
        <v>1445</v>
      </c>
    </row>
    <row r="160" spans="1:4" x14ac:dyDescent="0.45">
      <c r="A160" s="9" t="s">
        <v>166</v>
      </c>
      <c r="B160" s="10">
        <v>3354</v>
      </c>
      <c r="C160" s="10">
        <v>3497</v>
      </c>
      <c r="D160" s="10">
        <f t="shared" si="4"/>
        <v>6851</v>
      </c>
    </row>
    <row r="161" spans="1:4" x14ac:dyDescent="0.45">
      <c r="A161" s="9" t="s">
        <v>23</v>
      </c>
      <c r="B161" s="10">
        <v>1358</v>
      </c>
      <c r="C161" s="10">
        <v>1501</v>
      </c>
      <c r="D161" s="10">
        <f t="shared" si="4"/>
        <v>2859</v>
      </c>
    </row>
    <row r="162" spans="1:4" x14ac:dyDescent="0.45">
      <c r="A162" s="9" t="s">
        <v>163</v>
      </c>
      <c r="B162" s="10">
        <v>12655</v>
      </c>
      <c r="C162" s="10">
        <v>13869</v>
      </c>
      <c r="D162" s="10">
        <f t="shared" si="4"/>
        <v>26524</v>
      </c>
    </row>
    <row r="163" spans="1:4" x14ac:dyDescent="0.45">
      <c r="A163" s="9" t="s">
        <v>94</v>
      </c>
      <c r="B163" s="10">
        <v>13250</v>
      </c>
      <c r="C163" s="10">
        <v>13952</v>
      </c>
      <c r="D163" s="10">
        <f t="shared" ref="D163:D181" si="5">SUM(B163:C163)</f>
        <v>27202</v>
      </c>
    </row>
    <row r="164" spans="1:4" x14ac:dyDescent="0.45">
      <c r="A164" s="9" t="s">
        <v>134</v>
      </c>
      <c r="B164" s="10">
        <v>17060</v>
      </c>
      <c r="C164" s="10">
        <v>17648</v>
      </c>
      <c r="D164" s="10">
        <f t="shared" si="5"/>
        <v>34708</v>
      </c>
    </row>
    <row r="165" spans="1:4" x14ac:dyDescent="0.45">
      <c r="A165" s="9" t="s">
        <v>79</v>
      </c>
      <c r="B165" s="10">
        <v>1878</v>
      </c>
      <c r="C165" s="10">
        <v>2165</v>
      </c>
      <c r="D165" s="10">
        <f t="shared" si="5"/>
        <v>4043</v>
      </c>
    </row>
    <row r="166" spans="1:4" x14ac:dyDescent="0.45">
      <c r="A166" s="9" t="s">
        <v>135</v>
      </c>
      <c r="B166" s="10">
        <v>10040</v>
      </c>
      <c r="C166" s="10">
        <v>11131</v>
      </c>
      <c r="D166" s="10">
        <f t="shared" si="5"/>
        <v>21171</v>
      </c>
    </row>
    <row r="167" spans="1:4" x14ac:dyDescent="0.45">
      <c r="A167" s="9" t="s">
        <v>145</v>
      </c>
      <c r="B167" s="10">
        <v>4071</v>
      </c>
      <c r="C167" s="10">
        <v>4418</v>
      </c>
      <c r="D167" s="10">
        <f t="shared" si="5"/>
        <v>8489</v>
      </c>
    </row>
    <row r="168" spans="1:4" x14ac:dyDescent="0.45">
      <c r="A168" s="9" t="s">
        <v>17</v>
      </c>
      <c r="B168" s="10">
        <v>2410</v>
      </c>
      <c r="C168" s="10">
        <v>2632</v>
      </c>
      <c r="D168" s="10">
        <f t="shared" si="5"/>
        <v>5042</v>
      </c>
    </row>
    <row r="169" spans="1:4" x14ac:dyDescent="0.45">
      <c r="A169" s="9" t="s">
        <v>149</v>
      </c>
      <c r="B169" s="10">
        <v>2040</v>
      </c>
      <c r="C169" s="10">
        <v>2153</v>
      </c>
      <c r="D169" s="10">
        <f t="shared" si="5"/>
        <v>4193</v>
      </c>
    </row>
    <row r="170" spans="1:4" x14ac:dyDescent="0.45">
      <c r="A170" s="9" t="s">
        <v>13</v>
      </c>
      <c r="B170" s="10">
        <v>3596</v>
      </c>
      <c r="C170" s="10">
        <v>4120</v>
      </c>
      <c r="D170" s="10">
        <f t="shared" si="5"/>
        <v>7716</v>
      </c>
    </row>
    <row r="171" spans="1:4" x14ac:dyDescent="0.45">
      <c r="A171" s="9" t="s">
        <v>54</v>
      </c>
      <c r="B171" s="10">
        <v>8581</v>
      </c>
      <c r="C171" s="10">
        <v>9828</v>
      </c>
      <c r="D171" s="10">
        <f t="shared" si="5"/>
        <v>18409</v>
      </c>
    </row>
    <row r="172" spans="1:4" x14ac:dyDescent="0.45">
      <c r="A172" s="9" t="s">
        <v>71</v>
      </c>
      <c r="B172" s="10">
        <v>1998</v>
      </c>
      <c r="C172" s="10">
        <v>2204</v>
      </c>
      <c r="D172" s="10">
        <f t="shared" si="5"/>
        <v>4202</v>
      </c>
    </row>
    <row r="173" spans="1:4" x14ac:dyDescent="0.45">
      <c r="A173" s="9" t="s">
        <v>182</v>
      </c>
      <c r="B173" s="10">
        <v>2441</v>
      </c>
      <c r="C173" s="10">
        <v>2473</v>
      </c>
      <c r="D173" s="10">
        <f t="shared" si="5"/>
        <v>4914</v>
      </c>
    </row>
    <row r="174" spans="1:4" x14ac:dyDescent="0.45">
      <c r="A174" s="9" t="s">
        <v>40</v>
      </c>
      <c r="B174" s="10">
        <v>2222</v>
      </c>
      <c r="C174" s="10">
        <v>2387</v>
      </c>
      <c r="D174" s="10">
        <f t="shared" si="5"/>
        <v>4609</v>
      </c>
    </row>
    <row r="175" spans="1:4" x14ac:dyDescent="0.45">
      <c r="A175" s="9" t="s">
        <v>130</v>
      </c>
      <c r="B175" s="10">
        <v>980</v>
      </c>
      <c r="C175" s="10">
        <v>1020</v>
      </c>
      <c r="D175" s="10">
        <f t="shared" si="5"/>
        <v>2000</v>
      </c>
    </row>
    <row r="176" spans="1:4" x14ac:dyDescent="0.45">
      <c r="A176" s="9" t="s">
        <v>131</v>
      </c>
      <c r="B176" s="10">
        <v>1175</v>
      </c>
      <c r="C176" s="10">
        <v>1244</v>
      </c>
      <c r="D176" s="10">
        <f t="shared" si="5"/>
        <v>2419</v>
      </c>
    </row>
    <row r="177" spans="1:4" x14ac:dyDescent="0.45">
      <c r="A177" s="9" t="s">
        <v>168</v>
      </c>
      <c r="B177" s="10">
        <v>1165</v>
      </c>
      <c r="C177" s="10">
        <v>1152</v>
      </c>
      <c r="D177" s="10">
        <f t="shared" si="5"/>
        <v>2317</v>
      </c>
    </row>
    <row r="178" spans="1:4" x14ac:dyDescent="0.45">
      <c r="A178" s="9" t="s">
        <v>43</v>
      </c>
      <c r="B178" s="10">
        <v>898</v>
      </c>
      <c r="C178" s="10">
        <v>871</v>
      </c>
      <c r="D178" s="10">
        <f t="shared" si="5"/>
        <v>1769</v>
      </c>
    </row>
    <row r="179" spans="1:4" x14ac:dyDescent="0.45">
      <c r="A179" s="9" t="s">
        <v>115</v>
      </c>
      <c r="B179" s="10">
        <v>9880</v>
      </c>
      <c r="C179" s="10">
        <v>10689</v>
      </c>
      <c r="D179" s="10">
        <f t="shared" si="5"/>
        <v>20569</v>
      </c>
    </row>
    <row r="180" spans="1:4" x14ac:dyDescent="0.45">
      <c r="A180" s="9" t="s">
        <v>129</v>
      </c>
      <c r="B180" s="10">
        <v>1254</v>
      </c>
      <c r="C180" s="10">
        <v>1199</v>
      </c>
      <c r="D180" s="10">
        <f t="shared" si="5"/>
        <v>2453</v>
      </c>
    </row>
    <row r="181" spans="1:4" ht="19.5" thickBot="1" x14ac:dyDescent="0.5">
      <c r="A181" s="24" t="s">
        <v>108</v>
      </c>
      <c r="B181" s="26">
        <v>1532</v>
      </c>
      <c r="C181" s="26">
        <v>1728</v>
      </c>
      <c r="D181" s="26">
        <f t="shared" si="5"/>
        <v>3260</v>
      </c>
    </row>
    <row r="182" spans="1:4" ht="20.25" thickTop="1" thickBot="1" x14ac:dyDescent="0.5">
      <c r="A182" s="4" t="s">
        <v>3</v>
      </c>
      <c r="B182" s="5">
        <f t="shared" ref="B182:D182" si="6">SUM(B3:B181)</f>
        <v>2469477</v>
      </c>
      <c r="C182" s="5">
        <f t="shared" si="6"/>
        <v>2756589</v>
      </c>
      <c r="D182" s="5">
        <f t="shared" si="6"/>
        <v>5226066</v>
      </c>
    </row>
  </sheetData>
  <sortState xmlns:xlrd2="http://schemas.microsoft.com/office/spreadsheetml/2017/richdata2" ref="A3:D181">
    <sortCondition ref="A3:A181"/>
  </sortState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HOME</vt:lpstr>
      <vt:lpstr>R3.1.1現在</vt:lpstr>
      <vt:lpstr>R2.1.1現在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2021-10-22T18:38:09Z</dcterms:created>
  <dcterms:modified xsi:type="dcterms:W3CDTF">2021-10-23T07:00:40Z</dcterms:modified>
</cp:coreProperties>
</file>