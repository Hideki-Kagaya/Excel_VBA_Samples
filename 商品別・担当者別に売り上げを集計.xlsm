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kagaya\ExcelVBA学習用\"/>
    </mc:Choice>
  </mc:AlternateContent>
  <xr:revisionPtr revIDLastSave="0" documentId="13_ncr:1_{0C196765-5413-4D0D-AF71-2189B039F77A}" xr6:coauthVersionLast="47" xr6:coauthVersionMax="47" xr10:uidLastSave="{00000000-0000-0000-0000-000000000000}"/>
  <bookViews>
    <workbookView xWindow="-120" yWindow="-120" windowWidth="19440" windowHeight="15000" xr2:uid="{C902E6D1-B12A-4A81-94F5-1668068655E9}"/>
  </bookViews>
  <sheets>
    <sheet name="売上" sheetId="1" r:id="rId1"/>
    <sheet name="商品" sheetId="2" r:id="rId2"/>
    <sheet name="担当者" sheetId="3" r:id="rId3"/>
    <sheet name="商品_VBA不使用 (参考)" sheetId="4" r:id="rId4"/>
    <sheet name="担当者_VBA不使用 (参考)" sheetId="5" r:id="rId5"/>
  </sheets>
  <definedNames>
    <definedName name="_xlnm._FilterDatabase" localSheetId="0" hidden="1">売上!$A$3:$I$203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4" l="1"/>
  <c r="C10" i="3"/>
  <c r="D10" i="2"/>
  <c r="I5" i="1"/>
  <c r="I6" i="1"/>
  <c r="I7" i="1"/>
  <c r="I8" i="1"/>
  <c r="I9" i="1"/>
  <c r="I10" i="1"/>
  <c r="C8" i="5" s="1"/>
  <c r="I11" i="1"/>
  <c r="I12" i="1"/>
  <c r="I13" i="1"/>
  <c r="I14" i="1"/>
  <c r="D7" i="4" s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4" i="1"/>
  <c r="D6" i="4" l="1"/>
  <c r="C5" i="5"/>
  <c r="C7" i="5"/>
  <c r="C6" i="5"/>
  <c r="D4" i="4"/>
  <c r="C9" i="5"/>
  <c r="D5" i="4"/>
  <c r="C4" i="5"/>
  <c r="D9" i="4"/>
  <c r="I204" i="1"/>
  <c r="C10" i="5" l="1"/>
  <c r="D10" i="4"/>
</calcChain>
</file>

<file path=xl/sharedStrings.xml><?xml version="1.0" encoding="utf-8"?>
<sst xmlns="http://schemas.openxmlformats.org/spreadsheetml/2006/main" count="889" uniqueCount="46">
  <si>
    <t>番号</t>
    <rPh sb="0" eb="2">
      <t>バンゴウ</t>
    </rPh>
    <phoneticPr fontId="1"/>
  </si>
  <si>
    <t>日付</t>
    <rPh sb="0" eb="2">
      <t>ヒヅケ</t>
    </rPh>
    <phoneticPr fontId="1"/>
  </si>
  <si>
    <t>店舗名</t>
    <rPh sb="0" eb="2">
      <t>テンポ</t>
    </rPh>
    <rPh sb="2" eb="3">
      <t>メイ</t>
    </rPh>
    <phoneticPr fontId="1"/>
  </si>
  <si>
    <t>担当者名</t>
    <rPh sb="0" eb="3">
      <t>タントウシャ</t>
    </rPh>
    <rPh sb="3" eb="4">
      <t>メイ</t>
    </rPh>
    <phoneticPr fontId="1"/>
  </si>
  <si>
    <t>商品コード</t>
    <rPh sb="0" eb="2">
      <t>ショウヒン</t>
    </rPh>
    <phoneticPr fontId="1"/>
  </si>
  <si>
    <t>商品名</t>
    <rPh sb="0" eb="3">
      <t>ショウヒンメイ</t>
    </rPh>
    <phoneticPr fontId="1"/>
  </si>
  <si>
    <t>単価</t>
    <rPh sb="0" eb="2">
      <t>タンカ</t>
    </rPh>
    <phoneticPr fontId="1"/>
  </si>
  <si>
    <t>数量</t>
    <rPh sb="0" eb="2">
      <t>スウリョウ</t>
    </rPh>
    <phoneticPr fontId="1"/>
  </si>
  <si>
    <t>目黒店</t>
    <rPh sb="0" eb="3">
      <t>メグロテン</t>
    </rPh>
    <phoneticPr fontId="1"/>
  </si>
  <si>
    <t>星　夕子</t>
    <rPh sb="0" eb="1">
      <t>ホシ</t>
    </rPh>
    <rPh sb="2" eb="4">
      <t>ユウコ</t>
    </rPh>
    <phoneticPr fontId="1"/>
  </si>
  <si>
    <t>広尾店</t>
    <rPh sb="0" eb="3">
      <t>ヒロオテン</t>
    </rPh>
    <phoneticPr fontId="1"/>
  </si>
  <si>
    <t>平林　理菜</t>
    <rPh sb="0" eb="2">
      <t>ヒラバヤシ</t>
    </rPh>
    <rPh sb="3" eb="5">
      <t>リナ</t>
    </rPh>
    <phoneticPr fontId="1"/>
  </si>
  <si>
    <t>藍沢　千夏</t>
    <rPh sb="0" eb="2">
      <t>アイザワ</t>
    </rPh>
    <rPh sb="3" eb="5">
      <t>チナツ</t>
    </rPh>
    <phoneticPr fontId="1"/>
  </si>
  <si>
    <t>青山店</t>
    <rPh sb="0" eb="2">
      <t>アオヤマ</t>
    </rPh>
    <rPh sb="2" eb="3">
      <t>テン</t>
    </rPh>
    <phoneticPr fontId="1"/>
  </si>
  <si>
    <t>松谷　桜子</t>
    <rPh sb="0" eb="2">
      <t>マツタニ</t>
    </rPh>
    <rPh sb="3" eb="5">
      <t>サクラコ</t>
    </rPh>
    <phoneticPr fontId="1"/>
  </si>
  <si>
    <t>藤崎　紀子</t>
    <rPh sb="0" eb="2">
      <t>フジサキ</t>
    </rPh>
    <rPh sb="3" eb="5">
      <t>ノリコ</t>
    </rPh>
    <phoneticPr fontId="1"/>
  </si>
  <si>
    <t>海野　渚</t>
    <rPh sb="0" eb="2">
      <t>ウンノ</t>
    </rPh>
    <rPh sb="3" eb="4">
      <t>ナギサ</t>
    </rPh>
    <phoneticPr fontId="1"/>
  </si>
  <si>
    <t>A001</t>
  </si>
  <si>
    <t>体脂肪計</t>
  </si>
  <si>
    <t>A002</t>
  </si>
  <si>
    <t>電子血圧計</t>
  </si>
  <si>
    <t>A006</t>
  </si>
  <si>
    <t>マッサージチェア</t>
  </si>
  <si>
    <t>A003</t>
  </si>
  <si>
    <t>低周波治療器</t>
  </si>
  <si>
    <t>A004</t>
  </si>
  <si>
    <t>フットバス</t>
  </si>
  <si>
    <t>A005</t>
  </si>
  <si>
    <t>ヘルスバイク</t>
  </si>
  <si>
    <t>売上金額</t>
    <rPh sb="0" eb="4">
      <t>ウリアゲキンガク</t>
    </rPh>
    <phoneticPr fontId="3"/>
  </si>
  <si>
    <t>総計</t>
    <rPh sb="0" eb="2">
      <t>ソウケイ</t>
    </rPh>
    <phoneticPr fontId="3"/>
  </si>
  <si>
    <t>売上一覧</t>
    <rPh sb="0" eb="4">
      <t>ウリアゲイチラン</t>
    </rPh>
    <phoneticPr fontId="3"/>
  </si>
  <si>
    <t>体脂肪計</t>
    <rPh sb="0" eb="1">
      <t>タイ</t>
    </rPh>
    <rPh sb="1" eb="3">
      <t>シボウ</t>
    </rPh>
    <rPh sb="3" eb="4">
      <t>ケイ</t>
    </rPh>
    <phoneticPr fontId="1"/>
  </si>
  <si>
    <t>電子血圧計</t>
    <rPh sb="0" eb="2">
      <t>デンシ</t>
    </rPh>
    <rPh sb="2" eb="5">
      <t>ケツアツケイ</t>
    </rPh>
    <phoneticPr fontId="1"/>
  </si>
  <si>
    <t>低周波治療器</t>
    <rPh sb="0" eb="3">
      <t>テイシュウハ</t>
    </rPh>
    <rPh sb="3" eb="6">
      <t>チリョウキ</t>
    </rPh>
    <phoneticPr fontId="1"/>
  </si>
  <si>
    <t>売上合計</t>
    <rPh sb="0" eb="4">
      <t>ウリアゲゴウケイ</t>
    </rPh>
    <phoneticPr fontId="3"/>
  </si>
  <si>
    <t>商品一覧</t>
    <rPh sb="0" eb="4">
      <t>ショウヒンイチラン</t>
    </rPh>
    <phoneticPr fontId="3"/>
  </si>
  <si>
    <t>担当者一覧</t>
    <rPh sb="0" eb="5">
      <t>タントウシャイチラン</t>
    </rPh>
    <phoneticPr fontId="3"/>
  </si>
  <si>
    <t>ワークシート関数を使用せずループ処理のみで集計</t>
    <rPh sb="6" eb="8">
      <t>カンスウ</t>
    </rPh>
    <rPh sb="9" eb="11">
      <t>シヨウ</t>
    </rPh>
    <rPh sb="16" eb="18">
      <t>ショリ</t>
    </rPh>
    <rPh sb="21" eb="23">
      <t>シュウケイ</t>
    </rPh>
    <phoneticPr fontId="3"/>
  </si>
  <si>
    <t>オートフィルター・SUBTOTAL関数で集計</t>
    <rPh sb="17" eb="19">
      <t>カンスウ</t>
    </rPh>
    <rPh sb="20" eb="22">
      <t>シュウケイ</t>
    </rPh>
    <phoneticPr fontId="3"/>
  </si>
  <si>
    <t>SUMIF関数で集計</t>
    <rPh sb="5" eb="7">
      <t>カンスウ</t>
    </rPh>
    <rPh sb="8" eb="10">
      <t>シュウケイ</t>
    </rPh>
    <phoneticPr fontId="3"/>
  </si>
  <si>
    <t>売上一覧から商品別・担当者別に売り上げを集計します。</t>
    <phoneticPr fontId="3"/>
  </si>
  <si>
    <t>呼び出さない場合と比較してより高速に処理を完了できます。</t>
    <rPh sb="0" eb="1">
      <t>ヨ</t>
    </rPh>
    <rPh sb="2" eb="3">
      <t>ダ</t>
    </rPh>
    <rPh sb="6" eb="8">
      <t>バアイ</t>
    </rPh>
    <rPh sb="9" eb="11">
      <t>ヒカク</t>
    </rPh>
    <rPh sb="15" eb="17">
      <t>コウソク</t>
    </rPh>
    <rPh sb="18" eb="20">
      <t>ショリ</t>
    </rPh>
    <rPh sb="21" eb="23">
      <t>カンリョウ</t>
    </rPh>
    <phoneticPr fontId="3"/>
  </si>
  <si>
    <t>集計結果のクリア</t>
    <rPh sb="0" eb="4">
      <t>シュウケイケッカ</t>
    </rPh>
    <phoneticPr fontId="3"/>
  </si>
  <si>
    <t>集計元のデータ量が多いほど、ワークシート関数を</t>
    <rPh sb="0" eb="2">
      <t>シュウケイ</t>
    </rPh>
    <rPh sb="2" eb="3">
      <t>モト</t>
    </rPh>
    <rPh sb="7" eb="8">
      <t>リョウ</t>
    </rPh>
    <rPh sb="9" eb="10">
      <t>オオ</t>
    </rPh>
    <rPh sb="20" eb="22">
      <t>カンスウ</t>
    </rPh>
    <phoneticPr fontId="3"/>
  </si>
  <si>
    <t>Excel VBAではワークシート関数を呼び出すことも可能であり、</t>
    <rPh sb="17" eb="19">
      <t>カンスウ</t>
    </rPh>
    <rPh sb="20" eb="21">
      <t>ヨ</t>
    </rPh>
    <rPh sb="22" eb="23">
      <t>ダ</t>
    </rPh>
    <rPh sb="27" eb="29">
      <t>カノウ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</si>
</sst>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7" x14ac:knownFonts="1"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1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C3300"/>
        <bgColor indexed="64"/>
      </patternFill>
    </fill>
  </fills>
  <borders count="8">
    <border>
      <left/>
      <right/>
      <top/>
      <bottom/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4" fillId="2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176" fontId="2" fillId="0" borderId="1" xfId="0" applyNumberFormat="1" applyFont="1" applyBorder="1">
      <alignment vertical="center"/>
    </xf>
    <xf numFmtId="0" fontId="5" fillId="0" borderId="0" xfId="0" applyFont="1">
      <alignment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0" borderId="1" xfId="0" applyBorder="1">
      <alignment vertical="center"/>
    </xf>
    <xf numFmtId="3" fontId="2" fillId="0" borderId="1" xfId="0" applyNumberFormat="1" applyFont="1" applyBorder="1">
      <alignment vertical="center"/>
    </xf>
    <xf numFmtId="0" fontId="0" fillId="0" borderId="2" xfId="0" applyBorder="1">
      <alignment vertical="center"/>
    </xf>
    <xf numFmtId="14" fontId="0" fillId="0" borderId="3" xfId="0" applyNumberFormat="1" applyBorder="1">
      <alignment vertical="center"/>
    </xf>
    <xf numFmtId="0" fontId="0" fillId="0" borderId="3" xfId="0" applyBorder="1">
      <alignment vertical="center"/>
    </xf>
    <xf numFmtId="176" fontId="0" fillId="0" borderId="3" xfId="0" applyNumberFormat="1" applyBorder="1">
      <alignment vertical="center"/>
    </xf>
    <xf numFmtId="176" fontId="0" fillId="0" borderId="4" xfId="0" applyNumberFormat="1" applyBorder="1">
      <alignment vertical="center"/>
    </xf>
    <xf numFmtId="0" fontId="0" fillId="0" borderId="5" xfId="0" applyBorder="1">
      <alignment vertical="center"/>
    </xf>
    <xf numFmtId="14" fontId="0" fillId="0" borderId="6" xfId="0" applyNumberFormat="1" applyBorder="1">
      <alignment vertical="center"/>
    </xf>
    <xf numFmtId="0" fontId="0" fillId="0" borderId="6" xfId="0" applyBorder="1">
      <alignment vertical="center"/>
    </xf>
    <xf numFmtId="176" fontId="0" fillId="0" borderId="6" xfId="0" applyNumberFormat="1" applyBorder="1">
      <alignment vertical="center"/>
    </xf>
    <xf numFmtId="176" fontId="0" fillId="0" borderId="7" xfId="0" applyNumberFormat="1" applyBorder="1">
      <alignment vertical="center"/>
    </xf>
    <xf numFmtId="3" fontId="0" fillId="0" borderId="4" xfId="0" applyNumberFormat="1" applyBorder="1">
      <alignment vertical="center"/>
    </xf>
    <xf numFmtId="3" fontId="0" fillId="0" borderId="7" xfId="0" applyNumberFormat="1" applyBorder="1">
      <alignment vertical="center"/>
    </xf>
  </cellXfs>
  <cellStyles count="1">
    <cellStyle name="標準" xfId="0" builtinId="0"/>
  </cellStyles>
  <dxfs count="10">
    <dxf>
      <fill>
        <patternFill>
          <bgColor theme="0"/>
        </patternFill>
      </fill>
    </dxf>
    <dxf>
      <fill>
        <patternFill>
          <bgColor rgb="FFFFF0E0"/>
        </patternFill>
      </fill>
    </dxf>
    <dxf>
      <fill>
        <patternFill>
          <bgColor theme="0"/>
        </patternFill>
      </fill>
    </dxf>
    <dxf>
      <fill>
        <patternFill>
          <bgColor rgb="FFF0FFE0"/>
        </patternFill>
      </fill>
    </dxf>
    <dxf>
      <fill>
        <patternFill>
          <bgColor theme="0"/>
        </patternFill>
      </fill>
    </dxf>
    <dxf>
      <fill>
        <patternFill>
          <bgColor rgb="FFFFF0E0"/>
        </patternFill>
      </fill>
    </dxf>
    <dxf>
      <fill>
        <patternFill>
          <bgColor theme="0"/>
        </patternFill>
      </fill>
    </dxf>
    <dxf>
      <fill>
        <patternFill>
          <bgColor rgb="FFF0FFE0"/>
        </patternFill>
      </fill>
    </dxf>
    <dxf>
      <fill>
        <patternFill>
          <bgColor theme="0"/>
        </patternFill>
      </fill>
    </dxf>
    <dxf>
      <fill>
        <patternFill>
          <bgColor rgb="FFE0F0FF"/>
        </patternFill>
      </fill>
    </dxf>
  </dxfs>
  <tableStyles count="0" defaultTableStyle="TableStyleMedium2" defaultPivotStyle="PivotStyleLight16"/>
  <colors>
    <mruColors>
      <color rgb="FF008000"/>
      <color rgb="FFFFF0E0"/>
      <color rgb="FFFFE0C0"/>
      <color rgb="FFCC3300"/>
      <color rgb="FFF0FFE0"/>
      <color rgb="FF008080"/>
      <color rgb="FFE0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b="1"/>
              <a:t>商品別売上一覧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商品!$B$4:$B$9</c:f>
              <c:strCache>
                <c:ptCount val="6"/>
                <c:pt idx="0">
                  <c:v>体脂肪計</c:v>
                </c:pt>
                <c:pt idx="1">
                  <c:v>電子血圧計</c:v>
                </c:pt>
                <c:pt idx="2">
                  <c:v>低周波治療器</c:v>
                </c:pt>
                <c:pt idx="3">
                  <c:v>フットバス</c:v>
                </c:pt>
                <c:pt idx="4">
                  <c:v>ヘルスバイク</c:v>
                </c:pt>
                <c:pt idx="5">
                  <c:v>マッサージチェア</c:v>
                </c:pt>
              </c:strCache>
            </c:strRef>
          </c:cat>
          <c:val>
            <c:numRef>
              <c:f>商品!$D$4:$D$9</c:f>
              <c:numCache>
                <c:formatCode>#,##0_ 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42E8-4EC0-8740-E0F3C4A4B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6593615"/>
        <c:axId val="1676594447"/>
      </c:barChart>
      <c:catAx>
        <c:axId val="16765936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76594447"/>
        <c:crosses val="autoZero"/>
        <c:auto val="1"/>
        <c:lblAlgn val="ctr"/>
        <c:lblOffset val="100"/>
        <c:noMultiLvlLbl val="0"/>
      </c:catAx>
      <c:valAx>
        <c:axId val="1676594447"/>
        <c:scaling>
          <c:orientation val="minMax"/>
          <c:max val="7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76593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b="1"/>
              <a:t>担当者別売上一覧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担当者!$B$4:$B$9</c:f>
              <c:strCache>
                <c:ptCount val="6"/>
                <c:pt idx="0">
                  <c:v>星　夕子</c:v>
                </c:pt>
                <c:pt idx="1">
                  <c:v>平林　理菜</c:v>
                </c:pt>
                <c:pt idx="2">
                  <c:v>藍沢　千夏</c:v>
                </c:pt>
                <c:pt idx="3">
                  <c:v>松谷　桜子</c:v>
                </c:pt>
                <c:pt idx="4">
                  <c:v>藤崎　紀子</c:v>
                </c:pt>
                <c:pt idx="5">
                  <c:v>海野　渚</c:v>
                </c:pt>
              </c:strCache>
            </c:strRef>
          </c:cat>
          <c:val>
            <c:numRef>
              <c:f>担当者!$C$4:$C$9</c:f>
              <c:numCache>
                <c:formatCode>#,##0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92AB-4059-B5EA-F0FF23D9A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2678527"/>
        <c:axId val="1482678111"/>
      </c:barChart>
      <c:catAx>
        <c:axId val="1482678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82678111"/>
        <c:crosses val="autoZero"/>
        <c:auto val="1"/>
        <c:lblAlgn val="ctr"/>
        <c:lblOffset val="100"/>
        <c:noMultiLvlLbl val="0"/>
      </c:catAx>
      <c:valAx>
        <c:axId val="1482678111"/>
        <c:scaling>
          <c:orientation val="minMax"/>
          <c:max val="8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82678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b="1"/>
              <a:t>商品別売上一覧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'商品_VBA不使用 (参考)'!$B$4:$B$9</c:f>
              <c:strCache>
                <c:ptCount val="6"/>
                <c:pt idx="0">
                  <c:v>体脂肪計</c:v>
                </c:pt>
                <c:pt idx="1">
                  <c:v>電子血圧計</c:v>
                </c:pt>
                <c:pt idx="2">
                  <c:v>低周波治療器</c:v>
                </c:pt>
                <c:pt idx="3">
                  <c:v>フットバス</c:v>
                </c:pt>
                <c:pt idx="4">
                  <c:v>ヘルスバイク</c:v>
                </c:pt>
                <c:pt idx="5">
                  <c:v>マッサージチェア</c:v>
                </c:pt>
              </c:strCache>
            </c:strRef>
          </c:cat>
          <c:val>
            <c:numRef>
              <c:f>'商品_VBA不使用 (参考)'!$D$4:$D$9</c:f>
              <c:numCache>
                <c:formatCode>#,##0_ </c:formatCode>
                <c:ptCount val="6"/>
                <c:pt idx="0">
                  <c:v>3224000</c:v>
                </c:pt>
                <c:pt idx="1">
                  <c:v>4600000</c:v>
                </c:pt>
                <c:pt idx="2">
                  <c:v>4800000</c:v>
                </c:pt>
                <c:pt idx="3">
                  <c:v>4117000</c:v>
                </c:pt>
                <c:pt idx="4">
                  <c:v>6520000</c:v>
                </c:pt>
                <c:pt idx="5">
                  <c:v>6800000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2F-4083-BB11-387B88C3B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6593615"/>
        <c:axId val="1676594447"/>
      </c:barChart>
      <c:catAx>
        <c:axId val="16765936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76594447"/>
        <c:crosses val="autoZero"/>
        <c:auto val="1"/>
        <c:lblAlgn val="ctr"/>
        <c:lblOffset val="100"/>
        <c:noMultiLvlLbl val="0"/>
      </c:catAx>
      <c:valAx>
        <c:axId val="1676594447"/>
        <c:scaling>
          <c:orientation val="minMax"/>
          <c:max val="7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76593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b="1"/>
              <a:t>担当者別売上一覧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'担当者_VBA不使用 (参考)'!$B$4:$B$9</c:f>
              <c:strCache>
                <c:ptCount val="6"/>
                <c:pt idx="0">
                  <c:v>星　夕子</c:v>
                </c:pt>
                <c:pt idx="1">
                  <c:v>平林　理菜</c:v>
                </c:pt>
                <c:pt idx="2">
                  <c:v>藍沢　千夏</c:v>
                </c:pt>
                <c:pt idx="3">
                  <c:v>松谷　桜子</c:v>
                </c:pt>
                <c:pt idx="4">
                  <c:v>藤崎　紀子</c:v>
                </c:pt>
                <c:pt idx="5">
                  <c:v>海野　渚</c:v>
                </c:pt>
              </c:strCache>
            </c:strRef>
          </c:cat>
          <c:val>
            <c:numRef>
              <c:f>'担当者_VBA不使用 (参考)'!$C$4:$C$9</c:f>
              <c:numCache>
                <c:formatCode>#,##0</c:formatCode>
                <c:ptCount val="6"/>
                <c:pt idx="0">
                  <c:v>4849500</c:v>
                </c:pt>
                <c:pt idx="1">
                  <c:v>2764000</c:v>
                </c:pt>
                <c:pt idx="2">
                  <c:v>5112000</c:v>
                </c:pt>
                <c:pt idx="3">
                  <c:v>7782000</c:v>
                </c:pt>
                <c:pt idx="4">
                  <c:v>7111500</c:v>
                </c:pt>
                <c:pt idx="5">
                  <c:v>2442000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08-4503-A613-0D96A5D1D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2678527"/>
        <c:axId val="1482678111"/>
      </c:barChart>
      <c:catAx>
        <c:axId val="1482678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82678111"/>
        <c:crosses val="autoZero"/>
        <c:auto val="1"/>
        <c:lblAlgn val="ctr"/>
        <c:lblOffset val="100"/>
        <c:noMultiLvlLbl val="0"/>
      </c:catAx>
      <c:valAx>
        <c:axId val="1482678111"/>
        <c:scaling>
          <c:orientation val="minMax"/>
          <c:max val="8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82678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3</xdr:row>
          <xdr:rowOff>9525</xdr:rowOff>
        </xdr:from>
        <xdr:to>
          <xdr:col>10</xdr:col>
          <xdr:colOff>819150</xdr:colOff>
          <xdr:row>4</xdr:row>
          <xdr:rowOff>209550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商品別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</xdr:row>
          <xdr:rowOff>9525</xdr:rowOff>
        </xdr:from>
        <xdr:to>
          <xdr:col>11</xdr:col>
          <xdr:colOff>819150</xdr:colOff>
          <xdr:row>4</xdr:row>
          <xdr:rowOff>209550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担当者別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</xdr:row>
          <xdr:rowOff>9525</xdr:rowOff>
        </xdr:from>
        <xdr:to>
          <xdr:col>12</xdr:col>
          <xdr:colOff>819150</xdr:colOff>
          <xdr:row>4</xdr:row>
          <xdr:rowOff>209550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まとめて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7</xdr:row>
          <xdr:rowOff>9525</xdr:rowOff>
        </xdr:from>
        <xdr:to>
          <xdr:col>10</xdr:col>
          <xdr:colOff>819150</xdr:colOff>
          <xdr:row>8</xdr:row>
          <xdr:rowOff>209550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商品別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7</xdr:row>
          <xdr:rowOff>9525</xdr:rowOff>
        </xdr:from>
        <xdr:to>
          <xdr:col>11</xdr:col>
          <xdr:colOff>819150</xdr:colOff>
          <xdr:row>8</xdr:row>
          <xdr:rowOff>209550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担当者別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7</xdr:row>
          <xdr:rowOff>9525</xdr:rowOff>
        </xdr:from>
        <xdr:to>
          <xdr:col>12</xdr:col>
          <xdr:colOff>819150</xdr:colOff>
          <xdr:row>8</xdr:row>
          <xdr:rowOff>209550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まとめて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11</xdr:row>
          <xdr:rowOff>9525</xdr:rowOff>
        </xdr:from>
        <xdr:to>
          <xdr:col>10</xdr:col>
          <xdr:colOff>819150</xdr:colOff>
          <xdr:row>12</xdr:row>
          <xdr:rowOff>209550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商品別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11</xdr:row>
          <xdr:rowOff>9525</xdr:rowOff>
        </xdr:from>
        <xdr:to>
          <xdr:col>11</xdr:col>
          <xdr:colOff>819150</xdr:colOff>
          <xdr:row>12</xdr:row>
          <xdr:rowOff>209550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担当者別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11</xdr:row>
          <xdr:rowOff>9525</xdr:rowOff>
        </xdr:from>
        <xdr:to>
          <xdr:col>12</xdr:col>
          <xdr:colOff>819150</xdr:colOff>
          <xdr:row>12</xdr:row>
          <xdr:rowOff>209550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まとめて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15</xdr:row>
          <xdr:rowOff>9525</xdr:rowOff>
        </xdr:from>
        <xdr:to>
          <xdr:col>10</xdr:col>
          <xdr:colOff>819150</xdr:colOff>
          <xdr:row>16</xdr:row>
          <xdr:rowOff>209550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238124</xdr:rowOff>
    </xdr:from>
    <xdr:to>
      <xdr:col>6</xdr:col>
      <xdr:colOff>0</xdr:colOff>
      <xdr:row>25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238124</xdr:rowOff>
    </xdr:from>
    <xdr:to>
      <xdr:col>6</xdr:col>
      <xdr:colOff>0</xdr:colOff>
      <xdr:row>25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68A14-FB5A-4BDC-AFC1-45672CFD15C5}">
  <sheetPr codeName="Sheet1"/>
  <dimension ref="A1:K204"/>
  <sheetViews>
    <sheetView tabSelected="1" workbookViewId="0"/>
  </sheetViews>
  <sheetFormatPr defaultRowHeight="18.75" x14ac:dyDescent="0.4"/>
  <cols>
    <col min="1" max="1" width="5.25" bestFit="1" customWidth="1"/>
    <col min="2" max="2" width="11.375" bestFit="1" customWidth="1"/>
    <col min="3" max="3" width="7.125" bestFit="1" customWidth="1"/>
    <col min="4" max="5" width="11" bestFit="1" customWidth="1"/>
    <col min="6" max="6" width="17.25" bestFit="1" customWidth="1"/>
    <col min="7" max="7" width="8.5" bestFit="1" customWidth="1"/>
    <col min="8" max="8" width="5.25" bestFit="1" customWidth="1"/>
    <col min="9" max="9" width="12.5" bestFit="1" customWidth="1"/>
    <col min="10" max="10" width="5" customWidth="1"/>
    <col min="11" max="13" width="12.5" customWidth="1"/>
  </cols>
  <sheetData>
    <row r="1" spans="1:11" ht="19.5" x14ac:dyDescent="0.4">
      <c r="A1" s="5" t="s">
        <v>31</v>
      </c>
    </row>
    <row r="3" spans="1:11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29</v>
      </c>
      <c r="K3" s="2" t="s">
        <v>38</v>
      </c>
    </row>
    <row r="4" spans="1:11" x14ac:dyDescent="0.4">
      <c r="A4" s="10">
        <v>1</v>
      </c>
      <c r="B4" s="11">
        <v>42738</v>
      </c>
      <c r="C4" s="12" t="s">
        <v>8</v>
      </c>
      <c r="D4" s="12" t="s">
        <v>9</v>
      </c>
      <c r="E4" s="12" t="s">
        <v>17</v>
      </c>
      <c r="F4" s="12" t="s">
        <v>18</v>
      </c>
      <c r="G4" s="13">
        <v>8000</v>
      </c>
      <c r="H4" s="13">
        <v>7</v>
      </c>
      <c r="I4" s="14">
        <f>G4*H4</f>
        <v>56000</v>
      </c>
    </row>
    <row r="5" spans="1:11" x14ac:dyDescent="0.4">
      <c r="A5" s="10">
        <v>2</v>
      </c>
      <c r="B5" s="11">
        <v>42738</v>
      </c>
      <c r="C5" s="12" t="s">
        <v>10</v>
      </c>
      <c r="D5" s="12" t="s">
        <v>11</v>
      </c>
      <c r="E5" s="12" t="s">
        <v>19</v>
      </c>
      <c r="F5" s="12" t="s">
        <v>20</v>
      </c>
      <c r="G5" s="13">
        <v>10000</v>
      </c>
      <c r="H5" s="13">
        <v>10</v>
      </c>
      <c r="I5" s="14">
        <f t="shared" ref="I5:I68" si="0">G5*H5</f>
        <v>100000</v>
      </c>
    </row>
    <row r="6" spans="1:11" x14ac:dyDescent="0.4">
      <c r="A6" s="10">
        <v>3</v>
      </c>
      <c r="B6" s="11">
        <v>42742</v>
      </c>
      <c r="C6" s="12" t="s">
        <v>8</v>
      </c>
      <c r="D6" s="12" t="s">
        <v>12</v>
      </c>
      <c r="E6" s="12" t="s">
        <v>21</v>
      </c>
      <c r="F6" s="12" t="s">
        <v>22</v>
      </c>
      <c r="G6" s="13">
        <v>200000</v>
      </c>
      <c r="H6" s="13">
        <v>1</v>
      </c>
      <c r="I6" s="14">
        <f t="shared" si="0"/>
        <v>200000</v>
      </c>
    </row>
    <row r="7" spans="1:11" x14ac:dyDescent="0.4">
      <c r="A7" s="10">
        <v>4</v>
      </c>
      <c r="B7" s="11">
        <v>42745</v>
      </c>
      <c r="C7" s="12" t="s">
        <v>8</v>
      </c>
      <c r="D7" s="12" t="s">
        <v>9</v>
      </c>
      <c r="E7" s="12" t="s">
        <v>23</v>
      </c>
      <c r="F7" s="12" t="s">
        <v>24</v>
      </c>
      <c r="G7" s="13">
        <v>12500</v>
      </c>
      <c r="H7" s="13">
        <v>5</v>
      </c>
      <c r="I7" s="14">
        <f t="shared" si="0"/>
        <v>62500</v>
      </c>
      <c r="K7" s="2" t="s">
        <v>39</v>
      </c>
    </row>
    <row r="8" spans="1:11" x14ac:dyDescent="0.4">
      <c r="A8" s="10">
        <v>5</v>
      </c>
      <c r="B8" s="11">
        <v>42748</v>
      </c>
      <c r="C8" s="12" t="s">
        <v>13</v>
      </c>
      <c r="D8" s="12" t="s">
        <v>14</v>
      </c>
      <c r="E8" s="12" t="s">
        <v>23</v>
      </c>
      <c r="F8" s="12" t="s">
        <v>24</v>
      </c>
      <c r="G8" s="13">
        <v>12500</v>
      </c>
      <c r="H8" s="13">
        <v>5</v>
      </c>
      <c r="I8" s="14">
        <f t="shared" si="0"/>
        <v>62500</v>
      </c>
    </row>
    <row r="9" spans="1:11" x14ac:dyDescent="0.4">
      <c r="A9" s="10">
        <v>6</v>
      </c>
      <c r="B9" s="11">
        <v>42749</v>
      </c>
      <c r="C9" s="12" t="s">
        <v>13</v>
      </c>
      <c r="D9" s="12" t="s">
        <v>14</v>
      </c>
      <c r="E9" s="12" t="s">
        <v>19</v>
      </c>
      <c r="F9" s="12" t="s">
        <v>20</v>
      </c>
      <c r="G9" s="13">
        <v>10000</v>
      </c>
      <c r="H9" s="13">
        <v>2</v>
      </c>
      <c r="I9" s="14">
        <f t="shared" si="0"/>
        <v>20000</v>
      </c>
    </row>
    <row r="10" spans="1:11" x14ac:dyDescent="0.4">
      <c r="A10" s="10">
        <v>7</v>
      </c>
      <c r="B10" s="11">
        <v>42753</v>
      </c>
      <c r="C10" s="12" t="s">
        <v>13</v>
      </c>
      <c r="D10" s="12" t="s">
        <v>15</v>
      </c>
      <c r="E10" s="12" t="s">
        <v>17</v>
      </c>
      <c r="F10" s="12" t="s">
        <v>18</v>
      </c>
      <c r="G10" s="13">
        <v>8000</v>
      </c>
      <c r="H10" s="13">
        <v>1</v>
      </c>
      <c r="I10" s="14">
        <f t="shared" si="0"/>
        <v>8000</v>
      </c>
    </row>
    <row r="11" spans="1:11" x14ac:dyDescent="0.4">
      <c r="A11" s="10">
        <v>8</v>
      </c>
      <c r="B11" s="11">
        <v>42756</v>
      </c>
      <c r="C11" s="12" t="s">
        <v>10</v>
      </c>
      <c r="D11" s="12" t="s">
        <v>11</v>
      </c>
      <c r="E11" s="12" t="s">
        <v>25</v>
      </c>
      <c r="F11" s="12" t="s">
        <v>26</v>
      </c>
      <c r="G11" s="13">
        <v>23000</v>
      </c>
      <c r="H11" s="13">
        <v>12</v>
      </c>
      <c r="I11" s="14">
        <f t="shared" si="0"/>
        <v>276000</v>
      </c>
      <c r="K11" s="2" t="s">
        <v>40</v>
      </c>
    </row>
    <row r="12" spans="1:11" x14ac:dyDescent="0.4">
      <c r="A12" s="10">
        <v>9</v>
      </c>
      <c r="B12" s="11">
        <v>42756</v>
      </c>
      <c r="C12" s="12" t="s">
        <v>13</v>
      </c>
      <c r="D12" s="12" t="s">
        <v>15</v>
      </c>
      <c r="E12" s="12" t="s">
        <v>19</v>
      </c>
      <c r="F12" s="12" t="s">
        <v>20</v>
      </c>
      <c r="G12" s="13">
        <v>10000</v>
      </c>
      <c r="H12" s="13">
        <v>5</v>
      </c>
      <c r="I12" s="14">
        <f t="shared" si="0"/>
        <v>50000</v>
      </c>
    </row>
    <row r="13" spans="1:11" x14ac:dyDescent="0.4">
      <c r="A13" s="10">
        <v>10</v>
      </c>
      <c r="B13" s="11">
        <v>42756</v>
      </c>
      <c r="C13" s="12" t="s">
        <v>13</v>
      </c>
      <c r="D13" s="12" t="s">
        <v>14</v>
      </c>
      <c r="E13" s="12" t="s">
        <v>25</v>
      </c>
      <c r="F13" s="12" t="s">
        <v>26</v>
      </c>
      <c r="G13" s="13">
        <v>23000</v>
      </c>
      <c r="H13" s="13">
        <v>15</v>
      </c>
      <c r="I13" s="14">
        <f t="shared" si="0"/>
        <v>345000</v>
      </c>
    </row>
    <row r="14" spans="1:11" x14ac:dyDescent="0.4">
      <c r="A14" s="10">
        <v>11</v>
      </c>
      <c r="B14" s="11">
        <v>42757</v>
      </c>
      <c r="C14" s="12" t="s">
        <v>8</v>
      </c>
      <c r="D14" s="12" t="s">
        <v>12</v>
      </c>
      <c r="E14" s="12" t="s">
        <v>25</v>
      </c>
      <c r="F14" s="12" t="s">
        <v>26</v>
      </c>
      <c r="G14" s="13">
        <v>23000</v>
      </c>
      <c r="H14" s="13">
        <v>4</v>
      </c>
      <c r="I14" s="14">
        <f t="shared" si="0"/>
        <v>92000</v>
      </c>
    </row>
    <row r="15" spans="1:11" x14ac:dyDescent="0.4">
      <c r="A15" s="10">
        <v>12</v>
      </c>
      <c r="B15" s="11">
        <v>42758</v>
      </c>
      <c r="C15" s="12" t="s">
        <v>13</v>
      </c>
      <c r="D15" s="12" t="s">
        <v>14</v>
      </c>
      <c r="E15" s="12" t="s">
        <v>19</v>
      </c>
      <c r="F15" s="12" t="s">
        <v>20</v>
      </c>
      <c r="G15" s="13">
        <v>10000</v>
      </c>
      <c r="H15" s="13">
        <v>11</v>
      </c>
      <c r="I15" s="14">
        <f t="shared" si="0"/>
        <v>110000</v>
      </c>
      <c r="K15" s="2" t="s">
        <v>43</v>
      </c>
    </row>
    <row r="16" spans="1:11" x14ac:dyDescent="0.4">
      <c r="A16" s="10">
        <v>13</v>
      </c>
      <c r="B16" s="11">
        <v>42758</v>
      </c>
      <c r="C16" s="12" t="s">
        <v>8</v>
      </c>
      <c r="D16" s="12" t="s">
        <v>9</v>
      </c>
      <c r="E16" s="12" t="s">
        <v>19</v>
      </c>
      <c r="F16" s="12" t="s">
        <v>20</v>
      </c>
      <c r="G16" s="13">
        <v>10000</v>
      </c>
      <c r="H16" s="13">
        <v>5</v>
      </c>
      <c r="I16" s="14">
        <f t="shared" si="0"/>
        <v>50000</v>
      </c>
    </row>
    <row r="17" spans="1:11" x14ac:dyDescent="0.4">
      <c r="A17" s="10">
        <v>14</v>
      </c>
      <c r="B17" s="11">
        <v>42759</v>
      </c>
      <c r="C17" s="12" t="s">
        <v>13</v>
      </c>
      <c r="D17" s="12" t="s">
        <v>15</v>
      </c>
      <c r="E17" s="12" t="s">
        <v>25</v>
      </c>
      <c r="F17" s="12" t="s">
        <v>26</v>
      </c>
      <c r="G17" s="13">
        <v>23000</v>
      </c>
      <c r="H17" s="13">
        <v>9</v>
      </c>
      <c r="I17" s="14">
        <f t="shared" si="0"/>
        <v>207000</v>
      </c>
    </row>
    <row r="18" spans="1:11" x14ac:dyDescent="0.4">
      <c r="A18" s="10">
        <v>15</v>
      </c>
      <c r="B18" s="11">
        <v>42762</v>
      </c>
      <c r="C18" s="12" t="s">
        <v>13</v>
      </c>
      <c r="D18" s="12" t="s">
        <v>15</v>
      </c>
      <c r="E18" s="12" t="s">
        <v>21</v>
      </c>
      <c r="F18" s="12" t="s">
        <v>22</v>
      </c>
      <c r="G18" s="13">
        <v>200000</v>
      </c>
      <c r="H18" s="13">
        <v>4</v>
      </c>
      <c r="I18" s="14">
        <f t="shared" si="0"/>
        <v>800000</v>
      </c>
    </row>
    <row r="19" spans="1:11" x14ac:dyDescent="0.4">
      <c r="A19" s="10">
        <v>16</v>
      </c>
      <c r="B19" s="11">
        <v>42769</v>
      </c>
      <c r="C19" s="12" t="s">
        <v>13</v>
      </c>
      <c r="D19" s="12" t="s">
        <v>14</v>
      </c>
      <c r="E19" s="12" t="s">
        <v>17</v>
      </c>
      <c r="F19" s="12" t="s">
        <v>18</v>
      </c>
      <c r="G19" s="13">
        <v>8000</v>
      </c>
      <c r="H19" s="13">
        <v>15</v>
      </c>
      <c r="I19" s="14">
        <f t="shared" si="0"/>
        <v>120000</v>
      </c>
      <c r="K19" t="s">
        <v>41</v>
      </c>
    </row>
    <row r="20" spans="1:11" x14ac:dyDescent="0.4">
      <c r="A20" s="10">
        <v>17</v>
      </c>
      <c r="B20" s="11">
        <v>42769</v>
      </c>
      <c r="C20" s="12" t="s">
        <v>10</v>
      </c>
      <c r="D20" s="12" t="s">
        <v>16</v>
      </c>
      <c r="E20" s="12" t="s">
        <v>19</v>
      </c>
      <c r="F20" s="12" t="s">
        <v>20</v>
      </c>
      <c r="G20" s="13">
        <v>10000</v>
      </c>
      <c r="H20" s="13">
        <v>10</v>
      </c>
      <c r="I20" s="14">
        <f t="shared" si="0"/>
        <v>100000</v>
      </c>
      <c r="K20" t="s">
        <v>45</v>
      </c>
    </row>
    <row r="21" spans="1:11" x14ac:dyDescent="0.4">
      <c r="A21" s="10">
        <v>18</v>
      </c>
      <c r="B21" s="11">
        <v>42769</v>
      </c>
      <c r="C21" s="12" t="s">
        <v>8</v>
      </c>
      <c r="D21" s="12" t="s">
        <v>12</v>
      </c>
      <c r="E21" s="12" t="s">
        <v>21</v>
      </c>
      <c r="F21" s="12" t="s">
        <v>22</v>
      </c>
      <c r="G21" s="13">
        <v>200000</v>
      </c>
      <c r="H21" s="13">
        <v>4</v>
      </c>
      <c r="I21" s="14">
        <f t="shared" si="0"/>
        <v>800000</v>
      </c>
      <c r="K21" t="s">
        <v>44</v>
      </c>
    </row>
    <row r="22" spans="1:11" x14ac:dyDescent="0.4">
      <c r="A22" s="10">
        <v>19</v>
      </c>
      <c r="B22" s="11">
        <v>42773</v>
      </c>
      <c r="C22" s="12" t="s">
        <v>13</v>
      </c>
      <c r="D22" s="12" t="s">
        <v>14</v>
      </c>
      <c r="E22" s="12" t="s">
        <v>19</v>
      </c>
      <c r="F22" s="12" t="s">
        <v>20</v>
      </c>
      <c r="G22" s="13">
        <v>10000</v>
      </c>
      <c r="H22" s="13">
        <v>14</v>
      </c>
      <c r="I22" s="14">
        <f t="shared" si="0"/>
        <v>140000</v>
      </c>
      <c r="K22" t="s">
        <v>42</v>
      </c>
    </row>
    <row r="23" spans="1:11" x14ac:dyDescent="0.4">
      <c r="A23" s="10">
        <v>20</v>
      </c>
      <c r="B23" s="11">
        <v>42776</v>
      </c>
      <c r="C23" s="12" t="s">
        <v>8</v>
      </c>
      <c r="D23" s="12" t="s">
        <v>12</v>
      </c>
      <c r="E23" s="12" t="s">
        <v>25</v>
      </c>
      <c r="F23" s="12" t="s">
        <v>26</v>
      </c>
      <c r="G23" s="13">
        <v>23000</v>
      </c>
      <c r="H23" s="13">
        <v>15</v>
      </c>
      <c r="I23" s="14">
        <f t="shared" si="0"/>
        <v>345000</v>
      </c>
    </row>
    <row r="24" spans="1:11" x14ac:dyDescent="0.4">
      <c r="A24" s="10">
        <v>21</v>
      </c>
      <c r="B24" s="11">
        <v>42776</v>
      </c>
      <c r="C24" s="12" t="s">
        <v>8</v>
      </c>
      <c r="D24" s="12" t="s">
        <v>9</v>
      </c>
      <c r="E24" s="12" t="s">
        <v>19</v>
      </c>
      <c r="F24" s="12" t="s">
        <v>20</v>
      </c>
      <c r="G24" s="13">
        <v>10000</v>
      </c>
      <c r="H24" s="13">
        <v>13</v>
      </c>
      <c r="I24" s="14">
        <f t="shared" si="0"/>
        <v>130000</v>
      </c>
    </row>
    <row r="25" spans="1:11" x14ac:dyDescent="0.4">
      <c r="A25" s="10">
        <v>22</v>
      </c>
      <c r="B25" s="11">
        <v>42776</v>
      </c>
      <c r="C25" s="12" t="s">
        <v>13</v>
      </c>
      <c r="D25" s="12" t="s">
        <v>15</v>
      </c>
      <c r="E25" s="12" t="s">
        <v>23</v>
      </c>
      <c r="F25" s="12" t="s">
        <v>24</v>
      </c>
      <c r="G25" s="13">
        <v>12500</v>
      </c>
      <c r="H25" s="13">
        <v>11</v>
      </c>
      <c r="I25" s="14">
        <f t="shared" si="0"/>
        <v>137500</v>
      </c>
    </row>
    <row r="26" spans="1:11" x14ac:dyDescent="0.4">
      <c r="A26" s="10">
        <v>23</v>
      </c>
      <c r="B26" s="11">
        <v>42776</v>
      </c>
      <c r="C26" s="12" t="s">
        <v>10</v>
      </c>
      <c r="D26" s="12" t="s">
        <v>16</v>
      </c>
      <c r="E26" s="12" t="s">
        <v>19</v>
      </c>
      <c r="F26" s="12" t="s">
        <v>20</v>
      </c>
      <c r="G26" s="13">
        <v>10000</v>
      </c>
      <c r="H26" s="13">
        <v>5</v>
      </c>
      <c r="I26" s="14">
        <f t="shared" si="0"/>
        <v>50000</v>
      </c>
    </row>
    <row r="27" spans="1:11" x14ac:dyDescent="0.4">
      <c r="A27" s="10">
        <v>24</v>
      </c>
      <c r="B27" s="11">
        <v>42776</v>
      </c>
      <c r="C27" s="12" t="s">
        <v>8</v>
      </c>
      <c r="D27" s="12" t="s">
        <v>9</v>
      </c>
      <c r="E27" s="12" t="s">
        <v>17</v>
      </c>
      <c r="F27" s="12" t="s">
        <v>18</v>
      </c>
      <c r="G27" s="13">
        <v>8000</v>
      </c>
      <c r="H27" s="13">
        <v>12</v>
      </c>
      <c r="I27" s="14">
        <f t="shared" si="0"/>
        <v>96000</v>
      </c>
    </row>
    <row r="28" spans="1:11" x14ac:dyDescent="0.4">
      <c r="A28" s="10">
        <v>25</v>
      </c>
      <c r="B28" s="11">
        <v>42776</v>
      </c>
      <c r="C28" s="12" t="s">
        <v>10</v>
      </c>
      <c r="D28" s="12" t="s">
        <v>16</v>
      </c>
      <c r="E28" s="12" t="s">
        <v>19</v>
      </c>
      <c r="F28" s="12" t="s">
        <v>20</v>
      </c>
      <c r="G28" s="13">
        <v>10000</v>
      </c>
      <c r="H28" s="13">
        <v>15</v>
      </c>
      <c r="I28" s="14">
        <f t="shared" si="0"/>
        <v>150000</v>
      </c>
    </row>
    <row r="29" spans="1:11" x14ac:dyDescent="0.4">
      <c r="A29" s="10">
        <v>26</v>
      </c>
      <c r="B29" s="11">
        <v>42777</v>
      </c>
      <c r="C29" s="12" t="s">
        <v>13</v>
      </c>
      <c r="D29" s="12" t="s">
        <v>15</v>
      </c>
      <c r="E29" s="12" t="s">
        <v>25</v>
      </c>
      <c r="F29" s="12" t="s">
        <v>26</v>
      </c>
      <c r="G29" s="13">
        <v>23000</v>
      </c>
      <c r="H29" s="13">
        <v>12</v>
      </c>
      <c r="I29" s="14">
        <f t="shared" si="0"/>
        <v>276000</v>
      </c>
    </row>
    <row r="30" spans="1:11" x14ac:dyDescent="0.4">
      <c r="A30" s="10">
        <v>27</v>
      </c>
      <c r="B30" s="11">
        <v>42778</v>
      </c>
      <c r="C30" s="12" t="s">
        <v>8</v>
      </c>
      <c r="D30" s="12" t="s">
        <v>9</v>
      </c>
      <c r="E30" s="12" t="s">
        <v>17</v>
      </c>
      <c r="F30" s="12" t="s">
        <v>18</v>
      </c>
      <c r="G30" s="13">
        <v>8000</v>
      </c>
      <c r="H30" s="13">
        <v>1</v>
      </c>
      <c r="I30" s="14">
        <f t="shared" si="0"/>
        <v>8000</v>
      </c>
    </row>
    <row r="31" spans="1:11" x14ac:dyDescent="0.4">
      <c r="A31" s="10">
        <v>28</v>
      </c>
      <c r="B31" s="11">
        <v>42778</v>
      </c>
      <c r="C31" s="12" t="s">
        <v>13</v>
      </c>
      <c r="D31" s="12" t="s">
        <v>14</v>
      </c>
      <c r="E31" s="12" t="s">
        <v>19</v>
      </c>
      <c r="F31" s="12" t="s">
        <v>20</v>
      </c>
      <c r="G31" s="13">
        <v>10000</v>
      </c>
      <c r="H31" s="13">
        <v>10</v>
      </c>
      <c r="I31" s="14">
        <f t="shared" si="0"/>
        <v>100000</v>
      </c>
    </row>
    <row r="32" spans="1:11" x14ac:dyDescent="0.4">
      <c r="A32" s="10">
        <v>29</v>
      </c>
      <c r="B32" s="11">
        <v>42778</v>
      </c>
      <c r="C32" s="12" t="s">
        <v>10</v>
      </c>
      <c r="D32" s="12" t="s">
        <v>11</v>
      </c>
      <c r="E32" s="12" t="s">
        <v>19</v>
      </c>
      <c r="F32" s="12" t="s">
        <v>20</v>
      </c>
      <c r="G32" s="13">
        <v>10000</v>
      </c>
      <c r="H32" s="13">
        <v>4</v>
      </c>
      <c r="I32" s="14">
        <f t="shared" si="0"/>
        <v>40000</v>
      </c>
    </row>
    <row r="33" spans="1:9" x14ac:dyDescent="0.4">
      <c r="A33" s="10">
        <v>30</v>
      </c>
      <c r="B33" s="11">
        <v>42787</v>
      </c>
      <c r="C33" s="12" t="s">
        <v>13</v>
      </c>
      <c r="D33" s="12" t="s">
        <v>15</v>
      </c>
      <c r="E33" s="12" t="s">
        <v>17</v>
      </c>
      <c r="F33" s="12" t="s">
        <v>18</v>
      </c>
      <c r="G33" s="13">
        <v>8000</v>
      </c>
      <c r="H33" s="13">
        <v>10</v>
      </c>
      <c r="I33" s="14">
        <f t="shared" si="0"/>
        <v>80000</v>
      </c>
    </row>
    <row r="34" spans="1:9" x14ac:dyDescent="0.4">
      <c r="A34" s="10">
        <v>31</v>
      </c>
      <c r="B34" s="11">
        <v>42788</v>
      </c>
      <c r="C34" s="12" t="s">
        <v>8</v>
      </c>
      <c r="D34" s="12" t="s">
        <v>9</v>
      </c>
      <c r="E34" s="12" t="s">
        <v>23</v>
      </c>
      <c r="F34" s="12" t="s">
        <v>24</v>
      </c>
      <c r="G34" s="13">
        <v>12500</v>
      </c>
      <c r="H34" s="13">
        <v>2</v>
      </c>
      <c r="I34" s="14">
        <f t="shared" si="0"/>
        <v>25000</v>
      </c>
    </row>
    <row r="35" spans="1:9" x14ac:dyDescent="0.4">
      <c r="A35" s="10">
        <v>32</v>
      </c>
      <c r="B35" s="11">
        <v>42788</v>
      </c>
      <c r="C35" s="12" t="s">
        <v>8</v>
      </c>
      <c r="D35" s="12" t="s">
        <v>9</v>
      </c>
      <c r="E35" s="12" t="s">
        <v>27</v>
      </c>
      <c r="F35" s="12" t="s">
        <v>28</v>
      </c>
      <c r="G35" s="13">
        <v>40000</v>
      </c>
      <c r="H35" s="13">
        <v>1</v>
      </c>
      <c r="I35" s="14">
        <f t="shared" si="0"/>
        <v>40000</v>
      </c>
    </row>
    <row r="36" spans="1:9" x14ac:dyDescent="0.4">
      <c r="A36" s="10">
        <v>33</v>
      </c>
      <c r="B36" s="11">
        <v>42788</v>
      </c>
      <c r="C36" s="12" t="s">
        <v>13</v>
      </c>
      <c r="D36" s="12" t="s">
        <v>14</v>
      </c>
      <c r="E36" s="12" t="s">
        <v>25</v>
      </c>
      <c r="F36" s="12" t="s">
        <v>26</v>
      </c>
      <c r="G36" s="13">
        <v>23000</v>
      </c>
      <c r="H36" s="13">
        <v>10</v>
      </c>
      <c r="I36" s="14">
        <f t="shared" si="0"/>
        <v>230000</v>
      </c>
    </row>
    <row r="37" spans="1:9" x14ac:dyDescent="0.4">
      <c r="A37" s="10">
        <v>34</v>
      </c>
      <c r="B37" s="11">
        <v>42789</v>
      </c>
      <c r="C37" s="12" t="s">
        <v>13</v>
      </c>
      <c r="D37" s="12" t="s">
        <v>14</v>
      </c>
      <c r="E37" s="12" t="s">
        <v>27</v>
      </c>
      <c r="F37" s="12" t="s">
        <v>28</v>
      </c>
      <c r="G37" s="13">
        <v>40000</v>
      </c>
      <c r="H37" s="13">
        <v>3</v>
      </c>
      <c r="I37" s="14">
        <f t="shared" si="0"/>
        <v>120000</v>
      </c>
    </row>
    <row r="38" spans="1:9" x14ac:dyDescent="0.4">
      <c r="A38" s="10">
        <v>35</v>
      </c>
      <c r="B38" s="11">
        <v>42790</v>
      </c>
      <c r="C38" s="12" t="s">
        <v>13</v>
      </c>
      <c r="D38" s="12" t="s">
        <v>15</v>
      </c>
      <c r="E38" s="12" t="s">
        <v>25</v>
      </c>
      <c r="F38" s="12" t="s">
        <v>26</v>
      </c>
      <c r="G38" s="13">
        <v>23000</v>
      </c>
      <c r="H38" s="13">
        <v>9</v>
      </c>
      <c r="I38" s="14">
        <f t="shared" si="0"/>
        <v>207000</v>
      </c>
    </row>
    <row r="39" spans="1:9" x14ac:dyDescent="0.4">
      <c r="A39" s="10">
        <v>36</v>
      </c>
      <c r="B39" s="11">
        <v>42790</v>
      </c>
      <c r="C39" s="12" t="s">
        <v>13</v>
      </c>
      <c r="D39" s="12" t="s">
        <v>14</v>
      </c>
      <c r="E39" s="12" t="s">
        <v>19</v>
      </c>
      <c r="F39" s="12" t="s">
        <v>20</v>
      </c>
      <c r="G39" s="13">
        <v>10000</v>
      </c>
      <c r="H39" s="13">
        <v>9</v>
      </c>
      <c r="I39" s="14">
        <f t="shared" si="0"/>
        <v>90000</v>
      </c>
    </row>
    <row r="40" spans="1:9" x14ac:dyDescent="0.4">
      <c r="A40" s="10">
        <v>37</v>
      </c>
      <c r="B40" s="11">
        <v>42791</v>
      </c>
      <c r="C40" s="12" t="s">
        <v>13</v>
      </c>
      <c r="D40" s="12" t="s">
        <v>14</v>
      </c>
      <c r="E40" s="12" t="s">
        <v>21</v>
      </c>
      <c r="F40" s="12" t="s">
        <v>22</v>
      </c>
      <c r="G40" s="13">
        <v>200000</v>
      </c>
      <c r="H40" s="13">
        <v>1</v>
      </c>
      <c r="I40" s="14">
        <f t="shared" si="0"/>
        <v>200000</v>
      </c>
    </row>
    <row r="41" spans="1:9" x14ac:dyDescent="0.4">
      <c r="A41" s="10">
        <v>38</v>
      </c>
      <c r="B41" s="11">
        <v>42792</v>
      </c>
      <c r="C41" s="12" t="s">
        <v>13</v>
      </c>
      <c r="D41" s="12" t="s">
        <v>15</v>
      </c>
      <c r="E41" s="12" t="s">
        <v>27</v>
      </c>
      <c r="F41" s="12" t="s">
        <v>28</v>
      </c>
      <c r="G41" s="13">
        <v>40000</v>
      </c>
      <c r="H41" s="13">
        <v>10</v>
      </c>
      <c r="I41" s="14">
        <f t="shared" si="0"/>
        <v>400000</v>
      </c>
    </row>
    <row r="42" spans="1:9" x14ac:dyDescent="0.4">
      <c r="A42" s="10">
        <v>39</v>
      </c>
      <c r="B42" s="11">
        <v>42793</v>
      </c>
      <c r="C42" s="12" t="s">
        <v>10</v>
      </c>
      <c r="D42" s="12" t="s">
        <v>11</v>
      </c>
      <c r="E42" s="12" t="s">
        <v>17</v>
      </c>
      <c r="F42" s="12" t="s">
        <v>18</v>
      </c>
      <c r="G42" s="13">
        <v>8000</v>
      </c>
      <c r="H42" s="13">
        <v>9</v>
      </c>
      <c r="I42" s="14">
        <f t="shared" si="0"/>
        <v>72000</v>
      </c>
    </row>
    <row r="43" spans="1:9" x14ac:dyDescent="0.4">
      <c r="A43" s="10">
        <v>40</v>
      </c>
      <c r="B43" s="11">
        <v>42795</v>
      </c>
      <c r="C43" s="12" t="s">
        <v>13</v>
      </c>
      <c r="D43" s="12" t="s">
        <v>15</v>
      </c>
      <c r="E43" s="12" t="s">
        <v>23</v>
      </c>
      <c r="F43" s="12" t="s">
        <v>24</v>
      </c>
      <c r="G43" s="13">
        <v>12500</v>
      </c>
      <c r="H43" s="13">
        <v>3</v>
      </c>
      <c r="I43" s="14">
        <f t="shared" si="0"/>
        <v>37500</v>
      </c>
    </row>
    <row r="44" spans="1:9" x14ac:dyDescent="0.4">
      <c r="A44" s="10">
        <v>41</v>
      </c>
      <c r="B44" s="11">
        <v>42796</v>
      </c>
      <c r="C44" s="12" t="s">
        <v>8</v>
      </c>
      <c r="D44" s="12" t="s">
        <v>12</v>
      </c>
      <c r="E44" s="12" t="s">
        <v>17</v>
      </c>
      <c r="F44" s="12" t="s">
        <v>18</v>
      </c>
      <c r="G44" s="13">
        <v>8000</v>
      </c>
      <c r="H44" s="13">
        <v>3</v>
      </c>
      <c r="I44" s="14">
        <f t="shared" si="0"/>
        <v>24000</v>
      </c>
    </row>
    <row r="45" spans="1:9" x14ac:dyDescent="0.4">
      <c r="A45" s="10">
        <v>42</v>
      </c>
      <c r="B45" s="11">
        <v>42796</v>
      </c>
      <c r="C45" s="12" t="s">
        <v>10</v>
      </c>
      <c r="D45" s="12" t="s">
        <v>16</v>
      </c>
      <c r="E45" s="12" t="s">
        <v>23</v>
      </c>
      <c r="F45" s="12" t="s">
        <v>24</v>
      </c>
      <c r="G45" s="13">
        <v>12500</v>
      </c>
      <c r="H45" s="13">
        <v>8</v>
      </c>
      <c r="I45" s="14">
        <f t="shared" si="0"/>
        <v>100000</v>
      </c>
    </row>
    <row r="46" spans="1:9" x14ac:dyDescent="0.4">
      <c r="A46" s="10">
        <v>43</v>
      </c>
      <c r="B46" s="11">
        <v>42801</v>
      </c>
      <c r="C46" s="12" t="s">
        <v>13</v>
      </c>
      <c r="D46" s="12" t="s">
        <v>15</v>
      </c>
      <c r="E46" s="12" t="s">
        <v>19</v>
      </c>
      <c r="F46" s="12" t="s">
        <v>20</v>
      </c>
      <c r="G46" s="13">
        <v>10000</v>
      </c>
      <c r="H46" s="13">
        <v>3</v>
      </c>
      <c r="I46" s="14">
        <f t="shared" si="0"/>
        <v>30000</v>
      </c>
    </row>
    <row r="47" spans="1:9" x14ac:dyDescent="0.4">
      <c r="A47" s="10">
        <v>44</v>
      </c>
      <c r="B47" s="11">
        <v>42805</v>
      </c>
      <c r="C47" s="12" t="s">
        <v>8</v>
      </c>
      <c r="D47" s="12" t="s">
        <v>12</v>
      </c>
      <c r="E47" s="12" t="s">
        <v>23</v>
      </c>
      <c r="F47" s="12" t="s">
        <v>24</v>
      </c>
      <c r="G47" s="13">
        <v>12500</v>
      </c>
      <c r="H47" s="13">
        <v>12</v>
      </c>
      <c r="I47" s="14">
        <f t="shared" si="0"/>
        <v>150000</v>
      </c>
    </row>
    <row r="48" spans="1:9" x14ac:dyDescent="0.4">
      <c r="A48" s="10">
        <v>45</v>
      </c>
      <c r="B48" s="11">
        <v>42806</v>
      </c>
      <c r="C48" s="12" t="s">
        <v>8</v>
      </c>
      <c r="D48" s="12" t="s">
        <v>12</v>
      </c>
      <c r="E48" s="12" t="s">
        <v>21</v>
      </c>
      <c r="F48" s="12" t="s">
        <v>22</v>
      </c>
      <c r="G48" s="13">
        <v>200000</v>
      </c>
      <c r="H48" s="13">
        <v>4</v>
      </c>
      <c r="I48" s="14">
        <f t="shared" si="0"/>
        <v>800000</v>
      </c>
    </row>
    <row r="49" spans="1:9" x14ac:dyDescent="0.4">
      <c r="A49" s="10">
        <v>46</v>
      </c>
      <c r="B49" s="11">
        <v>42806</v>
      </c>
      <c r="C49" s="12" t="s">
        <v>10</v>
      </c>
      <c r="D49" s="12" t="s">
        <v>16</v>
      </c>
      <c r="E49" s="12" t="s">
        <v>19</v>
      </c>
      <c r="F49" s="12" t="s">
        <v>20</v>
      </c>
      <c r="G49" s="13">
        <v>10000</v>
      </c>
      <c r="H49" s="13">
        <v>15</v>
      </c>
      <c r="I49" s="14">
        <f t="shared" si="0"/>
        <v>150000</v>
      </c>
    </row>
    <row r="50" spans="1:9" x14ac:dyDescent="0.4">
      <c r="A50" s="10">
        <v>47</v>
      </c>
      <c r="B50" s="11">
        <v>42815</v>
      </c>
      <c r="C50" s="12" t="s">
        <v>8</v>
      </c>
      <c r="D50" s="12" t="s">
        <v>9</v>
      </c>
      <c r="E50" s="12" t="s">
        <v>23</v>
      </c>
      <c r="F50" s="12" t="s">
        <v>24</v>
      </c>
      <c r="G50" s="13">
        <v>12500</v>
      </c>
      <c r="H50" s="13">
        <v>15</v>
      </c>
      <c r="I50" s="14">
        <f t="shared" si="0"/>
        <v>187500</v>
      </c>
    </row>
    <row r="51" spans="1:9" x14ac:dyDescent="0.4">
      <c r="A51" s="10">
        <v>48</v>
      </c>
      <c r="B51" s="11">
        <v>42815</v>
      </c>
      <c r="C51" s="12" t="s">
        <v>13</v>
      </c>
      <c r="D51" s="12" t="s">
        <v>15</v>
      </c>
      <c r="E51" s="12" t="s">
        <v>17</v>
      </c>
      <c r="F51" s="12" t="s">
        <v>18</v>
      </c>
      <c r="G51" s="13">
        <v>8000</v>
      </c>
      <c r="H51" s="13">
        <v>8</v>
      </c>
      <c r="I51" s="14">
        <f t="shared" si="0"/>
        <v>64000</v>
      </c>
    </row>
    <row r="52" spans="1:9" x14ac:dyDescent="0.4">
      <c r="A52" s="10">
        <v>49</v>
      </c>
      <c r="B52" s="11">
        <v>42816</v>
      </c>
      <c r="C52" s="12" t="s">
        <v>8</v>
      </c>
      <c r="D52" s="12" t="s">
        <v>9</v>
      </c>
      <c r="E52" s="12" t="s">
        <v>27</v>
      </c>
      <c r="F52" s="12" t="s">
        <v>28</v>
      </c>
      <c r="G52" s="13">
        <v>40000</v>
      </c>
      <c r="H52" s="13">
        <v>13</v>
      </c>
      <c r="I52" s="14">
        <f t="shared" si="0"/>
        <v>520000</v>
      </c>
    </row>
    <row r="53" spans="1:9" x14ac:dyDescent="0.4">
      <c r="A53" s="10">
        <v>50</v>
      </c>
      <c r="B53" s="11">
        <v>42816</v>
      </c>
      <c r="C53" s="12" t="s">
        <v>13</v>
      </c>
      <c r="D53" s="12" t="s">
        <v>15</v>
      </c>
      <c r="E53" s="12" t="s">
        <v>25</v>
      </c>
      <c r="F53" s="12" t="s">
        <v>26</v>
      </c>
      <c r="G53" s="13">
        <v>23000</v>
      </c>
      <c r="H53" s="13">
        <v>9</v>
      </c>
      <c r="I53" s="14">
        <f t="shared" si="0"/>
        <v>207000</v>
      </c>
    </row>
    <row r="54" spans="1:9" x14ac:dyDescent="0.4">
      <c r="A54" s="10">
        <v>51</v>
      </c>
      <c r="B54" s="11">
        <v>42816</v>
      </c>
      <c r="C54" s="12" t="s">
        <v>13</v>
      </c>
      <c r="D54" s="12" t="s">
        <v>14</v>
      </c>
      <c r="E54" s="12" t="s">
        <v>19</v>
      </c>
      <c r="F54" s="12" t="s">
        <v>20</v>
      </c>
      <c r="G54" s="13">
        <v>10000</v>
      </c>
      <c r="H54" s="13">
        <v>1</v>
      </c>
      <c r="I54" s="14">
        <f t="shared" si="0"/>
        <v>10000</v>
      </c>
    </row>
    <row r="55" spans="1:9" x14ac:dyDescent="0.4">
      <c r="A55" s="10">
        <v>52</v>
      </c>
      <c r="B55" s="11">
        <v>42816</v>
      </c>
      <c r="C55" s="12" t="s">
        <v>10</v>
      </c>
      <c r="D55" s="12" t="s">
        <v>11</v>
      </c>
      <c r="E55" s="12" t="s">
        <v>23</v>
      </c>
      <c r="F55" s="12" t="s">
        <v>24</v>
      </c>
      <c r="G55" s="13">
        <v>12500</v>
      </c>
      <c r="H55" s="13">
        <v>9</v>
      </c>
      <c r="I55" s="14">
        <f t="shared" si="0"/>
        <v>112500</v>
      </c>
    </row>
    <row r="56" spans="1:9" x14ac:dyDescent="0.4">
      <c r="A56" s="10">
        <v>53</v>
      </c>
      <c r="B56" s="11">
        <v>42817</v>
      </c>
      <c r="C56" s="12" t="s">
        <v>8</v>
      </c>
      <c r="D56" s="12" t="s">
        <v>12</v>
      </c>
      <c r="E56" s="12" t="s">
        <v>17</v>
      </c>
      <c r="F56" s="12" t="s">
        <v>18</v>
      </c>
      <c r="G56" s="13">
        <v>8000</v>
      </c>
      <c r="H56" s="13">
        <v>2</v>
      </c>
      <c r="I56" s="14">
        <f t="shared" si="0"/>
        <v>16000</v>
      </c>
    </row>
    <row r="57" spans="1:9" x14ac:dyDescent="0.4">
      <c r="A57" s="10">
        <v>54</v>
      </c>
      <c r="B57" s="11">
        <v>42817</v>
      </c>
      <c r="C57" s="12" t="s">
        <v>13</v>
      </c>
      <c r="D57" s="12" t="s">
        <v>15</v>
      </c>
      <c r="E57" s="12" t="s">
        <v>17</v>
      </c>
      <c r="F57" s="12" t="s">
        <v>18</v>
      </c>
      <c r="G57" s="13">
        <v>8000</v>
      </c>
      <c r="H57" s="13">
        <v>11</v>
      </c>
      <c r="I57" s="14">
        <f t="shared" si="0"/>
        <v>88000</v>
      </c>
    </row>
    <row r="58" spans="1:9" x14ac:dyDescent="0.4">
      <c r="A58" s="10">
        <v>55</v>
      </c>
      <c r="B58" s="11">
        <v>42819</v>
      </c>
      <c r="C58" s="12" t="s">
        <v>13</v>
      </c>
      <c r="D58" s="12" t="s">
        <v>15</v>
      </c>
      <c r="E58" s="12" t="s">
        <v>23</v>
      </c>
      <c r="F58" s="12" t="s">
        <v>24</v>
      </c>
      <c r="G58" s="13">
        <v>12500</v>
      </c>
      <c r="H58" s="13">
        <v>14</v>
      </c>
      <c r="I58" s="14">
        <f t="shared" si="0"/>
        <v>175000</v>
      </c>
    </row>
    <row r="59" spans="1:9" x14ac:dyDescent="0.4">
      <c r="A59" s="10">
        <v>56</v>
      </c>
      <c r="B59" s="11">
        <v>42833</v>
      </c>
      <c r="C59" s="12" t="s">
        <v>13</v>
      </c>
      <c r="D59" s="12" t="s">
        <v>14</v>
      </c>
      <c r="E59" s="12" t="s">
        <v>21</v>
      </c>
      <c r="F59" s="12" t="s">
        <v>22</v>
      </c>
      <c r="G59" s="13">
        <v>200000</v>
      </c>
      <c r="H59" s="13">
        <v>1</v>
      </c>
      <c r="I59" s="14">
        <f t="shared" si="0"/>
        <v>200000</v>
      </c>
    </row>
    <row r="60" spans="1:9" x14ac:dyDescent="0.4">
      <c r="A60" s="10">
        <v>57</v>
      </c>
      <c r="B60" s="11">
        <v>42835</v>
      </c>
      <c r="C60" s="12" t="s">
        <v>8</v>
      </c>
      <c r="D60" s="12" t="s">
        <v>9</v>
      </c>
      <c r="E60" s="12" t="s">
        <v>27</v>
      </c>
      <c r="F60" s="12" t="s">
        <v>28</v>
      </c>
      <c r="G60" s="13">
        <v>40000</v>
      </c>
      <c r="H60" s="13">
        <v>2</v>
      </c>
      <c r="I60" s="14">
        <f t="shared" si="0"/>
        <v>80000</v>
      </c>
    </row>
    <row r="61" spans="1:9" x14ac:dyDescent="0.4">
      <c r="A61" s="10">
        <v>58</v>
      </c>
      <c r="B61" s="11">
        <v>42835</v>
      </c>
      <c r="C61" s="12" t="s">
        <v>10</v>
      </c>
      <c r="D61" s="12" t="s">
        <v>11</v>
      </c>
      <c r="E61" s="12" t="s">
        <v>23</v>
      </c>
      <c r="F61" s="12" t="s">
        <v>24</v>
      </c>
      <c r="G61" s="13">
        <v>12500</v>
      </c>
      <c r="H61" s="13">
        <v>15</v>
      </c>
      <c r="I61" s="14">
        <f t="shared" si="0"/>
        <v>187500</v>
      </c>
    </row>
    <row r="62" spans="1:9" x14ac:dyDescent="0.4">
      <c r="A62" s="10">
        <v>59</v>
      </c>
      <c r="B62" s="11">
        <v>42838</v>
      </c>
      <c r="C62" s="12" t="s">
        <v>10</v>
      </c>
      <c r="D62" s="12" t="s">
        <v>16</v>
      </c>
      <c r="E62" s="12" t="s">
        <v>27</v>
      </c>
      <c r="F62" s="12" t="s">
        <v>28</v>
      </c>
      <c r="G62" s="13">
        <v>40000</v>
      </c>
      <c r="H62" s="13">
        <v>6</v>
      </c>
      <c r="I62" s="14">
        <f t="shared" si="0"/>
        <v>240000</v>
      </c>
    </row>
    <row r="63" spans="1:9" x14ac:dyDescent="0.4">
      <c r="A63" s="10">
        <v>60</v>
      </c>
      <c r="B63" s="11">
        <v>42847</v>
      </c>
      <c r="C63" s="12" t="s">
        <v>8</v>
      </c>
      <c r="D63" s="12" t="s">
        <v>9</v>
      </c>
      <c r="E63" s="12" t="s">
        <v>17</v>
      </c>
      <c r="F63" s="12" t="s">
        <v>18</v>
      </c>
      <c r="G63" s="13">
        <v>8000</v>
      </c>
      <c r="H63" s="13">
        <v>9</v>
      </c>
      <c r="I63" s="14">
        <f t="shared" si="0"/>
        <v>72000</v>
      </c>
    </row>
    <row r="64" spans="1:9" x14ac:dyDescent="0.4">
      <c r="A64" s="10">
        <v>61</v>
      </c>
      <c r="B64" s="11">
        <v>42847</v>
      </c>
      <c r="C64" s="12" t="s">
        <v>8</v>
      </c>
      <c r="D64" s="12" t="s">
        <v>9</v>
      </c>
      <c r="E64" s="12" t="s">
        <v>19</v>
      </c>
      <c r="F64" s="12" t="s">
        <v>20</v>
      </c>
      <c r="G64" s="13">
        <v>10000</v>
      </c>
      <c r="H64" s="13">
        <v>12</v>
      </c>
      <c r="I64" s="14">
        <f t="shared" si="0"/>
        <v>120000</v>
      </c>
    </row>
    <row r="65" spans="1:9" x14ac:dyDescent="0.4">
      <c r="A65" s="10">
        <v>62</v>
      </c>
      <c r="B65" s="11">
        <v>42848</v>
      </c>
      <c r="C65" s="12" t="s">
        <v>8</v>
      </c>
      <c r="D65" s="12" t="s">
        <v>12</v>
      </c>
      <c r="E65" s="12" t="s">
        <v>23</v>
      </c>
      <c r="F65" s="12" t="s">
        <v>24</v>
      </c>
      <c r="G65" s="13">
        <v>12500</v>
      </c>
      <c r="H65" s="13">
        <v>17</v>
      </c>
      <c r="I65" s="14">
        <f t="shared" si="0"/>
        <v>212500</v>
      </c>
    </row>
    <row r="66" spans="1:9" x14ac:dyDescent="0.4">
      <c r="A66" s="10">
        <v>63</v>
      </c>
      <c r="B66" s="11">
        <v>42848</v>
      </c>
      <c r="C66" s="12" t="s">
        <v>10</v>
      </c>
      <c r="D66" s="12" t="s">
        <v>11</v>
      </c>
      <c r="E66" s="12" t="s">
        <v>19</v>
      </c>
      <c r="F66" s="12" t="s">
        <v>20</v>
      </c>
      <c r="G66" s="13">
        <v>10000</v>
      </c>
      <c r="H66" s="13">
        <v>4</v>
      </c>
      <c r="I66" s="14">
        <f t="shared" si="0"/>
        <v>40000</v>
      </c>
    </row>
    <row r="67" spans="1:9" x14ac:dyDescent="0.4">
      <c r="A67" s="10">
        <v>64</v>
      </c>
      <c r="B67" s="11">
        <v>42849</v>
      </c>
      <c r="C67" s="12" t="s">
        <v>13</v>
      </c>
      <c r="D67" s="12" t="s">
        <v>15</v>
      </c>
      <c r="E67" s="12" t="s">
        <v>19</v>
      </c>
      <c r="F67" s="12" t="s">
        <v>20</v>
      </c>
      <c r="G67" s="13">
        <v>10000</v>
      </c>
      <c r="H67" s="13">
        <v>15</v>
      </c>
      <c r="I67" s="14">
        <f t="shared" si="0"/>
        <v>150000</v>
      </c>
    </row>
    <row r="68" spans="1:9" x14ac:dyDescent="0.4">
      <c r="A68" s="10">
        <v>65</v>
      </c>
      <c r="B68" s="11">
        <v>42852</v>
      </c>
      <c r="C68" s="12" t="s">
        <v>13</v>
      </c>
      <c r="D68" s="12" t="s">
        <v>14</v>
      </c>
      <c r="E68" s="12" t="s">
        <v>23</v>
      </c>
      <c r="F68" s="12" t="s">
        <v>24</v>
      </c>
      <c r="G68" s="13">
        <v>12500</v>
      </c>
      <c r="H68" s="13">
        <v>18</v>
      </c>
      <c r="I68" s="14">
        <f t="shared" si="0"/>
        <v>225000</v>
      </c>
    </row>
    <row r="69" spans="1:9" x14ac:dyDescent="0.4">
      <c r="A69" s="10">
        <v>66</v>
      </c>
      <c r="B69" s="11">
        <v>42853</v>
      </c>
      <c r="C69" s="12" t="s">
        <v>10</v>
      </c>
      <c r="D69" s="12" t="s">
        <v>11</v>
      </c>
      <c r="E69" s="12" t="s">
        <v>17</v>
      </c>
      <c r="F69" s="12" t="s">
        <v>18</v>
      </c>
      <c r="G69" s="13">
        <v>8000</v>
      </c>
      <c r="H69" s="13">
        <v>15</v>
      </c>
      <c r="I69" s="14">
        <f t="shared" ref="I69:I132" si="1">G69*H69</f>
        <v>120000</v>
      </c>
    </row>
    <row r="70" spans="1:9" x14ac:dyDescent="0.4">
      <c r="A70" s="10">
        <v>67</v>
      </c>
      <c r="B70" s="11">
        <v>42853</v>
      </c>
      <c r="C70" s="12" t="s">
        <v>8</v>
      </c>
      <c r="D70" s="12" t="s">
        <v>9</v>
      </c>
      <c r="E70" s="12" t="s">
        <v>19</v>
      </c>
      <c r="F70" s="12" t="s">
        <v>20</v>
      </c>
      <c r="G70" s="13">
        <v>10000</v>
      </c>
      <c r="H70" s="13">
        <v>12</v>
      </c>
      <c r="I70" s="14">
        <f t="shared" si="1"/>
        <v>120000</v>
      </c>
    </row>
    <row r="71" spans="1:9" x14ac:dyDescent="0.4">
      <c r="A71" s="10">
        <v>68</v>
      </c>
      <c r="B71" s="11">
        <v>42855</v>
      </c>
      <c r="C71" s="12" t="s">
        <v>13</v>
      </c>
      <c r="D71" s="12" t="s">
        <v>14</v>
      </c>
      <c r="E71" s="12" t="s">
        <v>17</v>
      </c>
      <c r="F71" s="12" t="s">
        <v>18</v>
      </c>
      <c r="G71" s="13">
        <v>8000</v>
      </c>
      <c r="H71" s="13">
        <v>16</v>
      </c>
      <c r="I71" s="14">
        <f t="shared" si="1"/>
        <v>128000</v>
      </c>
    </row>
    <row r="72" spans="1:9" x14ac:dyDescent="0.4">
      <c r="A72" s="10">
        <v>69</v>
      </c>
      <c r="B72" s="11">
        <v>42855</v>
      </c>
      <c r="C72" s="12" t="s">
        <v>13</v>
      </c>
      <c r="D72" s="12" t="s">
        <v>15</v>
      </c>
      <c r="E72" s="12" t="s">
        <v>21</v>
      </c>
      <c r="F72" s="12" t="s">
        <v>22</v>
      </c>
      <c r="G72" s="13">
        <v>200000</v>
      </c>
      <c r="H72" s="13">
        <v>1</v>
      </c>
      <c r="I72" s="14">
        <f t="shared" si="1"/>
        <v>200000</v>
      </c>
    </row>
    <row r="73" spans="1:9" x14ac:dyDescent="0.4">
      <c r="A73" s="10">
        <v>70</v>
      </c>
      <c r="B73" s="11">
        <v>42861</v>
      </c>
      <c r="C73" s="12" t="s">
        <v>8</v>
      </c>
      <c r="D73" s="12" t="s">
        <v>9</v>
      </c>
      <c r="E73" s="12" t="s">
        <v>17</v>
      </c>
      <c r="F73" s="12" t="s">
        <v>18</v>
      </c>
      <c r="G73" s="13">
        <v>8000</v>
      </c>
      <c r="H73" s="13">
        <v>15</v>
      </c>
      <c r="I73" s="14">
        <f t="shared" si="1"/>
        <v>120000</v>
      </c>
    </row>
    <row r="74" spans="1:9" x14ac:dyDescent="0.4">
      <c r="A74" s="10">
        <v>71</v>
      </c>
      <c r="B74" s="11">
        <v>42861</v>
      </c>
      <c r="C74" s="12" t="s">
        <v>13</v>
      </c>
      <c r="D74" s="12" t="s">
        <v>14</v>
      </c>
      <c r="E74" s="12" t="s">
        <v>19</v>
      </c>
      <c r="F74" s="12" t="s">
        <v>20</v>
      </c>
      <c r="G74" s="13">
        <v>10000</v>
      </c>
      <c r="H74" s="13">
        <v>7</v>
      </c>
      <c r="I74" s="14">
        <f t="shared" si="1"/>
        <v>70000</v>
      </c>
    </row>
    <row r="75" spans="1:9" x14ac:dyDescent="0.4">
      <c r="A75" s="10">
        <v>72</v>
      </c>
      <c r="B75" s="11">
        <v>42863</v>
      </c>
      <c r="C75" s="12" t="s">
        <v>8</v>
      </c>
      <c r="D75" s="12" t="s">
        <v>12</v>
      </c>
      <c r="E75" s="12" t="s">
        <v>27</v>
      </c>
      <c r="F75" s="12" t="s">
        <v>28</v>
      </c>
      <c r="G75" s="13">
        <v>40000</v>
      </c>
      <c r="H75" s="13">
        <v>3</v>
      </c>
      <c r="I75" s="14">
        <f t="shared" si="1"/>
        <v>120000</v>
      </c>
    </row>
    <row r="76" spans="1:9" x14ac:dyDescent="0.4">
      <c r="A76" s="10">
        <v>73</v>
      </c>
      <c r="B76" s="11">
        <v>42866</v>
      </c>
      <c r="C76" s="12" t="s">
        <v>13</v>
      </c>
      <c r="D76" s="12" t="s">
        <v>14</v>
      </c>
      <c r="E76" s="12" t="s">
        <v>17</v>
      </c>
      <c r="F76" s="12" t="s">
        <v>18</v>
      </c>
      <c r="G76" s="13">
        <v>8000</v>
      </c>
      <c r="H76" s="13">
        <v>18</v>
      </c>
      <c r="I76" s="14">
        <f t="shared" si="1"/>
        <v>144000</v>
      </c>
    </row>
    <row r="77" spans="1:9" x14ac:dyDescent="0.4">
      <c r="A77" s="10">
        <v>74</v>
      </c>
      <c r="B77" s="11">
        <v>42866</v>
      </c>
      <c r="C77" s="12" t="s">
        <v>8</v>
      </c>
      <c r="D77" s="12" t="s">
        <v>9</v>
      </c>
      <c r="E77" s="12" t="s">
        <v>23</v>
      </c>
      <c r="F77" s="12" t="s">
        <v>24</v>
      </c>
      <c r="G77" s="13">
        <v>12500</v>
      </c>
      <c r="H77" s="13">
        <v>19</v>
      </c>
      <c r="I77" s="14">
        <f t="shared" si="1"/>
        <v>237500</v>
      </c>
    </row>
    <row r="78" spans="1:9" x14ac:dyDescent="0.4">
      <c r="A78" s="10">
        <v>75</v>
      </c>
      <c r="B78" s="11">
        <v>42867</v>
      </c>
      <c r="C78" s="12" t="s">
        <v>10</v>
      </c>
      <c r="D78" s="12" t="s">
        <v>11</v>
      </c>
      <c r="E78" s="12" t="s">
        <v>27</v>
      </c>
      <c r="F78" s="12" t="s">
        <v>28</v>
      </c>
      <c r="G78" s="13">
        <v>40000</v>
      </c>
      <c r="H78" s="13">
        <v>7</v>
      </c>
      <c r="I78" s="14">
        <f t="shared" si="1"/>
        <v>280000</v>
      </c>
    </row>
    <row r="79" spans="1:9" x14ac:dyDescent="0.4">
      <c r="A79" s="10">
        <v>76</v>
      </c>
      <c r="B79" s="11">
        <v>42870</v>
      </c>
      <c r="C79" s="12" t="s">
        <v>8</v>
      </c>
      <c r="D79" s="12" t="s">
        <v>12</v>
      </c>
      <c r="E79" s="12" t="s">
        <v>25</v>
      </c>
      <c r="F79" s="12" t="s">
        <v>26</v>
      </c>
      <c r="G79" s="13">
        <v>23000</v>
      </c>
      <c r="H79" s="13">
        <v>5</v>
      </c>
      <c r="I79" s="14">
        <f t="shared" si="1"/>
        <v>115000</v>
      </c>
    </row>
    <row r="80" spans="1:9" x14ac:dyDescent="0.4">
      <c r="A80" s="10">
        <v>77</v>
      </c>
      <c r="B80" s="11">
        <v>42874</v>
      </c>
      <c r="C80" s="12" t="s">
        <v>8</v>
      </c>
      <c r="D80" s="12" t="s">
        <v>9</v>
      </c>
      <c r="E80" s="12" t="s">
        <v>19</v>
      </c>
      <c r="F80" s="12" t="s">
        <v>20</v>
      </c>
      <c r="G80" s="13">
        <v>10000</v>
      </c>
      <c r="H80" s="13">
        <v>9</v>
      </c>
      <c r="I80" s="14">
        <f t="shared" si="1"/>
        <v>90000</v>
      </c>
    </row>
    <row r="81" spans="1:9" x14ac:dyDescent="0.4">
      <c r="A81" s="10">
        <v>78</v>
      </c>
      <c r="B81" s="11">
        <v>42875</v>
      </c>
      <c r="C81" s="12" t="s">
        <v>13</v>
      </c>
      <c r="D81" s="12" t="s">
        <v>15</v>
      </c>
      <c r="E81" s="12" t="s">
        <v>23</v>
      </c>
      <c r="F81" s="12" t="s">
        <v>24</v>
      </c>
      <c r="G81" s="13">
        <v>12500</v>
      </c>
      <c r="H81" s="13">
        <v>12</v>
      </c>
      <c r="I81" s="14">
        <f t="shared" si="1"/>
        <v>150000</v>
      </c>
    </row>
    <row r="82" spans="1:9" x14ac:dyDescent="0.4">
      <c r="A82" s="10">
        <v>79</v>
      </c>
      <c r="B82" s="11">
        <v>42876</v>
      </c>
      <c r="C82" s="12" t="s">
        <v>13</v>
      </c>
      <c r="D82" s="12" t="s">
        <v>15</v>
      </c>
      <c r="E82" s="12" t="s">
        <v>19</v>
      </c>
      <c r="F82" s="12" t="s">
        <v>20</v>
      </c>
      <c r="G82" s="13">
        <v>10000</v>
      </c>
      <c r="H82" s="13">
        <v>15</v>
      </c>
      <c r="I82" s="14">
        <f t="shared" si="1"/>
        <v>150000</v>
      </c>
    </row>
    <row r="83" spans="1:9" x14ac:dyDescent="0.4">
      <c r="A83" s="10">
        <v>80</v>
      </c>
      <c r="B83" s="11">
        <v>42876</v>
      </c>
      <c r="C83" s="12" t="s">
        <v>13</v>
      </c>
      <c r="D83" s="12" t="s">
        <v>14</v>
      </c>
      <c r="E83" s="12" t="s">
        <v>25</v>
      </c>
      <c r="F83" s="12" t="s">
        <v>26</v>
      </c>
      <c r="G83" s="13">
        <v>23000</v>
      </c>
      <c r="H83" s="13">
        <v>10</v>
      </c>
      <c r="I83" s="14">
        <f t="shared" si="1"/>
        <v>230000</v>
      </c>
    </row>
    <row r="84" spans="1:9" x14ac:dyDescent="0.4">
      <c r="A84" s="10">
        <v>81</v>
      </c>
      <c r="B84" s="11">
        <v>42876</v>
      </c>
      <c r="C84" s="12" t="s">
        <v>13</v>
      </c>
      <c r="D84" s="12" t="s">
        <v>14</v>
      </c>
      <c r="E84" s="12" t="s">
        <v>27</v>
      </c>
      <c r="F84" s="12" t="s">
        <v>28</v>
      </c>
      <c r="G84" s="13">
        <v>40000</v>
      </c>
      <c r="H84" s="13">
        <v>5</v>
      </c>
      <c r="I84" s="14">
        <f t="shared" si="1"/>
        <v>200000</v>
      </c>
    </row>
    <row r="85" spans="1:9" x14ac:dyDescent="0.4">
      <c r="A85" s="10">
        <v>82</v>
      </c>
      <c r="B85" s="11">
        <v>42877</v>
      </c>
      <c r="C85" s="12" t="s">
        <v>10</v>
      </c>
      <c r="D85" s="12" t="s">
        <v>16</v>
      </c>
      <c r="E85" s="12" t="s">
        <v>23</v>
      </c>
      <c r="F85" s="12" t="s">
        <v>24</v>
      </c>
      <c r="G85" s="13">
        <v>12500</v>
      </c>
      <c r="H85" s="13">
        <v>13</v>
      </c>
      <c r="I85" s="14">
        <f t="shared" si="1"/>
        <v>162500</v>
      </c>
    </row>
    <row r="86" spans="1:9" x14ac:dyDescent="0.4">
      <c r="A86" s="10">
        <v>83</v>
      </c>
      <c r="B86" s="11">
        <v>42880</v>
      </c>
      <c r="C86" s="12" t="s">
        <v>13</v>
      </c>
      <c r="D86" s="12" t="s">
        <v>14</v>
      </c>
      <c r="E86" s="12" t="s">
        <v>17</v>
      </c>
      <c r="F86" s="12" t="s">
        <v>18</v>
      </c>
      <c r="G86" s="13">
        <v>8000</v>
      </c>
      <c r="H86" s="13">
        <v>10</v>
      </c>
      <c r="I86" s="14">
        <f t="shared" si="1"/>
        <v>80000</v>
      </c>
    </row>
    <row r="87" spans="1:9" x14ac:dyDescent="0.4">
      <c r="A87" s="10">
        <v>84</v>
      </c>
      <c r="B87" s="11">
        <v>42880</v>
      </c>
      <c r="C87" s="12" t="s">
        <v>13</v>
      </c>
      <c r="D87" s="12" t="s">
        <v>15</v>
      </c>
      <c r="E87" s="12" t="s">
        <v>27</v>
      </c>
      <c r="F87" s="12" t="s">
        <v>28</v>
      </c>
      <c r="G87" s="13">
        <v>40000</v>
      </c>
      <c r="H87" s="13">
        <v>3</v>
      </c>
      <c r="I87" s="14">
        <f t="shared" si="1"/>
        <v>120000</v>
      </c>
    </row>
    <row r="88" spans="1:9" x14ac:dyDescent="0.4">
      <c r="A88" s="10">
        <v>85</v>
      </c>
      <c r="B88" s="11">
        <v>42881</v>
      </c>
      <c r="C88" s="12" t="s">
        <v>10</v>
      </c>
      <c r="D88" s="12" t="s">
        <v>16</v>
      </c>
      <c r="E88" s="12" t="s">
        <v>19</v>
      </c>
      <c r="F88" s="12" t="s">
        <v>20</v>
      </c>
      <c r="G88" s="13">
        <v>10000</v>
      </c>
      <c r="H88" s="13">
        <v>10</v>
      </c>
      <c r="I88" s="14">
        <f t="shared" si="1"/>
        <v>100000</v>
      </c>
    </row>
    <row r="89" spans="1:9" x14ac:dyDescent="0.4">
      <c r="A89" s="10">
        <v>86</v>
      </c>
      <c r="B89" s="11">
        <v>42883</v>
      </c>
      <c r="C89" s="12" t="s">
        <v>8</v>
      </c>
      <c r="D89" s="12" t="s">
        <v>12</v>
      </c>
      <c r="E89" s="12" t="s">
        <v>19</v>
      </c>
      <c r="F89" s="12" t="s">
        <v>20</v>
      </c>
      <c r="G89" s="13">
        <v>10000</v>
      </c>
      <c r="H89" s="13">
        <v>4</v>
      </c>
      <c r="I89" s="14">
        <f t="shared" si="1"/>
        <v>40000</v>
      </c>
    </row>
    <row r="90" spans="1:9" x14ac:dyDescent="0.4">
      <c r="A90" s="10">
        <v>87</v>
      </c>
      <c r="B90" s="11">
        <v>42884</v>
      </c>
      <c r="C90" s="12" t="s">
        <v>10</v>
      </c>
      <c r="D90" s="12" t="s">
        <v>11</v>
      </c>
      <c r="E90" s="12" t="s">
        <v>17</v>
      </c>
      <c r="F90" s="12" t="s">
        <v>18</v>
      </c>
      <c r="G90" s="13">
        <v>8000</v>
      </c>
      <c r="H90" s="13">
        <v>5</v>
      </c>
      <c r="I90" s="14">
        <f t="shared" si="1"/>
        <v>40000</v>
      </c>
    </row>
    <row r="91" spans="1:9" x14ac:dyDescent="0.4">
      <c r="A91" s="10">
        <v>88</v>
      </c>
      <c r="B91" s="11">
        <v>42887</v>
      </c>
      <c r="C91" s="12" t="s">
        <v>8</v>
      </c>
      <c r="D91" s="12" t="s">
        <v>12</v>
      </c>
      <c r="E91" s="12" t="s">
        <v>27</v>
      </c>
      <c r="F91" s="12" t="s">
        <v>28</v>
      </c>
      <c r="G91" s="13">
        <v>40000</v>
      </c>
      <c r="H91" s="13">
        <v>6</v>
      </c>
      <c r="I91" s="14">
        <f t="shared" si="1"/>
        <v>240000</v>
      </c>
    </row>
    <row r="92" spans="1:9" x14ac:dyDescent="0.4">
      <c r="A92" s="10">
        <v>89</v>
      </c>
      <c r="B92" s="11">
        <v>42888</v>
      </c>
      <c r="C92" s="12" t="s">
        <v>13</v>
      </c>
      <c r="D92" s="12" t="s">
        <v>15</v>
      </c>
      <c r="E92" s="12" t="s">
        <v>25</v>
      </c>
      <c r="F92" s="12" t="s">
        <v>26</v>
      </c>
      <c r="G92" s="13">
        <v>23000</v>
      </c>
      <c r="H92" s="13">
        <v>5</v>
      </c>
      <c r="I92" s="14">
        <f t="shared" si="1"/>
        <v>115000</v>
      </c>
    </row>
    <row r="93" spans="1:9" x14ac:dyDescent="0.4">
      <c r="A93" s="10">
        <v>90</v>
      </c>
      <c r="B93" s="11">
        <v>42889</v>
      </c>
      <c r="C93" s="12" t="s">
        <v>13</v>
      </c>
      <c r="D93" s="12" t="s">
        <v>14</v>
      </c>
      <c r="E93" s="12" t="s">
        <v>23</v>
      </c>
      <c r="F93" s="12" t="s">
        <v>24</v>
      </c>
      <c r="G93" s="13">
        <v>12500</v>
      </c>
      <c r="H93" s="13">
        <v>12</v>
      </c>
      <c r="I93" s="14">
        <f t="shared" si="1"/>
        <v>150000</v>
      </c>
    </row>
    <row r="94" spans="1:9" x14ac:dyDescent="0.4">
      <c r="A94" s="10">
        <v>91</v>
      </c>
      <c r="B94" s="11">
        <v>42891</v>
      </c>
      <c r="C94" s="12" t="s">
        <v>8</v>
      </c>
      <c r="D94" s="12" t="s">
        <v>12</v>
      </c>
      <c r="E94" s="12" t="s">
        <v>17</v>
      </c>
      <c r="F94" s="12" t="s">
        <v>18</v>
      </c>
      <c r="G94" s="13">
        <v>8000</v>
      </c>
      <c r="H94" s="13">
        <v>17</v>
      </c>
      <c r="I94" s="14">
        <f t="shared" si="1"/>
        <v>136000</v>
      </c>
    </row>
    <row r="95" spans="1:9" x14ac:dyDescent="0.4">
      <c r="A95" s="10">
        <v>92</v>
      </c>
      <c r="B95" s="11">
        <v>42891</v>
      </c>
      <c r="C95" s="12" t="s">
        <v>10</v>
      </c>
      <c r="D95" s="12" t="s">
        <v>16</v>
      </c>
      <c r="E95" s="12" t="s">
        <v>19</v>
      </c>
      <c r="F95" s="12" t="s">
        <v>20</v>
      </c>
      <c r="G95" s="13">
        <v>10000</v>
      </c>
      <c r="H95" s="13">
        <v>4</v>
      </c>
      <c r="I95" s="14">
        <f t="shared" si="1"/>
        <v>40000</v>
      </c>
    </row>
    <row r="96" spans="1:9" x14ac:dyDescent="0.4">
      <c r="A96" s="10">
        <v>93</v>
      </c>
      <c r="B96" s="11">
        <v>42891</v>
      </c>
      <c r="C96" s="12" t="s">
        <v>8</v>
      </c>
      <c r="D96" s="12" t="s">
        <v>9</v>
      </c>
      <c r="E96" s="12" t="s">
        <v>27</v>
      </c>
      <c r="F96" s="12" t="s">
        <v>28</v>
      </c>
      <c r="G96" s="13">
        <v>40000</v>
      </c>
      <c r="H96" s="13">
        <v>5</v>
      </c>
      <c r="I96" s="14">
        <f t="shared" si="1"/>
        <v>200000</v>
      </c>
    </row>
    <row r="97" spans="1:9" x14ac:dyDescent="0.4">
      <c r="A97" s="10">
        <v>94</v>
      </c>
      <c r="B97" s="11">
        <v>42894</v>
      </c>
      <c r="C97" s="12" t="s">
        <v>13</v>
      </c>
      <c r="D97" s="12" t="s">
        <v>14</v>
      </c>
      <c r="E97" s="12" t="s">
        <v>21</v>
      </c>
      <c r="F97" s="12" t="s">
        <v>22</v>
      </c>
      <c r="G97" s="13">
        <v>200000</v>
      </c>
      <c r="H97" s="13">
        <v>1</v>
      </c>
      <c r="I97" s="14">
        <f t="shared" si="1"/>
        <v>200000</v>
      </c>
    </row>
    <row r="98" spans="1:9" x14ac:dyDescent="0.4">
      <c r="A98" s="10">
        <v>95</v>
      </c>
      <c r="B98" s="11">
        <v>42895</v>
      </c>
      <c r="C98" s="12" t="s">
        <v>10</v>
      </c>
      <c r="D98" s="12" t="s">
        <v>11</v>
      </c>
      <c r="E98" s="12" t="s">
        <v>23</v>
      </c>
      <c r="F98" s="12" t="s">
        <v>24</v>
      </c>
      <c r="G98" s="13">
        <v>12500</v>
      </c>
      <c r="H98" s="13">
        <v>15</v>
      </c>
      <c r="I98" s="14">
        <f t="shared" si="1"/>
        <v>187500</v>
      </c>
    </row>
    <row r="99" spans="1:9" x14ac:dyDescent="0.4">
      <c r="A99" s="10">
        <v>96</v>
      </c>
      <c r="B99" s="11">
        <v>42902</v>
      </c>
      <c r="C99" s="12" t="s">
        <v>13</v>
      </c>
      <c r="D99" s="12" t="s">
        <v>14</v>
      </c>
      <c r="E99" s="12" t="s">
        <v>19</v>
      </c>
      <c r="F99" s="12" t="s">
        <v>20</v>
      </c>
      <c r="G99" s="13">
        <v>10000</v>
      </c>
      <c r="H99" s="13">
        <v>10</v>
      </c>
      <c r="I99" s="14">
        <f t="shared" si="1"/>
        <v>100000</v>
      </c>
    </row>
    <row r="100" spans="1:9" x14ac:dyDescent="0.4">
      <c r="A100" s="10">
        <v>97</v>
      </c>
      <c r="B100" s="11">
        <v>42903</v>
      </c>
      <c r="C100" s="12" t="s">
        <v>10</v>
      </c>
      <c r="D100" s="12" t="s">
        <v>16</v>
      </c>
      <c r="E100" s="12" t="s">
        <v>25</v>
      </c>
      <c r="F100" s="12" t="s">
        <v>26</v>
      </c>
      <c r="G100" s="13">
        <v>23000</v>
      </c>
      <c r="H100" s="13">
        <v>2</v>
      </c>
      <c r="I100" s="14">
        <f t="shared" si="1"/>
        <v>46000</v>
      </c>
    </row>
    <row r="101" spans="1:9" x14ac:dyDescent="0.4">
      <c r="A101" s="10">
        <v>98</v>
      </c>
      <c r="B101" s="11">
        <v>42909</v>
      </c>
      <c r="C101" s="12" t="s">
        <v>13</v>
      </c>
      <c r="D101" s="12" t="s">
        <v>14</v>
      </c>
      <c r="E101" s="12" t="s">
        <v>19</v>
      </c>
      <c r="F101" s="12" t="s">
        <v>20</v>
      </c>
      <c r="G101" s="13">
        <v>10000</v>
      </c>
      <c r="H101" s="13">
        <v>10</v>
      </c>
      <c r="I101" s="14">
        <f t="shared" si="1"/>
        <v>100000</v>
      </c>
    </row>
    <row r="102" spans="1:9" x14ac:dyDescent="0.4">
      <c r="A102" s="10">
        <v>99</v>
      </c>
      <c r="B102" s="11">
        <v>42910</v>
      </c>
      <c r="C102" s="12" t="s">
        <v>13</v>
      </c>
      <c r="D102" s="12" t="s">
        <v>14</v>
      </c>
      <c r="E102" s="12" t="s">
        <v>27</v>
      </c>
      <c r="F102" s="12" t="s">
        <v>28</v>
      </c>
      <c r="G102" s="13">
        <v>40000</v>
      </c>
      <c r="H102" s="13">
        <v>2</v>
      </c>
      <c r="I102" s="14">
        <f t="shared" si="1"/>
        <v>80000</v>
      </c>
    </row>
    <row r="103" spans="1:9" x14ac:dyDescent="0.4">
      <c r="A103" s="10">
        <v>100</v>
      </c>
      <c r="B103" s="11">
        <v>42916</v>
      </c>
      <c r="C103" s="12" t="s">
        <v>13</v>
      </c>
      <c r="D103" s="12" t="s">
        <v>15</v>
      </c>
      <c r="E103" s="12" t="s">
        <v>23</v>
      </c>
      <c r="F103" s="12" t="s">
        <v>24</v>
      </c>
      <c r="G103" s="13">
        <v>12500</v>
      </c>
      <c r="H103" s="13">
        <v>9</v>
      </c>
      <c r="I103" s="14">
        <f t="shared" si="1"/>
        <v>112500</v>
      </c>
    </row>
    <row r="104" spans="1:9" x14ac:dyDescent="0.4">
      <c r="A104" s="10">
        <v>101</v>
      </c>
      <c r="B104" s="11">
        <v>42917</v>
      </c>
      <c r="C104" s="12" t="s">
        <v>8</v>
      </c>
      <c r="D104" s="12" t="s">
        <v>12</v>
      </c>
      <c r="E104" s="12" t="s">
        <v>21</v>
      </c>
      <c r="F104" s="12" t="s">
        <v>22</v>
      </c>
      <c r="G104" s="13">
        <v>200000</v>
      </c>
      <c r="H104" s="13">
        <v>1</v>
      </c>
      <c r="I104" s="14">
        <f t="shared" si="1"/>
        <v>200000</v>
      </c>
    </row>
    <row r="105" spans="1:9" x14ac:dyDescent="0.4">
      <c r="A105" s="10">
        <v>102</v>
      </c>
      <c r="B105" s="11">
        <v>42925</v>
      </c>
      <c r="C105" s="12" t="s">
        <v>8</v>
      </c>
      <c r="D105" s="12" t="s">
        <v>9</v>
      </c>
      <c r="E105" s="12" t="s">
        <v>17</v>
      </c>
      <c r="F105" s="12" t="s">
        <v>18</v>
      </c>
      <c r="G105" s="13">
        <v>8000</v>
      </c>
      <c r="H105" s="13">
        <v>19</v>
      </c>
      <c r="I105" s="14">
        <f t="shared" si="1"/>
        <v>152000</v>
      </c>
    </row>
    <row r="106" spans="1:9" x14ac:dyDescent="0.4">
      <c r="A106" s="10">
        <v>103</v>
      </c>
      <c r="B106" s="11">
        <v>42925</v>
      </c>
      <c r="C106" s="12" t="s">
        <v>10</v>
      </c>
      <c r="D106" s="12" t="s">
        <v>11</v>
      </c>
      <c r="E106" s="12" t="s">
        <v>19</v>
      </c>
      <c r="F106" s="12" t="s">
        <v>20</v>
      </c>
      <c r="G106" s="13">
        <v>10000</v>
      </c>
      <c r="H106" s="13">
        <v>9</v>
      </c>
      <c r="I106" s="14">
        <f t="shared" si="1"/>
        <v>90000</v>
      </c>
    </row>
    <row r="107" spans="1:9" x14ac:dyDescent="0.4">
      <c r="A107" s="10">
        <v>104</v>
      </c>
      <c r="B107" s="11">
        <v>42926</v>
      </c>
      <c r="C107" s="12" t="s">
        <v>8</v>
      </c>
      <c r="D107" s="12" t="s">
        <v>9</v>
      </c>
      <c r="E107" s="12" t="s">
        <v>23</v>
      </c>
      <c r="F107" s="12" t="s">
        <v>24</v>
      </c>
      <c r="G107" s="13">
        <v>12500</v>
      </c>
      <c r="H107" s="13">
        <v>5</v>
      </c>
      <c r="I107" s="14">
        <f t="shared" si="1"/>
        <v>62500</v>
      </c>
    </row>
    <row r="108" spans="1:9" x14ac:dyDescent="0.4">
      <c r="A108" s="10">
        <v>105</v>
      </c>
      <c r="B108" s="11">
        <v>42929</v>
      </c>
      <c r="C108" s="12" t="s">
        <v>13</v>
      </c>
      <c r="D108" s="12" t="s">
        <v>14</v>
      </c>
      <c r="E108" s="12" t="s">
        <v>23</v>
      </c>
      <c r="F108" s="12" t="s">
        <v>24</v>
      </c>
      <c r="G108" s="13">
        <v>12500</v>
      </c>
      <c r="H108" s="13">
        <v>10</v>
      </c>
      <c r="I108" s="14">
        <f t="shared" si="1"/>
        <v>125000</v>
      </c>
    </row>
    <row r="109" spans="1:9" x14ac:dyDescent="0.4">
      <c r="A109" s="10">
        <v>106</v>
      </c>
      <c r="B109" s="11">
        <v>42932</v>
      </c>
      <c r="C109" s="12" t="s">
        <v>13</v>
      </c>
      <c r="D109" s="12" t="s">
        <v>14</v>
      </c>
      <c r="E109" s="12" t="s">
        <v>19</v>
      </c>
      <c r="F109" s="12" t="s">
        <v>20</v>
      </c>
      <c r="G109" s="13">
        <v>10000</v>
      </c>
      <c r="H109" s="13">
        <v>2</v>
      </c>
      <c r="I109" s="14">
        <f t="shared" si="1"/>
        <v>20000</v>
      </c>
    </row>
    <row r="110" spans="1:9" x14ac:dyDescent="0.4">
      <c r="A110" s="10">
        <v>107</v>
      </c>
      <c r="B110" s="11">
        <v>42932</v>
      </c>
      <c r="C110" s="12" t="s">
        <v>13</v>
      </c>
      <c r="D110" s="12" t="s">
        <v>15</v>
      </c>
      <c r="E110" s="12" t="s">
        <v>17</v>
      </c>
      <c r="F110" s="12" t="s">
        <v>18</v>
      </c>
      <c r="G110" s="13">
        <v>8000</v>
      </c>
      <c r="H110" s="13">
        <v>11</v>
      </c>
      <c r="I110" s="14">
        <f t="shared" si="1"/>
        <v>88000</v>
      </c>
    </row>
    <row r="111" spans="1:9" x14ac:dyDescent="0.4">
      <c r="A111" s="10">
        <v>108</v>
      </c>
      <c r="B111" s="11">
        <v>42937</v>
      </c>
      <c r="C111" s="12" t="s">
        <v>10</v>
      </c>
      <c r="D111" s="12" t="s">
        <v>11</v>
      </c>
      <c r="E111" s="12" t="s">
        <v>25</v>
      </c>
      <c r="F111" s="12" t="s">
        <v>26</v>
      </c>
      <c r="G111" s="13">
        <v>23000</v>
      </c>
      <c r="H111" s="13">
        <v>5</v>
      </c>
      <c r="I111" s="14">
        <f t="shared" si="1"/>
        <v>115000</v>
      </c>
    </row>
    <row r="112" spans="1:9" x14ac:dyDescent="0.4">
      <c r="A112" s="10">
        <v>109</v>
      </c>
      <c r="B112" s="11">
        <v>42937</v>
      </c>
      <c r="C112" s="12" t="s">
        <v>13</v>
      </c>
      <c r="D112" s="12" t="s">
        <v>15</v>
      </c>
      <c r="E112" s="12" t="s">
        <v>19</v>
      </c>
      <c r="F112" s="12" t="s">
        <v>20</v>
      </c>
      <c r="G112" s="13">
        <v>10000</v>
      </c>
      <c r="H112" s="13">
        <v>10</v>
      </c>
      <c r="I112" s="14">
        <f t="shared" si="1"/>
        <v>100000</v>
      </c>
    </row>
    <row r="113" spans="1:9" x14ac:dyDescent="0.4">
      <c r="A113" s="10">
        <v>110</v>
      </c>
      <c r="B113" s="11">
        <v>42937</v>
      </c>
      <c r="C113" s="12" t="s">
        <v>13</v>
      </c>
      <c r="D113" s="12" t="s">
        <v>14</v>
      </c>
      <c r="E113" s="12" t="s">
        <v>25</v>
      </c>
      <c r="F113" s="12" t="s">
        <v>26</v>
      </c>
      <c r="G113" s="13">
        <v>23000</v>
      </c>
      <c r="H113" s="13">
        <v>4</v>
      </c>
      <c r="I113" s="14">
        <f t="shared" si="1"/>
        <v>92000</v>
      </c>
    </row>
    <row r="114" spans="1:9" x14ac:dyDescent="0.4">
      <c r="A114" s="10">
        <v>111</v>
      </c>
      <c r="B114" s="11">
        <v>42938</v>
      </c>
      <c r="C114" s="12" t="s">
        <v>8</v>
      </c>
      <c r="D114" s="12" t="s">
        <v>12</v>
      </c>
      <c r="E114" s="12" t="s">
        <v>25</v>
      </c>
      <c r="F114" s="12" t="s">
        <v>26</v>
      </c>
      <c r="G114" s="13">
        <v>23000</v>
      </c>
      <c r="H114" s="13">
        <v>6</v>
      </c>
      <c r="I114" s="14">
        <f t="shared" si="1"/>
        <v>138000</v>
      </c>
    </row>
    <row r="115" spans="1:9" x14ac:dyDescent="0.4">
      <c r="A115" s="10">
        <v>112</v>
      </c>
      <c r="B115" s="11">
        <v>42939</v>
      </c>
      <c r="C115" s="12" t="s">
        <v>13</v>
      </c>
      <c r="D115" s="12" t="s">
        <v>14</v>
      </c>
      <c r="E115" s="12" t="s">
        <v>19</v>
      </c>
      <c r="F115" s="12" t="s">
        <v>20</v>
      </c>
      <c r="G115" s="13">
        <v>10000</v>
      </c>
      <c r="H115" s="13">
        <v>6</v>
      </c>
      <c r="I115" s="14">
        <f t="shared" si="1"/>
        <v>60000</v>
      </c>
    </row>
    <row r="116" spans="1:9" x14ac:dyDescent="0.4">
      <c r="A116" s="10">
        <v>113</v>
      </c>
      <c r="B116" s="11">
        <v>42940</v>
      </c>
      <c r="C116" s="12" t="s">
        <v>13</v>
      </c>
      <c r="D116" s="12" t="s">
        <v>15</v>
      </c>
      <c r="E116" s="12" t="s">
        <v>25</v>
      </c>
      <c r="F116" s="12" t="s">
        <v>26</v>
      </c>
      <c r="G116" s="13">
        <v>23000</v>
      </c>
      <c r="H116" s="13">
        <v>5</v>
      </c>
      <c r="I116" s="14">
        <f t="shared" si="1"/>
        <v>115000</v>
      </c>
    </row>
    <row r="117" spans="1:9" x14ac:dyDescent="0.4">
      <c r="A117" s="10">
        <v>114</v>
      </c>
      <c r="B117" s="11">
        <v>42943</v>
      </c>
      <c r="C117" s="12" t="s">
        <v>13</v>
      </c>
      <c r="D117" s="12" t="s">
        <v>15</v>
      </c>
      <c r="E117" s="12" t="s">
        <v>21</v>
      </c>
      <c r="F117" s="12" t="s">
        <v>22</v>
      </c>
      <c r="G117" s="13">
        <v>200000</v>
      </c>
      <c r="H117" s="13">
        <v>1</v>
      </c>
      <c r="I117" s="14">
        <f t="shared" si="1"/>
        <v>200000</v>
      </c>
    </row>
    <row r="118" spans="1:9" x14ac:dyDescent="0.4">
      <c r="A118" s="10">
        <v>115</v>
      </c>
      <c r="B118" s="11">
        <v>42945</v>
      </c>
      <c r="C118" s="12" t="s">
        <v>8</v>
      </c>
      <c r="D118" s="12" t="s">
        <v>9</v>
      </c>
      <c r="E118" s="12" t="s">
        <v>19</v>
      </c>
      <c r="F118" s="12" t="s">
        <v>20</v>
      </c>
      <c r="G118" s="13">
        <v>10000</v>
      </c>
      <c r="H118" s="13">
        <v>4</v>
      </c>
      <c r="I118" s="14">
        <f t="shared" si="1"/>
        <v>40000</v>
      </c>
    </row>
    <row r="119" spans="1:9" x14ac:dyDescent="0.4">
      <c r="A119" s="10">
        <v>116</v>
      </c>
      <c r="B119" s="11">
        <v>42950</v>
      </c>
      <c r="C119" s="12" t="s">
        <v>13</v>
      </c>
      <c r="D119" s="12" t="s">
        <v>14</v>
      </c>
      <c r="E119" s="12" t="s">
        <v>17</v>
      </c>
      <c r="F119" s="12" t="s">
        <v>18</v>
      </c>
      <c r="G119" s="13">
        <v>8000</v>
      </c>
      <c r="H119" s="13">
        <v>9</v>
      </c>
      <c r="I119" s="14">
        <f t="shared" si="1"/>
        <v>72000</v>
      </c>
    </row>
    <row r="120" spans="1:9" x14ac:dyDescent="0.4">
      <c r="A120" s="10">
        <v>117</v>
      </c>
      <c r="B120" s="11">
        <v>42950</v>
      </c>
      <c r="C120" s="12" t="s">
        <v>10</v>
      </c>
      <c r="D120" s="12" t="s">
        <v>16</v>
      </c>
      <c r="E120" s="12" t="s">
        <v>19</v>
      </c>
      <c r="F120" s="12" t="s">
        <v>20</v>
      </c>
      <c r="G120" s="13">
        <v>10000</v>
      </c>
      <c r="H120" s="13">
        <v>15</v>
      </c>
      <c r="I120" s="14">
        <f t="shared" si="1"/>
        <v>150000</v>
      </c>
    </row>
    <row r="121" spans="1:9" x14ac:dyDescent="0.4">
      <c r="A121" s="10">
        <v>118</v>
      </c>
      <c r="B121" s="11">
        <v>42950</v>
      </c>
      <c r="C121" s="12" t="s">
        <v>8</v>
      </c>
      <c r="D121" s="12" t="s">
        <v>12</v>
      </c>
      <c r="E121" s="12" t="s">
        <v>21</v>
      </c>
      <c r="F121" s="12" t="s">
        <v>22</v>
      </c>
      <c r="G121" s="13">
        <v>200000</v>
      </c>
      <c r="H121" s="13">
        <v>1</v>
      </c>
      <c r="I121" s="14">
        <f t="shared" si="1"/>
        <v>200000</v>
      </c>
    </row>
    <row r="122" spans="1:9" x14ac:dyDescent="0.4">
      <c r="A122" s="10">
        <v>119</v>
      </c>
      <c r="B122" s="11">
        <v>42951</v>
      </c>
      <c r="C122" s="12" t="s">
        <v>8</v>
      </c>
      <c r="D122" s="12" t="s">
        <v>12</v>
      </c>
      <c r="E122" s="12" t="s">
        <v>25</v>
      </c>
      <c r="F122" s="12" t="s">
        <v>26</v>
      </c>
      <c r="G122" s="13">
        <v>23000</v>
      </c>
      <c r="H122" s="13">
        <v>5</v>
      </c>
      <c r="I122" s="14">
        <f t="shared" si="1"/>
        <v>115000</v>
      </c>
    </row>
    <row r="123" spans="1:9" x14ac:dyDescent="0.4">
      <c r="A123" s="10">
        <v>120</v>
      </c>
      <c r="B123" s="11">
        <v>42951</v>
      </c>
      <c r="C123" s="12" t="s">
        <v>8</v>
      </c>
      <c r="D123" s="12" t="s">
        <v>9</v>
      </c>
      <c r="E123" s="12" t="s">
        <v>19</v>
      </c>
      <c r="F123" s="12" t="s">
        <v>20</v>
      </c>
      <c r="G123" s="13">
        <v>10000</v>
      </c>
      <c r="H123" s="13">
        <v>9</v>
      </c>
      <c r="I123" s="14">
        <f t="shared" si="1"/>
        <v>90000</v>
      </c>
    </row>
    <row r="124" spans="1:9" x14ac:dyDescent="0.4">
      <c r="A124" s="10">
        <v>121</v>
      </c>
      <c r="B124" s="11">
        <v>42951</v>
      </c>
      <c r="C124" s="12" t="s">
        <v>13</v>
      </c>
      <c r="D124" s="12" t="s">
        <v>15</v>
      </c>
      <c r="E124" s="12" t="s">
        <v>23</v>
      </c>
      <c r="F124" s="12" t="s">
        <v>24</v>
      </c>
      <c r="G124" s="13">
        <v>12500</v>
      </c>
      <c r="H124" s="13">
        <v>10</v>
      </c>
      <c r="I124" s="14">
        <f t="shared" si="1"/>
        <v>125000</v>
      </c>
    </row>
    <row r="125" spans="1:9" x14ac:dyDescent="0.4">
      <c r="A125" s="10">
        <v>122</v>
      </c>
      <c r="B125" s="11">
        <v>42951</v>
      </c>
      <c r="C125" s="12" t="s">
        <v>10</v>
      </c>
      <c r="D125" s="12" t="s">
        <v>16</v>
      </c>
      <c r="E125" s="12" t="s">
        <v>19</v>
      </c>
      <c r="F125" s="12" t="s">
        <v>20</v>
      </c>
      <c r="G125" s="13">
        <v>10000</v>
      </c>
      <c r="H125" s="13">
        <v>2</v>
      </c>
      <c r="I125" s="14">
        <f t="shared" si="1"/>
        <v>20000</v>
      </c>
    </row>
    <row r="126" spans="1:9" x14ac:dyDescent="0.4">
      <c r="A126" s="10">
        <v>123</v>
      </c>
      <c r="B126" s="11">
        <v>42951</v>
      </c>
      <c r="C126" s="12" t="s">
        <v>8</v>
      </c>
      <c r="D126" s="12" t="s">
        <v>9</v>
      </c>
      <c r="E126" s="12" t="s">
        <v>17</v>
      </c>
      <c r="F126" s="12" t="s">
        <v>18</v>
      </c>
      <c r="G126" s="13">
        <v>8000</v>
      </c>
      <c r="H126" s="13">
        <v>20</v>
      </c>
      <c r="I126" s="14">
        <f t="shared" si="1"/>
        <v>160000</v>
      </c>
    </row>
    <row r="127" spans="1:9" x14ac:dyDescent="0.4">
      <c r="A127" s="10">
        <v>124</v>
      </c>
      <c r="B127" s="11">
        <v>42954</v>
      </c>
      <c r="C127" s="12" t="s">
        <v>13</v>
      </c>
      <c r="D127" s="12" t="s">
        <v>14</v>
      </c>
      <c r="E127" s="12" t="s">
        <v>19</v>
      </c>
      <c r="F127" s="12" t="s">
        <v>20</v>
      </c>
      <c r="G127" s="13">
        <v>10000</v>
      </c>
      <c r="H127" s="13">
        <v>2</v>
      </c>
      <c r="I127" s="14">
        <f t="shared" si="1"/>
        <v>20000</v>
      </c>
    </row>
    <row r="128" spans="1:9" x14ac:dyDescent="0.4">
      <c r="A128" s="10">
        <v>125</v>
      </c>
      <c r="B128" s="11">
        <v>42957</v>
      </c>
      <c r="C128" s="12" t="s">
        <v>10</v>
      </c>
      <c r="D128" s="12" t="s">
        <v>16</v>
      </c>
      <c r="E128" s="12" t="s">
        <v>19</v>
      </c>
      <c r="F128" s="12" t="s">
        <v>20</v>
      </c>
      <c r="G128" s="13">
        <v>10000</v>
      </c>
      <c r="H128" s="13">
        <v>1</v>
      </c>
      <c r="I128" s="14">
        <f t="shared" si="1"/>
        <v>10000</v>
      </c>
    </row>
    <row r="129" spans="1:9" x14ac:dyDescent="0.4">
      <c r="A129" s="10">
        <v>126</v>
      </c>
      <c r="B129" s="11">
        <v>42958</v>
      </c>
      <c r="C129" s="12" t="s">
        <v>13</v>
      </c>
      <c r="D129" s="12" t="s">
        <v>15</v>
      </c>
      <c r="E129" s="12" t="s">
        <v>25</v>
      </c>
      <c r="F129" s="12" t="s">
        <v>26</v>
      </c>
      <c r="G129" s="13">
        <v>23000</v>
      </c>
      <c r="H129" s="13">
        <v>5</v>
      </c>
      <c r="I129" s="14">
        <f t="shared" si="1"/>
        <v>115000</v>
      </c>
    </row>
    <row r="130" spans="1:9" x14ac:dyDescent="0.4">
      <c r="A130" s="10">
        <v>127</v>
      </c>
      <c r="B130" s="11">
        <v>42959</v>
      </c>
      <c r="C130" s="12" t="s">
        <v>8</v>
      </c>
      <c r="D130" s="12" t="s">
        <v>9</v>
      </c>
      <c r="E130" s="12" t="s">
        <v>17</v>
      </c>
      <c r="F130" s="12" t="s">
        <v>18</v>
      </c>
      <c r="G130" s="13">
        <v>8000</v>
      </c>
      <c r="H130" s="13">
        <v>16</v>
      </c>
      <c r="I130" s="14">
        <f t="shared" si="1"/>
        <v>128000</v>
      </c>
    </row>
    <row r="131" spans="1:9" x14ac:dyDescent="0.4">
      <c r="A131" s="10">
        <v>128</v>
      </c>
      <c r="B131" s="11">
        <v>42959</v>
      </c>
      <c r="C131" s="12" t="s">
        <v>13</v>
      </c>
      <c r="D131" s="12" t="s">
        <v>14</v>
      </c>
      <c r="E131" s="12" t="s">
        <v>19</v>
      </c>
      <c r="F131" s="12" t="s">
        <v>20</v>
      </c>
      <c r="G131" s="13">
        <v>10000</v>
      </c>
      <c r="H131" s="13">
        <v>5</v>
      </c>
      <c r="I131" s="14">
        <f t="shared" si="1"/>
        <v>50000</v>
      </c>
    </row>
    <row r="132" spans="1:9" x14ac:dyDescent="0.4">
      <c r="A132" s="10">
        <v>129</v>
      </c>
      <c r="B132" s="11">
        <v>42965</v>
      </c>
      <c r="C132" s="12" t="s">
        <v>10</v>
      </c>
      <c r="D132" s="12" t="s">
        <v>11</v>
      </c>
      <c r="E132" s="12" t="s">
        <v>19</v>
      </c>
      <c r="F132" s="12" t="s">
        <v>20</v>
      </c>
      <c r="G132" s="13">
        <v>10000</v>
      </c>
      <c r="H132" s="13">
        <v>25</v>
      </c>
      <c r="I132" s="14">
        <f t="shared" si="1"/>
        <v>250000</v>
      </c>
    </row>
    <row r="133" spans="1:9" x14ac:dyDescent="0.4">
      <c r="A133" s="10">
        <v>130</v>
      </c>
      <c r="B133" s="11">
        <v>42968</v>
      </c>
      <c r="C133" s="12" t="s">
        <v>13</v>
      </c>
      <c r="D133" s="12" t="s">
        <v>15</v>
      </c>
      <c r="E133" s="12" t="s">
        <v>17</v>
      </c>
      <c r="F133" s="12" t="s">
        <v>18</v>
      </c>
      <c r="G133" s="13">
        <v>8000</v>
      </c>
      <c r="H133" s="13">
        <v>10</v>
      </c>
      <c r="I133" s="14">
        <f t="shared" ref="I133:I196" si="2">G133*H133</f>
        <v>80000</v>
      </c>
    </row>
    <row r="134" spans="1:9" x14ac:dyDescent="0.4">
      <c r="A134" s="10">
        <v>131</v>
      </c>
      <c r="B134" s="11">
        <v>42971</v>
      </c>
      <c r="C134" s="12" t="s">
        <v>13</v>
      </c>
      <c r="D134" s="12" t="s">
        <v>15</v>
      </c>
      <c r="E134" s="12" t="s">
        <v>25</v>
      </c>
      <c r="F134" s="12" t="s">
        <v>26</v>
      </c>
      <c r="G134" s="13">
        <v>23000</v>
      </c>
      <c r="H134" s="13">
        <v>5</v>
      </c>
      <c r="I134" s="14">
        <f t="shared" si="2"/>
        <v>115000</v>
      </c>
    </row>
    <row r="135" spans="1:9" x14ac:dyDescent="0.4">
      <c r="A135" s="10">
        <v>132</v>
      </c>
      <c r="B135" s="11">
        <v>42972</v>
      </c>
      <c r="C135" s="12" t="s">
        <v>13</v>
      </c>
      <c r="D135" s="12" t="s">
        <v>14</v>
      </c>
      <c r="E135" s="12" t="s">
        <v>21</v>
      </c>
      <c r="F135" s="12" t="s">
        <v>22</v>
      </c>
      <c r="G135" s="13">
        <v>200000</v>
      </c>
      <c r="H135" s="13">
        <v>1</v>
      </c>
      <c r="I135" s="14">
        <f t="shared" si="2"/>
        <v>200000</v>
      </c>
    </row>
    <row r="136" spans="1:9" x14ac:dyDescent="0.4">
      <c r="A136" s="10">
        <v>133</v>
      </c>
      <c r="B136" s="11">
        <v>42972</v>
      </c>
      <c r="C136" s="12" t="s">
        <v>13</v>
      </c>
      <c r="D136" s="12" t="s">
        <v>15</v>
      </c>
      <c r="E136" s="12" t="s">
        <v>27</v>
      </c>
      <c r="F136" s="12" t="s">
        <v>28</v>
      </c>
      <c r="G136" s="13">
        <v>40000</v>
      </c>
      <c r="H136" s="13">
        <v>3</v>
      </c>
      <c r="I136" s="14">
        <f t="shared" si="2"/>
        <v>120000</v>
      </c>
    </row>
    <row r="137" spans="1:9" x14ac:dyDescent="0.4">
      <c r="A137" s="10">
        <v>134</v>
      </c>
      <c r="B137" s="11">
        <v>42973</v>
      </c>
      <c r="C137" s="12" t="s">
        <v>10</v>
      </c>
      <c r="D137" s="12" t="s">
        <v>11</v>
      </c>
      <c r="E137" s="12" t="s">
        <v>17</v>
      </c>
      <c r="F137" s="12" t="s">
        <v>18</v>
      </c>
      <c r="G137" s="13">
        <v>8000</v>
      </c>
      <c r="H137" s="13">
        <v>13</v>
      </c>
      <c r="I137" s="14">
        <f t="shared" si="2"/>
        <v>104000</v>
      </c>
    </row>
    <row r="138" spans="1:9" x14ac:dyDescent="0.4">
      <c r="A138" s="10">
        <v>135</v>
      </c>
      <c r="B138" s="11">
        <v>42975</v>
      </c>
      <c r="C138" s="12" t="s">
        <v>8</v>
      </c>
      <c r="D138" s="12" t="s">
        <v>9</v>
      </c>
      <c r="E138" s="12" t="s">
        <v>23</v>
      </c>
      <c r="F138" s="12" t="s">
        <v>24</v>
      </c>
      <c r="G138" s="13">
        <v>12500</v>
      </c>
      <c r="H138" s="13">
        <v>15</v>
      </c>
      <c r="I138" s="14">
        <f t="shared" si="2"/>
        <v>187500</v>
      </c>
    </row>
    <row r="139" spans="1:9" x14ac:dyDescent="0.4">
      <c r="A139" s="10">
        <v>136</v>
      </c>
      <c r="B139" s="11">
        <v>42975</v>
      </c>
      <c r="C139" s="12" t="s">
        <v>8</v>
      </c>
      <c r="D139" s="12" t="s">
        <v>9</v>
      </c>
      <c r="E139" s="12" t="s">
        <v>27</v>
      </c>
      <c r="F139" s="12" t="s">
        <v>28</v>
      </c>
      <c r="G139" s="13">
        <v>40000</v>
      </c>
      <c r="H139" s="13">
        <v>5</v>
      </c>
      <c r="I139" s="14">
        <f t="shared" si="2"/>
        <v>200000</v>
      </c>
    </row>
    <row r="140" spans="1:9" x14ac:dyDescent="0.4">
      <c r="A140" s="10">
        <v>137</v>
      </c>
      <c r="B140" s="11">
        <v>42975</v>
      </c>
      <c r="C140" s="12" t="s">
        <v>13</v>
      </c>
      <c r="D140" s="12" t="s">
        <v>14</v>
      </c>
      <c r="E140" s="12" t="s">
        <v>25</v>
      </c>
      <c r="F140" s="12" t="s">
        <v>26</v>
      </c>
      <c r="G140" s="13">
        <v>23000</v>
      </c>
      <c r="H140" s="13">
        <v>2</v>
      </c>
      <c r="I140" s="14">
        <f t="shared" si="2"/>
        <v>46000</v>
      </c>
    </row>
    <row r="141" spans="1:9" x14ac:dyDescent="0.4">
      <c r="A141" s="10">
        <v>138</v>
      </c>
      <c r="B141" s="11">
        <v>42978</v>
      </c>
      <c r="C141" s="12" t="s">
        <v>13</v>
      </c>
      <c r="D141" s="12" t="s">
        <v>14</v>
      </c>
      <c r="E141" s="12" t="s">
        <v>27</v>
      </c>
      <c r="F141" s="12" t="s">
        <v>28</v>
      </c>
      <c r="G141" s="13">
        <v>40000</v>
      </c>
      <c r="H141" s="13">
        <v>6</v>
      </c>
      <c r="I141" s="14">
        <f t="shared" si="2"/>
        <v>240000</v>
      </c>
    </row>
    <row r="142" spans="1:9" x14ac:dyDescent="0.4">
      <c r="A142" s="10">
        <v>139</v>
      </c>
      <c r="B142" s="11">
        <v>42978</v>
      </c>
      <c r="C142" s="12" t="s">
        <v>13</v>
      </c>
      <c r="D142" s="12" t="s">
        <v>14</v>
      </c>
      <c r="E142" s="12" t="s">
        <v>19</v>
      </c>
      <c r="F142" s="12" t="s">
        <v>20</v>
      </c>
      <c r="G142" s="13">
        <v>10000</v>
      </c>
      <c r="H142" s="13">
        <v>3</v>
      </c>
      <c r="I142" s="14">
        <f t="shared" si="2"/>
        <v>30000</v>
      </c>
    </row>
    <row r="143" spans="1:9" x14ac:dyDescent="0.4">
      <c r="A143" s="10">
        <v>140</v>
      </c>
      <c r="B143" s="11">
        <v>42979</v>
      </c>
      <c r="C143" s="12" t="s">
        <v>13</v>
      </c>
      <c r="D143" s="12" t="s">
        <v>15</v>
      </c>
      <c r="E143" s="12" t="s">
        <v>23</v>
      </c>
      <c r="F143" s="12" t="s">
        <v>24</v>
      </c>
      <c r="G143" s="13">
        <v>12500</v>
      </c>
      <c r="H143" s="13">
        <v>16</v>
      </c>
      <c r="I143" s="14">
        <f t="shared" si="2"/>
        <v>200000</v>
      </c>
    </row>
    <row r="144" spans="1:9" x14ac:dyDescent="0.4">
      <c r="A144" s="10">
        <v>141</v>
      </c>
      <c r="B144" s="11">
        <v>42980</v>
      </c>
      <c r="C144" s="12" t="s">
        <v>8</v>
      </c>
      <c r="D144" s="12" t="s">
        <v>12</v>
      </c>
      <c r="E144" s="12" t="s">
        <v>17</v>
      </c>
      <c r="F144" s="12" t="s">
        <v>18</v>
      </c>
      <c r="G144" s="13">
        <v>8000</v>
      </c>
      <c r="H144" s="13">
        <v>15</v>
      </c>
      <c r="I144" s="14">
        <f t="shared" si="2"/>
        <v>120000</v>
      </c>
    </row>
    <row r="145" spans="1:9" x14ac:dyDescent="0.4">
      <c r="A145" s="10">
        <v>142</v>
      </c>
      <c r="B145" s="11">
        <v>42985</v>
      </c>
      <c r="C145" s="12" t="s">
        <v>13</v>
      </c>
      <c r="D145" s="12" t="s">
        <v>15</v>
      </c>
      <c r="E145" s="12" t="s">
        <v>19</v>
      </c>
      <c r="F145" s="12" t="s">
        <v>20</v>
      </c>
      <c r="G145" s="13">
        <v>10000</v>
      </c>
      <c r="H145" s="13">
        <v>8</v>
      </c>
      <c r="I145" s="14">
        <f t="shared" si="2"/>
        <v>80000</v>
      </c>
    </row>
    <row r="146" spans="1:9" x14ac:dyDescent="0.4">
      <c r="A146" s="10">
        <v>143</v>
      </c>
      <c r="B146" s="11">
        <v>42986</v>
      </c>
      <c r="C146" s="12" t="s">
        <v>10</v>
      </c>
      <c r="D146" s="12" t="s">
        <v>16</v>
      </c>
      <c r="E146" s="12" t="s">
        <v>23</v>
      </c>
      <c r="F146" s="12" t="s">
        <v>24</v>
      </c>
      <c r="G146" s="13">
        <v>12500</v>
      </c>
      <c r="H146" s="13">
        <v>7</v>
      </c>
      <c r="I146" s="14">
        <f t="shared" si="2"/>
        <v>87500</v>
      </c>
    </row>
    <row r="147" spans="1:9" x14ac:dyDescent="0.4">
      <c r="A147" s="10">
        <v>144</v>
      </c>
      <c r="B147" s="11">
        <v>42994</v>
      </c>
      <c r="C147" s="12" t="s">
        <v>8</v>
      </c>
      <c r="D147" s="12" t="s">
        <v>12</v>
      </c>
      <c r="E147" s="12" t="s">
        <v>23</v>
      </c>
      <c r="F147" s="12" t="s">
        <v>24</v>
      </c>
      <c r="G147" s="13">
        <v>12500</v>
      </c>
      <c r="H147" s="13">
        <v>12</v>
      </c>
      <c r="I147" s="14">
        <f t="shared" si="2"/>
        <v>150000</v>
      </c>
    </row>
    <row r="148" spans="1:9" x14ac:dyDescent="0.4">
      <c r="A148" s="10">
        <v>145</v>
      </c>
      <c r="B148" s="11">
        <v>42994</v>
      </c>
      <c r="C148" s="12" t="s">
        <v>8</v>
      </c>
      <c r="D148" s="12" t="s">
        <v>12</v>
      </c>
      <c r="E148" s="12" t="s">
        <v>21</v>
      </c>
      <c r="F148" s="12" t="s">
        <v>22</v>
      </c>
      <c r="G148" s="13">
        <v>200000</v>
      </c>
      <c r="H148" s="13">
        <v>1</v>
      </c>
      <c r="I148" s="14">
        <f t="shared" si="2"/>
        <v>200000</v>
      </c>
    </row>
    <row r="149" spans="1:9" x14ac:dyDescent="0.4">
      <c r="A149" s="10">
        <v>146</v>
      </c>
      <c r="B149" s="11">
        <v>42996</v>
      </c>
      <c r="C149" s="12" t="s">
        <v>10</v>
      </c>
      <c r="D149" s="12" t="s">
        <v>16</v>
      </c>
      <c r="E149" s="12" t="s">
        <v>19</v>
      </c>
      <c r="F149" s="12" t="s">
        <v>20</v>
      </c>
      <c r="G149" s="13">
        <v>10000</v>
      </c>
      <c r="H149" s="13">
        <v>7</v>
      </c>
      <c r="I149" s="14">
        <f t="shared" si="2"/>
        <v>70000</v>
      </c>
    </row>
    <row r="150" spans="1:9" x14ac:dyDescent="0.4">
      <c r="A150" s="10">
        <v>147</v>
      </c>
      <c r="B150" s="11">
        <v>42999</v>
      </c>
      <c r="C150" s="12" t="s">
        <v>8</v>
      </c>
      <c r="D150" s="12" t="s">
        <v>9</v>
      </c>
      <c r="E150" s="12" t="s">
        <v>23</v>
      </c>
      <c r="F150" s="12" t="s">
        <v>24</v>
      </c>
      <c r="G150" s="13">
        <v>12500</v>
      </c>
      <c r="H150" s="13">
        <v>17</v>
      </c>
      <c r="I150" s="14">
        <f t="shared" si="2"/>
        <v>212500</v>
      </c>
    </row>
    <row r="151" spans="1:9" x14ac:dyDescent="0.4">
      <c r="A151" s="10">
        <v>148</v>
      </c>
      <c r="B151" s="11">
        <v>42999</v>
      </c>
      <c r="C151" s="12" t="s">
        <v>13</v>
      </c>
      <c r="D151" s="12" t="s">
        <v>15</v>
      </c>
      <c r="E151" s="12" t="s">
        <v>17</v>
      </c>
      <c r="F151" s="12" t="s">
        <v>18</v>
      </c>
      <c r="G151" s="13">
        <v>8000</v>
      </c>
      <c r="H151" s="13">
        <v>20</v>
      </c>
      <c r="I151" s="14">
        <f t="shared" si="2"/>
        <v>160000</v>
      </c>
    </row>
    <row r="152" spans="1:9" x14ac:dyDescent="0.4">
      <c r="A152" s="10">
        <v>149</v>
      </c>
      <c r="B152" s="11">
        <v>43000</v>
      </c>
      <c r="C152" s="12" t="s">
        <v>8</v>
      </c>
      <c r="D152" s="12" t="s">
        <v>9</v>
      </c>
      <c r="E152" s="12" t="s">
        <v>27</v>
      </c>
      <c r="F152" s="12" t="s">
        <v>28</v>
      </c>
      <c r="G152" s="13">
        <v>40000</v>
      </c>
      <c r="H152" s="13">
        <v>6</v>
      </c>
      <c r="I152" s="14">
        <f t="shared" si="2"/>
        <v>240000</v>
      </c>
    </row>
    <row r="153" spans="1:9" x14ac:dyDescent="0.4">
      <c r="A153" s="10">
        <v>150</v>
      </c>
      <c r="B153" s="11">
        <v>43000</v>
      </c>
      <c r="C153" s="12" t="s">
        <v>13</v>
      </c>
      <c r="D153" s="12" t="s">
        <v>15</v>
      </c>
      <c r="E153" s="12" t="s">
        <v>25</v>
      </c>
      <c r="F153" s="12" t="s">
        <v>26</v>
      </c>
      <c r="G153" s="13">
        <v>23000</v>
      </c>
      <c r="H153" s="13">
        <v>7</v>
      </c>
      <c r="I153" s="14">
        <f t="shared" si="2"/>
        <v>161000</v>
      </c>
    </row>
    <row r="154" spans="1:9" x14ac:dyDescent="0.4">
      <c r="A154" s="10">
        <v>151</v>
      </c>
      <c r="B154" s="11">
        <v>43003</v>
      </c>
      <c r="C154" s="12" t="s">
        <v>13</v>
      </c>
      <c r="D154" s="12" t="s">
        <v>15</v>
      </c>
      <c r="E154" s="12" t="s">
        <v>23</v>
      </c>
      <c r="F154" s="12" t="s">
        <v>24</v>
      </c>
      <c r="G154" s="13">
        <v>12500</v>
      </c>
      <c r="H154" s="13">
        <v>9</v>
      </c>
      <c r="I154" s="14">
        <f t="shared" si="2"/>
        <v>112500</v>
      </c>
    </row>
    <row r="155" spans="1:9" x14ac:dyDescent="0.4">
      <c r="A155" s="10">
        <v>152</v>
      </c>
      <c r="B155" s="11">
        <v>43006</v>
      </c>
      <c r="C155" s="12" t="s">
        <v>13</v>
      </c>
      <c r="D155" s="12" t="s">
        <v>14</v>
      </c>
      <c r="E155" s="12" t="s">
        <v>19</v>
      </c>
      <c r="F155" s="12" t="s">
        <v>20</v>
      </c>
      <c r="G155" s="13">
        <v>10000</v>
      </c>
      <c r="H155" s="13">
        <v>6</v>
      </c>
      <c r="I155" s="14">
        <f t="shared" si="2"/>
        <v>60000</v>
      </c>
    </row>
    <row r="156" spans="1:9" x14ac:dyDescent="0.4">
      <c r="A156" s="10">
        <v>153</v>
      </c>
      <c r="B156" s="11">
        <v>43006</v>
      </c>
      <c r="C156" s="12" t="s">
        <v>10</v>
      </c>
      <c r="D156" s="12" t="s">
        <v>11</v>
      </c>
      <c r="E156" s="12" t="s">
        <v>23</v>
      </c>
      <c r="F156" s="12" t="s">
        <v>24</v>
      </c>
      <c r="G156" s="13">
        <v>12500</v>
      </c>
      <c r="H156" s="13">
        <v>9</v>
      </c>
      <c r="I156" s="14">
        <f t="shared" si="2"/>
        <v>112500</v>
      </c>
    </row>
    <row r="157" spans="1:9" x14ac:dyDescent="0.4">
      <c r="A157" s="10">
        <v>154</v>
      </c>
      <c r="B157" s="11">
        <v>43007</v>
      </c>
      <c r="C157" s="12" t="s">
        <v>8</v>
      </c>
      <c r="D157" s="12" t="s">
        <v>12</v>
      </c>
      <c r="E157" s="12" t="s">
        <v>17</v>
      </c>
      <c r="F157" s="12" t="s">
        <v>18</v>
      </c>
      <c r="G157" s="13">
        <v>8000</v>
      </c>
      <c r="H157" s="13">
        <v>12</v>
      </c>
      <c r="I157" s="14">
        <f t="shared" si="2"/>
        <v>96000</v>
      </c>
    </row>
    <row r="158" spans="1:9" x14ac:dyDescent="0.4">
      <c r="A158" s="10">
        <v>155</v>
      </c>
      <c r="B158" s="11">
        <v>43007</v>
      </c>
      <c r="C158" s="12" t="s">
        <v>13</v>
      </c>
      <c r="D158" s="12" t="s">
        <v>15</v>
      </c>
      <c r="E158" s="12" t="s">
        <v>17</v>
      </c>
      <c r="F158" s="12" t="s">
        <v>18</v>
      </c>
      <c r="G158" s="13">
        <v>8000</v>
      </c>
      <c r="H158" s="13">
        <v>10</v>
      </c>
      <c r="I158" s="14">
        <f t="shared" si="2"/>
        <v>80000</v>
      </c>
    </row>
    <row r="159" spans="1:9" x14ac:dyDescent="0.4">
      <c r="A159" s="10">
        <v>156</v>
      </c>
      <c r="B159" s="11">
        <v>43010</v>
      </c>
      <c r="C159" s="12" t="s">
        <v>13</v>
      </c>
      <c r="D159" s="12" t="s">
        <v>14</v>
      </c>
      <c r="E159" s="12" t="s">
        <v>21</v>
      </c>
      <c r="F159" s="12" t="s">
        <v>22</v>
      </c>
      <c r="G159" s="13">
        <v>200000</v>
      </c>
      <c r="H159" s="13">
        <v>4</v>
      </c>
      <c r="I159" s="14">
        <f t="shared" si="2"/>
        <v>800000</v>
      </c>
    </row>
    <row r="160" spans="1:9" x14ac:dyDescent="0.4">
      <c r="A160" s="10">
        <v>157</v>
      </c>
      <c r="B160" s="11">
        <v>43018</v>
      </c>
      <c r="C160" s="12" t="s">
        <v>8</v>
      </c>
      <c r="D160" s="12" t="s">
        <v>9</v>
      </c>
      <c r="E160" s="12" t="s">
        <v>27</v>
      </c>
      <c r="F160" s="12" t="s">
        <v>28</v>
      </c>
      <c r="G160" s="13">
        <v>40000</v>
      </c>
      <c r="H160" s="13">
        <v>13</v>
      </c>
      <c r="I160" s="14">
        <f t="shared" si="2"/>
        <v>520000</v>
      </c>
    </row>
    <row r="161" spans="1:9" x14ac:dyDescent="0.4">
      <c r="A161" s="10">
        <v>158</v>
      </c>
      <c r="B161" s="11">
        <v>43018</v>
      </c>
      <c r="C161" s="12" t="s">
        <v>10</v>
      </c>
      <c r="D161" s="12" t="s">
        <v>11</v>
      </c>
      <c r="E161" s="12" t="s">
        <v>23</v>
      </c>
      <c r="F161" s="12" t="s">
        <v>24</v>
      </c>
      <c r="G161" s="13">
        <v>12500</v>
      </c>
      <c r="H161" s="13">
        <v>8</v>
      </c>
      <c r="I161" s="14">
        <f t="shared" si="2"/>
        <v>100000</v>
      </c>
    </row>
    <row r="162" spans="1:9" x14ac:dyDescent="0.4">
      <c r="A162" s="10">
        <v>159</v>
      </c>
      <c r="B162" s="11">
        <v>43021</v>
      </c>
      <c r="C162" s="12" t="s">
        <v>10</v>
      </c>
      <c r="D162" s="12" t="s">
        <v>16</v>
      </c>
      <c r="E162" s="12" t="s">
        <v>27</v>
      </c>
      <c r="F162" s="12" t="s">
        <v>28</v>
      </c>
      <c r="G162" s="13">
        <v>40000</v>
      </c>
      <c r="H162" s="13">
        <v>14</v>
      </c>
      <c r="I162" s="14">
        <f t="shared" si="2"/>
        <v>560000</v>
      </c>
    </row>
    <row r="163" spans="1:9" x14ac:dyDescent="0.4">
      <c r="A163" s="10">
        <v>160</v>
      </c>
      <c r="B163" s="11">
        <v>43030</v>
      </c>
      <c r="C163" s="12" t="s">
        <v>8</v>
      </c>
      <c r="D163" s="12" t="s">
        <v>9</v>
      </c>
      <c r="E163" s="12" t="s">
        <v>17</v>
      </c>
      <c r="F163" s="12" t="s">
        <v>18</v>
      </c>
      <c r="G163" s="13">
        <v>8000</v>
      </c>
      <c r="H163" s="13">
        <v>3</v>
      </c>
      <c r="I163" s="14">
        <f t="shared" si="2"/>
        <v>24000</v>
      </c>
    </row>
    <row r="164" spans="1:9" x14ac:dyDescent="0.4">
      <c r="A164" s="10">
        <v>161</v>
      </c>
      <c r="B164" s="11">
        <v>43030</v>
      </c>
      <c r="C164" s="12" t="s">
        <v>8</v>
      </c>
      <c r="D164" s="12" t="s">
        <v>9</v>
      </c>
      <c r="E164" s="12" t="s">
        <v>19</v>
      </c>
      <c r="F164" s="12" t="s">
        <v>20</v>
      </c>
      <c r="G164" s="13">
        <v>10000</v>
      </c>
      <c r="H164" s="13">
        <v>1</v>
      </c>
      <c r="I164" s="14">
        <f t="shared" si="2"/>
        <v>10000</v>
      </c>
    </row>
    <row r="165" spans="1:9" x14ac:dyDescent="0.4">
      <c r="A165" s="10">
        <v>162</v>
      </c>
      <c r="B165" s="11">
        <v>43030</v>
      </c>
      <c r="C165" s="12" t="s">
        <v>10</v>
      </c>
      <c r="D165" s="12" t="s">
        <v>11</v>
      </c>
      <c r="E165" s="12" t="s">
        <v>17</v>
      </c>
      <c r="F165" s="12" t="s">
        <v>18</v>
      </c>
      <c r="G165" s="13">
        <v>8000</v>
      </c>
      <c r="H165" s="13">
        <v>11</v>
      </c>
      <c r="I165" s="14">
        <f t="shared" si="2"/>
        <v>88000</v>
      </c>
    </row>
    <row r="166" spans="1:9" x14ac:dyDescent="0.4">
      <c r="A166" s="10">
        <v>163</v>
      </c>
      <c r="B166" s="11">
        <v>43030</v>
      </c>
      <c r="C166" s="12" t="s">
        <v>8</v>
      </c>
      <c r="D166" s="12" t="s">
        <v>9</v>
      </c>
      <c r="E166" s="12" t="s">
        <v>19</v>
      </c>
      <c r="F166" s="12" t="s">
        <v>20</v>
      </c>
      <c r="G166" s="13">
        <v>10000</v>
      </c>
      <c r="H166" s="13">
        <v>14</v>
      </c>
      <c r="I166" s="14">
        <f t="shared" si="2"/>
        <v>140000</v>
      </c>
    </row>
    <row r="167" spans="1:9" x14ac:dyDescent="0.4">
      <c r="A167" s="10">
        <v>164</v>
      </c>
      <c r="B167" s="11">
        <v>43031</v>
      </c>
      <c r="C167" s="12" t="s">
        <v>8</v>
      </c>
      <c r="D167" s="12" t="s">
        <v>12</v>
      </c>
      <c r="E167" s="12" t="s">
        <v>23</v>
      </c>
      <c r="F167" s="12" t="s">
        <v>24</v>
      </c>
      <c r="G167" s="13">
        <v>12500</v>
      </c>
      <c r="H167" s="13">
        <v>3</v>
      </c>
      <c r="I167" s="14">
        <f t="shared" si="2"/>
        <v>37500</v>
      </c>
    </row>
    <row r="168" spans="1:9" x14ac:dyDescent="0.4">
      <c r="A168" s="10">
        <v>165</v>
      </c>
      <c r="B168" s="11">
        <v>43031</v>
      </c>
      <c r="C168" s="12" t="s">
        <v>10</v>
      </c>
      <c r="D168" s="12" t="s">
        <v>11</v>
      </c>
      <c r="E168" s="12" t="s">
        <v>19</v>
      </c>
      <c r="F168" s="12" t="s">
        <v>20</v>
      </c>
      <c r="G168" s="13">
        <v>10000</v>
      </c>
      <c r="H168" s="13">
        <v>12</v>
      </c>
      <c r="I168" s="14">
        <f t="shared" si="2"/>
        <v>120000</v>
      </c>
    </row>
    <row r="169" spans="1:9" x14ac:dyDescent="0.4">
      <c r="A169" s="10">
        <v>166</v>
      </c>
      <c r="B169" s="11">
        <v>43034</v>
      </c>
      <c r="C169" s="12" t="s">
        <v>13</v>
      </c>
      <c r="D169" s="12" t="s">
        <v>15</v>
      </c>
      <c r="E169" s="12" t="s">
        <v>19</v>
      </c>
      <c r="F169" s="12" t="s">
        <v>20</v>
      </c>
      <c r="G169" s="13">
        <v>10000</v>
      </c>
      <c r="H169" s="13">
        <v>5</v>
      </c>
      <c r="I169" s="14">
        <f t="shared" si="2"/>
        <v>50000</v>
      </c>
    </row>
    <row r="170" spans="1:9" x14ac:dyDescent="0.4">
      <c r="A170" s="10">
        <v>167</v>
      </c>
      <c r="B170" s="11">
        <v>43035</v>
      </c>
      <c r="C170" s="12" t="s">
        <v>13</v>
      </c>
      <c r="D170" s="12" t="s">
        <v>14</v>
      </c>
      <c r="E170" s="12" t="s">
        <v>23</v>
      </c>
      <c r="F170" s="12" t="s">
        <v>24</v>
      </c>
      <c r="G170" s="13">
        <v>12500</v>
      </c>
      <c r="H170" s="13">
        <v>3</v>
      </c>
      <c r="I170" s="14">
        <f t="shared" si="2"/>
        <v>37500</v>
      </c>
    </row>
    <row r="171" spans="1:9" x14ac:dyDescent="0.4">
      <c r="A171" s="10">
        <v>168</v>
      </c>
      <c r="B171" s="11">
        <v>43038</v>
      </c>
      <c r="C171" s="12" t="s">
        <v>13</v>
      </c>
      <c r="D171" s="12" t="s">
        <v>14</v>
      </c>
      <c r="E171" s="12" t="s">
        <v>17</v>
      </c>
      <c r="F171" s="12" t="s">
        <v>18</v>
      </c>
      <c r="G171" s="13">
        <v>8000</v>
      </c>
      <c r="H171" s="13">
        <v>8</v>
      </c>
      <c r="I171" s="14">
        <f t="shared" si="2"/>
        <v>64000</v>
      </c>
    </row>
    <row r="172" spans="1:9" x14ac:dyDescent="0.4">
      <c r="A172" s="10">
        <v>169</v>
      </c>
      <c r="B172" s="11">
        <v>43038</v>
      </c>
      <c r="C172" s="12" t="s">
        <v>13</v>
      </c>
      <c r="D172" s="12" t="s">
        <v>15</v>
      </c>
      <c r="E172" s="12" t="s">
        <v>21</v>
      </c>
      <c r="F172" s="12" t="s">
        <v>22</v>
      </c>
      <c r="G172" s="13">
        <v>200000</v>
      </c>
      <c r="H172" s="13">
        <v>4</v>
      </c>
      <c r="I172" s="14">
        <f t="shared" si="2"/>
        <v>800000</v>
      </c>
    </row>
    <row r="173" spans="1:9" x14ac:dyDescent="0.4">
      <c r="A173" s="10">
        <v>170</v>
      </c>
      <c r="B173" s="11">
        <v>43041</v>
      </c>
      <c r="C173" s="12" t="s">
        <v>8</v>
      </c>
      <c r="D173" s="12" t="s">
        <v>12</v>
      </c>
      <c r="E173" s="12" t="s">
        <v>27</v>
      </c>
      <c r="F173" s="12" t="s">
        <v>28</v>
      </c>
      <c r="G173" s="13">
        <v>40000</v>
      </c>
      <c r="H173" s="13">
        <v>4</v>
      </c>
      <c r="I173" s="14">
        <f t="shared" si="2"/>
        <v>160000</v>
      </c>
    </row>
    <row r="174" spans="1:9" x14ac:dyDescent="0.4">
      <c r="A174" s="10">
        <v>171</v>
      </c>
      <c r="B174" s="11">
        <v>43050</v>
      </c>
      <c r="C174" s="12" t="s">
        <v>13</v>
      </c>
      <c r="D174" s="12" t="s">
        <v>14</v>
      </c>
      <c r="E174" s="12" t="s">
        <v>17</v>
      </c>
      <c r="F174" s="12" t="s">
        <v>18</v>
      </c>
      <c r="G174" s="13">
        <v>8000</v>
      </c>
      <c r="H174" s="13">
        <v>4</v>
      </c>
      <c r="I174" s="14">
        <f t="shared" si="2"/>
        <v>32000</v>
      </c>
    </row>
    <row r="175" spans="1:9" x14ac:dyDescent="0.4">
      <c r="A175" s="10">
        <v>172</v>
      </c>
      <c r="B175" s="11">
        <v>43050</v>
      </c>
      <c r="C175" s="12" t="s">
        <v>8</v>
      </c>
      <c r="D175" s="12" t="s">
        <v>9</v>
      </c>
      <c r="E175" s="12" t="s">
        <v>23</v>
      </c>
      <c r="F175" s="12" t="s">
        <v>24</v>
      </c>
      <c r="G175" s="13">
        <v>12500</v>
      </c>
      <c r="H175" s="13">
        <v>9</v>
      </c>
      <c r="I175" s="14">
        <f t="shared" si="2"/>
        <v>112500</v>
      </c>
    </row>
    <row r="176" spans="1:9" x14ac:dyDescent="0.4">
      <c r="A176" s="10">
        <v>173</v>
      </c>
      <c r="B176" s="11">
        <v>43050</v>
      </c>
      <c r="C176" s="12" t="s">
        <v>13</v>
      </c>
      <c r="D176" s="12" t="s">
        <v>14</v>
      </c>
      <c r="E176" s="12" t="s">
        <v>17</v>
      </c>
      <c r="F176" s="12" t="s">
        <v>18</v>
      </c>
      <c r="G176" s="13">
        <v>8000</v>
      </c>
      <c r="H176" s="13">
        <v>14</v>
      </c>
      <c r="I176" s="14">
        <f t="shared" si="2"/>
        <v>112000</v>
      </c>
    </row>
    <row r="177" spans="1:9" x14ac:dyDescent="0.4">
      <c r="A177" s="10">
        <v>174</v>
      </c>
      <c r="B177" s="11">
        <v>43051</v>
      </c>
      <c r="C177" s="12" t="s">
        <v>8</v>
      </c>
      <c r="D177" s="12" t="s">
        <v>9</v>
      </c>
      <c r="E177" s="12" t="s">
        <v>17</v>
      </c>
      <c r="F177" s="12" t="s">
        <v>18</v>
      </c>
      <c r="G177" s="13">
        <v>8000</v>
      </c>
      <c r="H177" s="13">
        <v>2</v>
      </c>
      <c r="I177" s="14">
        <f t="shared" si="2"/>
        <v>16000</v>
      </c>
    </row>
    <row r="178" spans="1:9" x14ac:dyDescent="0.4">
      <c r="A178" s="10">
        <v>175</v>
      </c>
      <c r="B178" s="11">
        <v>43051</v>
      </c>
      <c r="C178" s="12" t="s">
        <v>13</v>
      </c>
      <c r="D178" s="12" t="s">
        <v>14</v>
      </c>
      <c r="E178" s="12" t="s">
        <v>19</v>
      </c>
      <c r="F178" s="12" t="s">
        <v>20</v>
      </c>
      <c r="G178" s="13">
        <v>10000</v>
      </c>
      <c r="H178" s="13">
        <v>15</v>
      </c>
      <c r="I178" s="14">
        <f t="shared" si="2"/>
        <v>150000</v>
      </c>
    </row>
    <row r="179" spans="1:9" x14ac:dyDescent="0.4">
      <c r="A179" s="10">
        <v>176</v>
      </c>
      <c r="B179" s="11">
        <v>43051</v>
      </c>
      <c r="C179" s="12" t="s">
        <v>10</v>
      </c>
      <c r="D179" s="12" t="s">
        <v>11</v>
      </c>
      <c r="E179" s="12" t="s">
        <v>27</v>
      </c>
      <c r="F179" s="12" t="s">
        <v>28</v>
      </c>
      <c r="G179" s="13">
        <v>40000</v>
      </c>
      <c r="H179" s="13">
        <v>5</v>
      </c>
      <c r="I179" s="14">
        <f t="shared" si="2"/>
        <v>200000</v>
      </c>
    </row>
    <row r="180" spans="1:9" x14ac:dyDescent="0.4">
      <c r="A180" s="10">
        <v>177</v>
      </c>
      <c r="B180" s="11">
        <v>43051</v>
      </c>
      <c r="C180" s="12" t="s">
        <v>8</v>
      </c>
      <c r="D180" s="12" t="s">
        <v>12</v>
      </c>
      <c r="E180" s="12" t="s">
        <v>25</v>
      </c>
      <c r="F180" s="12" t="s">
        <v>26</v>
      </c>
      <c r="G180" s="13">
        <v>23000</v>
      </c>
      <c r="H180" s="13">
        <v>1</v>
      </c>
      <c r="I180" s="14">
        <f t="shared" si="2"/>
        <v>23000</v>
      </c>
    </row>
    <row r="181" spans="1:9" x14ac:dyDescent="0.4">
      <c r="A181" s="10">
        <v>178</v>
      </c>
      <c r="B181" s="11">
        <v>43052</v>
      </c>
      <c r="C181" s="12" t="s">
        <v>8</v>
      </c>
      <c r="D181" s="12" t="s">
        <v>9</v>
      </c>
      <c r="E181" s="12" t="s">
        <v>19</v>
      </c>
      <c r="F181" s="12" t="s">
        <v>20</v>
      </c>
      <c r="G181" s="13">
        <v>10000</v>
      </c>
      <c r="H181" s="13">
        <v>2</v>
      </c>
      <c r="I181" s="14">
        <f t="shared" si="2"/>
        <v>20000</v>
      </c>
    </row>
    <row r="182" spans="1:9" x14ac:dyDescent="0.4">
      <c r="A182" s="10">
        <v>179</v>
      </c>
      <c r="B182" s="11">
        <v>43059</v>
      </c>
      <c r="C182" s="12" t="s">
        <v>13</v>
      </c>
      <c r="D182" s="12" t="s">
        <v>15</v>
      </c>
      <c r="E182" s="12" t="s">
        <v>23</v>
      </c>
      <c r="F182" s="12" t="s">
        <v>24</v>
      </c>
      <c r="G182" s="13">
        <v>12500</v>
      </c>
      <c r="H182" s="13">
        <v>10</v>
      </c>
      <c r="I182" s="14">
        <f t="shared" si="2"/>
        <v>125000</v>
      </c>
    </row>
    <row r="183" spans="1:9" x14ac:dyDescent="0.4">
      <c r="A183" s="10">
        <v>180</v>
      </c>
      <c r="B183" s="11">
        <v>43060</v>
      </c>
      <c r="C183" s="12" t="s">
        <v>13</v>
      </c>
      <c r="D183" s="12" t="s">
        <v>15</v>
      </c>
      <c r="E183" s="12" t="s">
        <v>19</v>
      </c>
      <c r="F183" s="12" t="s">
        <v>20</v>
      </c>
      <c r="G183" s="13">
        <v>10000</v>
      </c>
      <c r="H183" s="13">
        <v>11</v>
      </c>
      <c r="I183" s="14">
        <f t="shared" si="2"/>
        <v>110000</v>
      </c>
    </row>
    <row r="184" spans="1:9" x14ac:dyDescent="0.4">
      <c r="A184" s="10">
        <v>181</v>
      </c>
      <c r="B184" s="11">
        <v>43060</v>
      </c>
      <c r="C184" s="12" t="s">
        <v>13</v>
      </c>
      <c r="D184" s="12" t="s">
        <v>14</v>
      </c>
      <c r="E184" s="12" t="s">
        <v>25</v>
      </c>
      <c r="F184" s="12" t="s">
        <v>26</v>
      </c>
      <c r="G184" s="13">
        <v>23000</v>
      </c>
      <c r="H184" s="13">
        <v>14</v>
      </c>
      <c r="I184" s="14">
        <f t="shared" si="2"/>
        <v>322000</v>
      </c>
    </row>
    <row r="185" spans="1:9" x14ac:dyDescent="0.4">
      <c r="A185" s="10">
        <v>182</v>
      </c>
      <c r="B185" s="11">
        <v>43060</v>
      </c>
      <c r="C185" s="12" t="s">
        <v>13</v>
      </c>
      <c r="D185" s="12" t="s">
        <v>14</v>
      </c>
      <c r="E185" s="12" t="s">
        <v>27</v>
      </c>
      <c r="F185" s="12" t="s">
        <v>28</v>
      </c>
      <c r="G185" s="13">
        <v>40000</v>
      </c>
      <c r="H185" s="13">
        <v>10</v>
      </c>
      <c r="I185" s="14">
        <f t="shared" si="2"/>
        <v>400000</v>
      </c>
    </row>
    <row r="186" spans="1:9" x14ac:dyDescent="0.4">
      <c r="A186" s="10">
        <v>183</v>
      </c>
      <c r="B186" s="11">
        <v>43060</v>
      </c>
      <c r="C186" s="12" t="s">
        <v>13</v>
      </c>
      <c r="D186" s="12" t="s">
        <v>15</v>
      </c>
      <c r="E186" s="12" t="s">
        <v>27</v>
      </c>
      <c r="F186" s="12" t="s">
        <v>28</v>
      </c>
      <c r="G186" s="13">
        <v>40000</v>
      </c>
      <c r="H186" s="13">
        <v>5</v>
      </c>
      <c r="I186" s="14">
        <f t="shared" si="2"/>
        <v>200000</v>
      </c>
    </row>
    <row r="187" spans="1:9" x14ac:dyDescent="0.4">
      <c r="A187" s="10">
        <v>184</v>
      </c>
      <c r="B187" s="11">
        <v>43061</v>
      </c>
      <c r="C187" s="12" t="s">
        <v>10</v>
      </c>
      <c r="D187" s="12" t="s">
        <v>16</v>
      </c>
      <c r="E187" s="12" t="s">
        <v>23</v>
      </c>
      <c r="F187" s="12" t="s">
        <v>24</v>
      </c>
      <c r="G187" s="13">
        <v>12500</v>
      </c>
      <c r="H187" s="13">
        <v>8</v>
      </c>
      <c r="I187" s="14">
        <f t="shared" si="2"/>
        <v>100000</v>
      </c>
    </row>
    <row r="188" spans="1:9" x14ac:dyDescent="0.4">
      <c r="A188" s="10">
        <v>185</v>
      </c>
      <c r="B188" s="11">
        <v>43061</v>
      </c>
      <c r="C188" s="12" t="s">
        <v>10</v>
      </c>
      <c r="D188" s="12" t="s">
        <v>16</v>
      </c>
      <c r="E188" s="12" t="s">
        <v>19</v>
      </c>
      <c r="F188" s="12" t="s">
        <v>20</v>
      </c>
      <c r="G188" s="13">
        <v>10000</v>
      </c>
      <c r="H188" s="13">
        <v>11</v>
      </c>
      <c r="I188" s="14">
        <f t="shared" si="2"/>
        <v>110000</v>
      </c>
    </row>
    <row r="189" spans="1:9" x14ac:dyDescent="0.4">
      <c r="A189" s="10">
        <v>186</v>
      </c>
      <c r="B189" s="11">
        <v>43061</v>
      </c>
      <c r="C189" s="12" t="s">
        <v>8</v>
      </c>
      <c r="D189" s="12" t="s">
        <v>12</v>
      </c>
      <c r="E189" s="12" t="s">
        <v>19</v>
      </c>
      <c r="F189" s="12" t="s">
        <v>20</v>
      </c>
      <c r="G189" s="13">
        <v>10000</v>
      </c>
      <c r="H189" s="13">
        <v>11</v>
      </c>
      <c r="I189" s="14">
        <f t="shared" si="2"/>
        <v>110000</v>
      </c>
    </row>
    <row r="190" spans="1:9" x14ac:dyDescent="0.4">
      <c r="A190" s="10">
        <v>187</v>
      </c>
      <c r="B190" s="11">
        <v>43062</v>
      </c>
      <c r="C190" s="12" t="s">
        <v>10</v>
      </c>
      <c r="D190" s="12" t="s">
        <v>11</v>
      </c>
      <c r="E190" s="12" t="s">
        <v>17</v>
      </c>
      <c r="F190" s="12" t="s">
        <v>18</v>
      </c>
      <c r="G190" s="13">
        <v>8000</v>
      </c>
      <c r="H190" s="13">
        <v>13</v>
      </c>
      <c r="I190" s="14">
        <f t="shared" si="2"/>
        <v>104000</v>
      </c>
    </row>
    <row r="191" spans="1:9" x14ac:dyDescent="0.4">
      <c r="A191" s="10">
        <v>188</v>
      </c>
      <c r="B191" s="11">
        <v>43070</v>
      </c>
      <c r="C191" s="12" t="s">
        <v>8</v>
      </c>
      <c r="D191" s="12" t="s">
        <v>12</v>
      </c>
      <c r="E191" s="12" t="s">
        <v>27</v>
      </c>
      <c r="F191" s="12" t="s">
        <v>28</v>
      </c>
      <c r="G191" s="13">
        <v>40000</v>
      </c>
      <c r="H191" s="13">
        <v>5</v>
      </c>
      <c r="I191" s="14">
        <f t="shared" si="2"/>
        <v>200000</v>
      </c>
    </row>
    <row r="192" spans="1:9" x14ac:dyDescent="0.4">
      <c r="A192" s="10">
        <v>189</v>
      </c>
      <c r="B192" s="11">
        <v>43071</v>
      </c>
      <c r="C192" s="12" t="s">
        <v>13</v>
      </c>
      <c r="D192" s="12" t="s">
        <v>15</v>
      </c>
      <c r="E192" s="12" t="s">
        <v>25</v>
      </c>
      <c r="F192" s="12" t="s">
        <v>26</v>
      </c>
      <c r="G192" s="13">
        <v>23000</v>
      </c>
      <c r="H192" s="13">
        <v>1</v>
      </c>
      <c r="I192" s="14">
        <f t="shared" si="2"/>
        <v>23000</v>
      </c>
    </row>
    <row r="193" spans="1:9" x14ac:dyDescent="0.4">
      <c r="A193" s="10">
        <v>190</v>
      </c>
      <c r="B193" s="11">
        <v>43071</v>
      </c>
      <c r="C193" s="12" t="s">
        <v>13</v>
      </c>
      <c r="D193" s="12" t="s">
        <v>14</v>
      </c>
      <c r="E193" s="12" t="s">
        <v>21</v>
      </c>
      <c r="F193" s="12" t="s">
        <v>22</v>
      </c>
      <c r="G193" s="13">
        <v>200000</v>
      </c>
      <c r="H193" s="13">
        <v>4</v>
      </c>
      <c r="I193" s="14">
        <f t="shared" si="2"/>
        <v>800000</v>
      </c>
    </row>
    <row r="194" spans="1:9" x14ac:dyDescent="0.4">
      <c r="A194" s="10">
        <v>191</v>
      </c>
      <c r="B194" s="11">
        <v>43072</v>
      </c>
      <c r="C194" s="12" t="s">
        <v>13</v>
      </c>
      <c r="D194" s="12" t="s">
        <v>14</v>
      </c>
      <c r="E194" s="12" t="s">
        <v>23</v>
      </c>
      <c r="F194" s="12" t="s">
        <v>24</v>
      </c>
      <c r="G194" s="13">
        <v>12500</v>
      </c>
      <c r="H194" s="13">
        <v>2</v>
      </c>
      <c r="I194" s="14">
        <f t="shared" si="2"/>
        <v>25000</v>
      </c>
    </row>
    <row r="195" spans="1:9" x14ac:dyDescent="0.4">
      <c r="A195" s="10">
        <v>192</v>
      </c>
      <c r="B195" s="11">
        <v>43072</v>
      </c>
      <c r="C195" s="12" t="s">
        <v>10</v>
      </c>
      <c r="D195" s="12" t="s">
        <v>11</v>
      </c>
      <c r="E195" s="12" t="s">
        <v>23</v>
      </c>
      <c r="F195" s="12" t="s">
        <v>24</v>
      </c>
      <c r="G195" s="13">
        <v>12500</v>
      </c>
      <c r="H195" s="13">
        <v>2</v>
      </c>
      <c r="I195" s="14">
        <f t="shared" si="2"/>
        <v>25000</v>
      </c>
    </row>
    <row r="196" spans="1:9" x14ac:dyDescent="0.4">
      <c r="A196" s="10">
        <v>193</v>
      </c>
      <c r="B196" s="11">
        <v>43080</v>
      </c>
      <c r="C196" s="12" t="s">
        <v>8</v>
      </c>
      <c r="D196" s="12" t="s">
        <v>12</v>
      </c>
      <c r="E196" s="12" t="s">
        <v>17</v>
      </c>
      <c r="F196" s="12" t="s">
        <v>18</v>
      </c>
      <c r="G196" s="13">
        <v>8000</v>
      </c>
      <c r="H196" s="13">
        <v>9</v>
      </c>
      <c r="I196" s="14">
        <f t="shared" si="2"/>
        <v>72000</v>
      </c>
    </row>
    <row r="197" spans="1:9" x14ac:dyDescent="0.4">
      <c r="A197" s="10">
        <v>194</v>
      </c>
      <c r="B197" s="11">
        <v>43080</v>
      </c>
      <c r="C197" s="12" t="s">
        <v>10</v>
      </c>
      <c r="D197" s="12" t="s">
        <v>16</v>
      </c>
      <c r="E197" s="12" t="s">
        <v>19</v>
      </c>
      <c r="F197" s="12" t="s">
        <v>20</v>
      </c>
      <c r="G197" s="13">
        <v>10000</v>
      </c>
      <c r="H197" s="13">
        <v>15</v>
      </c>
      <c r="I197" s="14">
        <f t="shared" ref="I197:I203" si="3">G197*H197</f>
        <v>150000</v>
      </c>
    </row>
    <row r="198" spans="1:9" x14ac:dyDescent="0.4">
      <c r="A198" s="10">
        <v>195</v>
      </c>
      <c r="B198" s="11">
        <v>43080</v>
      </c>
      <c r="C198" s="12" t="s">
        <v>8</v>
      </c>
      <c r="D198" s="12" t="s">
        <v>9</v>
      </c>
      <c r="E198" s="12" t="s">
        <v>27</v>
      </c>
      <c r="F198" s="12" t="s">
        <v>28</v>
      </c>
      <c r="G198" s="13">
        <v>40000</v>
      </c>
      <c r="H198" s="13">
        <v>8</v>
      </c>
      <c r="I198" s="14">
        <f t="shared" si="3"/>
        <v>320000</v>
      </c>
    </row>
    <row r="199" spans="1:9" x14ac:dyDescent="0.4">
      <c r="A199" s="10">
        <v>196</v>
      </c>
      <c r="B199" s="11">
        <v>43080</v>
      </c>
      <c r="C199" s="12" t="s">
        <v>13</v>
      </c>
      <c r="D199" s="12" t="s">
        <v>14</v>
      </c>
      <c r="E199" s="12" t="s">
        <v>19</v>
      </c>
      <c r="F199" s="12" t="s">
        <v>20</v>
      </c>
      <c r="G199" s="13">
        <v>10000</v>
      </c>
      <c r="H199" s="13">
        <v>4</v>
      </c>
      <c r="I199" s="14">
        <f t="shared" si="3"/>
        <v>40000</v>
      </c>
    </row>
    <row r="200" spans="1:9" x14ac:dyDescent="0.4">
      <c r="A200" s="10">
        <v>197</v>
      </c>
      <c r="B200" s="11">
        <v>43086</v>
      </c>
      <c r="C200" s="12" t="s">
        <v>10</v>
      </c>
      <c r="D200" s="12" t="s">
        <v>16</v>
      </c>
      <c r="E200" s="12" t="s">
        <v>25</v>
      </c>
      <c r="F200" s="12" t="s">
        <v>26</v>
      </c>
      <c r="G200" s="13">
        <v>23000</v>
      </c>
      <c r="H200" s="13">
        <v>2</v>
      </c>
      <c r="I200" s="14">
        <f t="shared" si="3"/>
        <v>46000</v>
      </c>
    </row>
    <row r="201" spans="1:9" x14ac:dyDescent="0.4">
      <c r="A201" s="10">
        <v>198</v>
      </c>
      <c r="B201" s="11">
        <v>43092</v>
      </c>
      <c r="C201" s="12" t="s">
        <v>13</v>
      </c>
      <c r="D201" s="12" t="s">
        <v>14</v>
      </c>
      <c r="E201" s="12" t="s">
        <v>19</v>
      </c>
      <c r="F201" s="12" t="s">
        <v>20</v>
      </c>
      <c r="G201" s="13">
        <v>10000</v>
      </c>
      <c r="H201" s="13">
        <v>1</v>
      </c>
      <c r="I201" s="14">
        <f t="shared" si="3"/>
        <v>10000</v>
      </c>
    </row>
    <row r="202" spans="1:9" x14ac:dyDescent="0.4">
      <c r="A202" s="10">
        <v>199</v>
      </c>
      <c r="B202" s="11">
        <v>43093</v>
      </c>
      <c r="C202" s="12" t="s">
        <v>13</v>
      </c>
      <c r="D202" s="12" t="s">
        <v>14</v>
      </c>
      <c r="E202" s="12" t="s">
        <v>27</v>
      </c>
      <c r="F202" s="12" t="s">
        <v>28</v>
      </c>
      <c r="G202" s="13">
        <v>40000</v>
      </c>
      <c r="H202" s="13">
        <v>13</v>
      </c>
      <c r="I202" s="14">
        <f t="shared" si="3"/>
        <v>520000</v>
      </c>
    </row>
    <row r="203" spans="1:9" ht="19.5" thickBot="1" x14ac:dyDescent="0.45">
      <c r="A203" s="15">
        <v>200</v>
      </c>
      <c r="B203" s="16">
        <v>43099</v>
      </c>
      <c r="C203" s="17" t="s">
        <v>13</v>
      </c>
      <c r="D203" s="17" t="s">
        <v>15</v>
      </c>
      <c r="E203" s="17" t="s">
        <v>23</v>
      </c>
      <c r="F203" s="17" t="s">
        <v>24</v>
      </c>
      <c r="G203" s="18">
        <v>12500</v>
      </c>
      <c r="H203" s="18">
        <v>15</v>
      </c>
      <c r="I203" s="19">
        <f t="shared" si="3"/>
        <v>187500</v>
      </c>
    </row>
    <row r="204" spans="1:9" ht="20.25" thickTop="1" thickBot="1" x14ac:dyDescent="0.45">
      <c r="A204" s="3" t="s">
        <v>30</v>
      </c>
      <c r="B204" s="3"/>
      <c r="C204" s="3"/>
      <c r="D204" s="3"/>
      <c r="E204" s="3"/>
      <c r="F204" s="3"/>
      <c r="G204" s="3"/>
      <c r="H204" s="3"/>
      <c r="I204" s="4">
        <f>SUBTOTAL(109,I4:I203)</f>
        <v>30061000</v>
      </c>
    </row>
  </sheetData>
  <phoneticPr fontId="3"/>
  <conditionalFormatting sqref="A4:I204">
    <cfRule type="expression" dxfId="9" priority="1">
      <formula>MOD(ROW(),2)=1</formula>
    </cfRule>
    <cfRule type="expression" dxfId="8" priority="2">
      <formula>MOD(ROW(),2)=0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商品別売上集約_基本">
                <anchor moveWithCells="1" sizeWithCells="1">
                  <from>
                    <xdr:col>10</xdr:col>
                    <xdr:colOff>9525</xdr:colOff>
                    <xdr:row>3</xdr:row>
                    <xdr:rowOff>9525</xdr:rowOff>
                  </from>
                  <to>
                    <xdr:col>10</xdr:col>
                    <xdr:colOff>819150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担当者別売上集約_基本">
                <anchor moveWithCells="1" sizeWithCells="1">
                  <from>
                    <xdr:col>11</xdr:col>
                    <xdr:colOff>9525</xdr:colOff>
                    <xdr:row>3</xdr:row>
                    <xdr:rowOff>9525</xdr:rowOff>
                  </from>
                  <to>
                    <xdr:col>11</xdr:col>
                    <xdr:colOff>819150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商品別と担当者別の売上集約_基本">
                <anchor moveWithCells="1" sizeWithCells="1">
                  <from>
                    <xdr:col>12</xdr:col>
                    <xdr:colOff>9525</xdr:colOff>
                    <xdr:row>3</xdr:row>
                    <xdr:rowOff>9525</xdr:rowOff>
                  </from>
                  <to>
                    <xdr:col>12</xdr:col>
                    <xdr:colOff>819150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商品別売上集約_応用1">
                <anchor moveWithCells="1" sizeWithCells="1">
                  <from>
                    <xdr:col>10</xdr:col>
                    <xdr:colOff>9525</xdr:colOff>
                    <xdr:row>7</xdr:row>
                    <xdr:rowOff>9525</xdr:rowOff>
                  </from>
                  <to>
                    <xdr:col>10</xdr:col>
                    <xdr:colOff>819150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担当者別売上集約_応用1">
                <anchor moveWithCells="1" sizeWithCells="1">
                  <from>
                    <xdr:col>11</xdr:col>
                    <xdr:colOff>9525</xdr:colOff>
                    <xdr:row>7</xdr:row>
                    <xdr:rowOff>9525</xdr:rowOff>
                  </from>
                  <to>
                    <xdr:col>11</xdr:col>
                    <xdr:colOff>819150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商品別と担当者別の売上集約_応用1">
                <anchor moveWithCells="1" sizeWithCells="1">
                  <from>
                    <xdr:col>12</xdr:col>
                    <xdr:colOff>9525</xdr:colOff>
                    <xdr:row>7</xdr:row>
                    <xdr:rowOff>9525</xdr:rowOff>
                  </from>
                  <to>
                    <xdr:col>12</xdr:col>
                    <xdr:colOff>819150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商品別売上集約_応用2">
                <anchor moveWithCells="1" sizeWithCells="1">
                  <from>
                    <xdr:col>10</xdr:col>
                    <xdr:colOff>9525</xdr:colOff>
                    <xdr:row>11</xdr:row>
                    <xdr:rowOff>9525</xdr:rowOff>
                  </from>
                  <to>
                    <xdr:col>10</xdr:col>
                    <xdr:colOff>819150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担当者別売上集約_応用2">
                <anchor moveWithCells="1" sizeWithCells="1">
                  <from>
                    <xdr:col>11</xdr:col>
                    <xdr:colOff>9525</xdr:colOff>
                    <xdr:row>11</xdr:row>
                    <xdr:rowOff>9525</xdr:rowOff>
                  </from>
                  <to>
                    <xdr:col>11</xdr:col>
                    <xdr:colOff>819150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Fill="0" autoPict="0" macro="[0]!商品別と担当者別の売上集約_応用2">
                <anchor moveWithCells="1" sizeWithCells="1">
                  <from>
                    <xdr:col>12</xdr:col>
                    <xdr:colOff>9525</xdr:colOff>
                    <xdr:row>11</xdr:row>
                    <xdr:rowOff>9525</xdr:rowOff>
                  </from>
                  <to>
                    <xdr:col>12</xdr:col>
                    <xdr:colOff>819150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Button 10">
              <controlPr defaultSize="0" print="0" autoFill="0" autoPict="0" macro="[0]!集計結果のクリア">
                <anchor moveWithCells="1" sizeWithCells="1">
                  <from>
                    <xdr:col>10</xdr:col>
                    <xdr:colOff>9525</xdr:colOff>
                    <xdr:row>15</xdr:row>
                    <xdr:rowOff>9525</xdr:rowOff>
                  </from>
                  <to>
                    <xdr:col>10</xdr:col>
                    <xdr:colOff>819150</xdr:colOff>
                    <xdr:row>16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A128E-ADE1-463F-BD35-787841351F22}">
  <sheetPr codeName="Sheet2"/>
  <dimension ref="A1:D10"/>
  <sheetViews>
    <sheetView workbookViewId="0"/>
  </sheetViews>
  <sheetFormatPr defaultRowHeight="18.75" x14ac:dyDescent="0.4"/>
  <cols>
    <col min="1" max="1" width="11" bestFit="1" customWidth="1"/>
    <col min="2" max="2" width="17.25" bestFit="1" customWidth="1"/>
    <col min="3" max="3" width="8.5" bestFit="1" customWidth="1"/>
    <col min="4" max="4" width="12.5" bestFit="1" customWidth="1"/>
  </cols>
  <sheetData>
    <row r="1" spans="1:4" x14ac:dyDescent="0.4">
      <c r="A1" s="2" t="s">
        <v>36</v>
      </c>
    </row>
    <row r="3" spans="1:4" x14ac:dyDescent="0.4">
      <c r="A3" s="6" t="s">
        <v>4</v>
      </c>
      <c r="B3" s="6" t="s">
        <v>5</v>
      </c>
      <c r="C3" s="6" t="s">
        <v>6</v>
      </c>
      <c r="D3" s="6" t="s">
        <v>35</v>
      </c>
    </row>
    <row r="4" spans="1:4" x14ac:dyDescent="0.4">
      <c r="A4" s="10" t="s">
        <v>17</v>
      </c>
      <c r="B4" s="12" t="s">
        <v>32</v>
      </c>
      <c r="C4" s="13">
        <v>8000</v>
      </c>
      <c r="D4" s="14"/>
    </row>
    <row r="5" spans="1:4" x14ac:dyDescent="0.4">
      <c r="A5" s="10" t="s">
        <v>19</v>
      </c>
      <c r="B5" s="12" t="s">
        <v>33</v>
      </c>
      <c r="C5" s="13">
        <v>10000</v>
      </c>
      <c r="D5" s="14"/>
    </row>
    <row r="6" spans="1:4" x14ac:dyDescent="0.4">
      <c r="A6" s="10" t="s">
        <v>23</v>
      </c>
      <c r="B6" s="12" t="s">
        <v>34</v>
      </c>
      <c r="C6" s="13">
        <v>12500</v>
      </c>
      <c r="D6" s="14"/>
    </row>
    <row r="7" spans="1:4" x14ac:dyDescent="0.4">
      <c r="A7" s="10" t="s">
        <v>25</v>
      </c>
      <c r="B7" s="12" t="s">
        <v>26</v>
      </c>
      <c r="C7" s="13">
        <v>23000</v>
      </c>
      <c r="D7" s="14"/>
    </row>
    <row r="8" spans="1:4" x14ac:dyDescent="0.4">
      <c r="A8" s="10" t="s">
        <v>27</v>
      </c>
      <c r="B8" s="12" t="s">
        <v>28</v>
      </c>
      <c r="C8" s="13">
        <v>40000</v>
      </c>
      <c r="D8" s="14"/>
    </row>
    <row r="9" spans="1:4" ht="19.5" thickBot="1" x14ac:dyDescent="0.45">
      <c r="A9" s="15" t="s">
        <v>21</v>
      </c>
      <c r="B9" s="17" t="s">
        <v>22</v>
      </c>
      <c r="C9" s="18">
        <v>200000</v>
      </c>
      <c r="D9" s="19"/>
    </row>
    <row r="10" spans="1:4" ht="20.25" thickTop="1" thickBot="1" x14ac:dyDescent="0.45">
      <c r="A10" s="3" t="s">
        <v>30</v>
      </c>
      <c r="B10" s="3"/>
      <c r="C10" s="4"/>
      <c r="D10" s="4">
        <f>SUM(D4:D9)</f>
        <v>0</v>
      </c>
    </row>
  </sheetData>
  <phoneticPr fontId="3"/>
  <conditionalFormatting sqref="A4:D10">
    <cfRule type="expression" dxfId="7" priority="1">
      <formula>MOD(ROW(),2)=1</formula>
    </cfRule>
    <cfRule type="expression" dxfId="6" priority="2">
      <formula>MOD(ROW(),2)=0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16A2C-3472-4586-8E17-D3CB47C0CABA}">
  <sheetPr codeName="Sheet3"/>
  <dimension ref="A1:C10"/>
  <sheetViews>
    <sheetView workbookViewId="0"/>
  </sheetViews>
  <sheetFormatPr defaultRowHeight="18.75" x14ac:dyDescent="0.4"/>
  <cols>
    <col min="1" max="1" width="7.125" bestFit="1" customWidth="1"/>
    <col min="2" max="2" width="11" bestFit="1" customWidth="1"/>
    <col min="3" max="3" width="11.875" bestFit="1" customWidth="1"/>
  </cols>
  <sheetData>
    <row r="1" spans="1:3" ht="19.5" x14ac:dyDescent="0.4">
      <c r="A1" s="5" t="s">
        <v>37</v>
      </c>
    </row>
    <row r="3" spans="1:3" x14ac:dyDescent="0.4">
      <c r="A3" s="7" t="s">
        <v>2</v>
      </c>
      <c r="B3" s="7" t="s">
        <v>3</v>
      </c>
      <c r="C3" s="7" t="s">
        <v>35</v>
      </c>
    </row>
    <row r="4" spans="1:3" x14ac:dyDescent="0.4">
      <c r="A4" s="10" t="s">
        <v>8</v>
      </c>
      <c r="B4" s="12" t="s">
        <v>9</v>
      </c>
      <c r="C4" s="20"/>
    </row>
    <row r="5" spans="1:3" x14ac:dyDescent="0.4">
      <c r="A5" s="10" t="s">
        <v>10</v>
      </c>
      <c r="B5" s="12" t="s">
        <v>11</v>
      </c>
      <c r="C5" s="20"/>
    </row>
    <row r="6" spans="1:3" x14ac:dyDescent="0.4">
      <c r="A6" s="10" t="s">
        <v>8</v>
      </c>
      <c r="B6" s="12" t="s">
        <v>12</v>
      </c>
      <c r="C6" s="20"/>
    </row>
    <row r="7" spans="1:3" x14ac:dyDescent="0.4">
      <c r="A7" s="10" t="s">
        <v>13</v>
      </c>
      <c r="B7" s="12" t="s">
        <v>14</v>
      </c>
      <c r="C7" s="20"/>
    </row>
    <row r="8" spans="1:3" x14ac:dyDescent="0.4">
      <c r="A8" s="10" t="s">
        <v>13</v>
      </c>
      <c r="B8" s="12" t="s">
        <v>15</v>
      </c>
      <c r="C8" s="20"/>
    </row>
    <row r="9" spans="1:3" ht="19.5" thickBot="1" x14ac:dyDescent="0.45">
      <c r="A9" s="15" t="s">
        <v>10</v>
      </c>
      <c r="B9" s="17" t="s">
        <v>16</v>
      </c>
      <c r="C9" s="21"/>
    </row>
    <row r="10" spans="1:3" ht="20.25" thickTop="1" thickBot="1" x14ac:dyDescent="0.45">
      <c r="A10" s="3" t="s">
        <v>30</v>
      </c>
      <c r="B10" s="8"/>
      <c r="C10" s="9">
        <f>SUM(C4:C9)</f>
        <v>0</v>
      </c>
    </row>
  </sheetData>
  <phoneticPr fontId="3"/>
  <conditionalFormatting sqref="A4:C10">
    <cfRule type="expression" dxfId="5" priority="1">
      <formula>MOD(ROW(),2)=1</formula>
    </cfRule>
    <cfRule type="expression" dxfId="4" priority="2">
      <formula>MOD(ROW(),2)=0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0D4CB-5800-459F-AA06-658050F87693}">
  <sheetPr codeName="Sheet4"/>
  <dimension ref="A1:D10"/>
  <sheetViews>
    <sheetView workbookViewId="0"/>
  </sheetViews>
  <sheetFormatPr defaultRowHeight="18.75" x14ac:dyDescent="0.4"/>
  <cols>
    <col min="1" max="1" width="11" bestFit="1" customWidth="1"/>
    <col min="2" max="2" width="17.25" bestFit="1" customWidth="1"/>
    <col min="3" max="3" width="8.5" bestFit="1" customWidth="1"/>
    <col min="4" max="4" width="12.5" bestFit="1" customWidth="1"/>
  </cols>
  <sheetData>
    <row r="1" spans="1:4" x14ac:dyDescent="0.4">
      <c r="A1" s="2" t="s">
        <v>36</v>
      </c>
    </row>
    <row r="3" spans="1:4" x14ac:dyDescent="0.4">
      <c r="A3" s="6" t="s">
        <v>4</v>
      </c>
      <c r="B3" s="6" t="s">
        <v>5</v>
      </c>
      <c r="C3" s="6" t="s">
        <v>6</v>
      </c>
      <c r="D3" s="6" t="s">
        <v>35</v>
      </c>
    </row>
    <row r="4" spans="1:4" x14ac:dyDescent="0.4">
      <c r="A4" s="10" t="s">
        <v>17</v>
      </c>
      <c r="B4" s="12" t="s">
        <v>32</v>
      </c>
      <c r="C4" s="13">
        <v>8000</v>
      </c>
      <c r="D4" s="14">
        <f>SUMIF(売上!E:E,A4,売上!I:I)</f>
        <v>3224000</v>
      </c>
    </row>
    <row r="5" spans="1:4" x14ac:dyDescent="0.4">
      <c r="A5" s="10" t="s">
        <v>19</v>
      </c>
      <c r="B5" s="12" t="s">
        <v>33</v>
      </c>
      <c r="C5" s="13">
        <v>10000</v>
      </c>
      <c r="D5" s="14">
        <f>SUMIF(売上!E:E,A5,売上!I:I)</f>
        <v>4600000</v>
      </c>
    </row>
    <row r="6" spans="1:4" x14ac:dyDescent="0.4">
      <c r="A6" s="10" t="s">
        <v>23</v>
      </c>
      <c r="B6" s="12" t="s">
        <v>34</v>
      </c>
      <c r="C6" s="13">
        <v>12500</v>
      </c>
      <c r="D6" s="14">
        <f>SUMIF(売上!E:E,A6,売上!I:I)</f>
        <v>4800000</v>
      </c>
    </row>
    <row r="7" spans="1:4" x14ac:dyDescent="0.4">
      <c r="A7" s="10" t="s">
        <v>25</v>
      </c>
      <c r="B7" s="12" t="s">
        <v>26</v>
      </c>
      <c r="C7" s="13">
        <v>23000</v>
      </c>
      <c r="D7" s="14">
        <f>SUMIF(売上!E:E,A7,売上!I:I)</f>
        <v>4117000</v>
      </c>
    </row>
    <row r="8" spans="1:4" x14ac:dyDescent="0.4">
      <c r="A8" s="10" t="s">
        <v>27</v>
      </c>
      <c r="B8" s="12" t="s">
        <v>28</v>
      </c>
      <c r="C8" s="13">
        <v>40000</v>
      </c>
      <c r="D8" s="14">
        <f>SUMIF(売上!E:E,A8,売上!I:I)</f>
        <v>6520000</v>
      </c>
    </row>
    <row r="9" spans="1:4" ht="19.5" thickBot="1" x14ac:dyDescent="0.45">
      <c r="A9" s="15" t="s">
        <v>21</v>
      </c>
      <c r="B9" s="17" t="s">
        <v>22</v>
      </c>
      <c r="C9" s="18">
        <v>200000</v>
      </c>
      <c r="D9" s="14">
        <f>SUMIF(売上!E:E,A9,売上!I:I)</f>
        <v>6800000</v>
      </c>
    </row>
    <row r="10" spans="1:4" ht="20.25" thickTop="1" thickBot="1" x14ac:dyDescent="0.45">
      <c r="A10" s="3" t="s">
        <v>30</v>
      </c>
      <c r="B10" s="3"/>
      <c r="C10" s="4"/>
      <c r="D10" s="4">
        <f>SUM(D4:D9)</f>
        <v>30061000</v>
      </c>
    </row>
  </sheetData>
  <phoneticPr fontId="3"/>
  <conditionalFormatting sqref="A4:D10">
    <cfRule type="expression" dxfId="3" priority="1">
      <formula>MOD(ROW(),2)=1</formula>
    </cfRule>
    <cfRule type="expression" dxfId="2" priority="2">
      <formula>MOD(ROW(),2)=0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ED8BE-BA6C-4201-B167-5CA0F5CF4963}">
  <sheetPr codeName="Sheet5"/>
  <dimension ref="A1:C10"/>
  <sheetViews>
    <sheetView workbookViewId="0"/>
  </sheetViews>
  <sheetFormatPr defaultRowHeight="18.75" x14ac:dyDescent="0.4"/>
  <cols>
    <col min="1" max="1" width="7.125" bestFit="1" customWidth="1"/>
    <col min="2" max="2" width="11" bestFit="1" customWidth="1"/>
    <col min="3" max="3" width="11.875" bestFit="1" customWidth="1"/>
  </cols>
  <sheetData>
    <row r="1" spans="1:3" ht="19.5" x14ac:dyDescent="0.4">
      <c r="A1" s="5" t="s">
        <v>37</v>
      </c>
    </row>
    <row r="3" spans="1:3" x14ac:dyDescent="0.4">
      <c r="A3" s="7" t="s">
        <v>2</v>
      </c>
      <c r="B3" s="7" t="s">
        <v>3</v>
      </c>
      <c r="C3" s="7" t="s">
        <v>35</v>
      </c>
    </row>
    <row r="4" spans="1:3" x14ac:dyDescent="0.4">
      <c r="A4" s="10" t="s">
        <v>8</v>
      </c>
      <c r="B4" s="12" t="s">
        <v>9</v>
      </c>
      <c r="C4" s="20">
        <f>SUMIF(売上!D:D,B4,売上!I:I)</f>
        <v>4849500</v>
      </c>
    </row>
    <row r="5" spans="1:3" x14ac:dyDescent="0.4">
      <c r="A5" s="10" t="s">
        <v>10</v>
      </c>
      <c r="B5" s="12" t="s">
        <v>11</v>
      </c>
      <c r="C5" s="20">
        <f>SUMIF(売上!D:D,B5,売上!I:I)</f>
        <v>2764000</v>
      </c>
    </row>
    <row r="6" spans="1:3" x14ac:dyDescent="0.4">
      <c r="A6" s="10" t="s">
        <v>8</v>
      </c>
      <c r="B6" s="12" t="s">
        <v>12</v>
      </c>
      <c r="C6" s="20">
        <f>SUMIF(売上!D:D,B6,売上!I:I)</f>
        <v>5112000</v>
      </c>
    </row>
    <row r="7" spans="1:3" x14ac:dyDescent="0.4">
      <c r="A7" s="10" t="s">
        <v>13</v>
      </c>
      <c r="B7" s="12" t="s">
        <v>14</v>
      </c>
      <c r="C7" s="20">
        <f>SUMIF(売上!D:D,B7,売上!I:I)</f>
        <v>7782000</v>
      </c>
    </row>
    <row r="8" spans="1:3" x14ac:dyDescent="0.4">
      <c r="A8" s="10" t="s">
        <v>13</v>
      </c>
      <c r="B8" s="12" t="s">
        <v>15</v>
      </c>
      <c r="C8" s="20">
        <f>SUMIF(売上!D:D,B8,売上!I:I)</f>
        <v>7111500</v>
      </c>
    </row>
    <row r="9" spans="1:3" ht="19.5" thickBot="1" x14ac:dyDescent="0.45">
      <c r="A9" s="15" t="s">
        <v>10</v>
      </c>
      <c r="B9" s="17" t="s">
        <v>16</v>
      </c>
      <c r="C9" s="20">
        <f>SUMIF(売上!D:D,B9,売上!I:I)</f>
        <v>2442000</v>
      </c>
    </row>
    <row r="10" spans="1:3" ht="20.25" thickTop="1" thickBot="1" x14ac:dyDescent="0.45">
      <c r="A10" s="3" t="s">
        <v>30</v>
      </c>
      <c r="B10" s="8"/>
      <c r="C10" s="9">
        <f>SUM(C4:C9)</f>
        <v>30061000</v>
      </c>
    </row>
  </sheetData>
  <phoneticPr fontId="3"/>
  <conditionalFormatting sqref="A4:C10">
    <cfRule type="expression" dxfId="1" priority="1">
      <formula>MOD(ROW(),2)=1</formula>
    </cfRule>
    <cfRule type="expression" dxfId="0" priority="2">
      <formula>MOD(ROW(),2)=0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売上</vt:lpstr>
      <vt:lpstr>商品</vt:lpstr>
      <vt:lpstr>担当者</vt:lpstr>
      <vt:lpstr>商品_VBA不使用 (参考)</vt:lpstr>
      <vt:lpstr>担当者_VBA不使用 (参考)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Hideki Kagaya</dc:creator>
  <cp:lastModifiedBy>Hideki Kagaya</cp:lastModifiedBy>
  <dcterms:created xsi:type="dcterms:W3CDTF">2021-10-19T21:03:16Z</dcterms:created>
  <dcterms:modified xsi:type="dcterms:W3CDTF">2021-10-26T06:41:06Z</dcterms:modified>
</cp:coreProperties>
</file>