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168AB625-AB09-4679-9F87-2ADED5D1A0E7}" xr6:coauthVersionLast="47" xr6:coauthVersionMax="47" xr10:uidLastSave="{00000000-0000-0000-0000-000000000000}"/>
  <bookViews>
    <workbookView xWindow="-120" yWindow="-120" windowWidth="19440" windowHeight="15000" xr2:uid="{894D917C-3224-4C1C-A185-F6C458EA1A6C}"/>
  </bookViews>
  <sheets>
    <sheet name="訓練データ" sheetId="2" r:id="rId1"/>
    <sheet name="テストデータ" sheetId="3" r:id="rId2"/>
    <sheet name="訓練データ(加工後&amp;ロジスティック回帰)" sheetId="4" r:id="rId3"/>
    <sheet name="テストデータ(加工後&amp;ロジスティック回帰)" sheetId="5" r:id="rId4"/>
    <sheet name="CSV出力用" sheetId="6" r:id="rId5"/>
  </sheets>
  <definedNames>
    <definedName name="solver_adj" localSheetId="2" hidden="1">'訓練データ(加工後&amp;ロジスティック回帰)'!$B$1:$M$1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'訓練データ(加工後&amp;ロジスティック回帰)'!$Q$1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M6" i="3"/>
  <c r="M5" i="3"/>
  <c r="M4" i="3"/>
  <c r="M3" i="3"/>
  <c r="A2" i="6" a="1"/>
  <c r="A2" i="6" s="1"/>
  <c r="B1" i="5" a="1"/>
  <c r="B1" i="5" s="1"/>
  <c r="O32" i="5" s="1"/>
  <c r="N32" i="5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2" i="3"/>
  <c r="X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T2" i="3"/>
  <c r="U2" i="3"/>
  <c r="S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2" i="3"/>
  <c r="O350" i="5" l="1"/>
  <c r="N350" i="5" s="1"/>
  <c r="O9" i="5"/>
  <c r="N9" i="5" s="1"/>
  <c r="O17" i="5"/>
  <c r="N17" i="5" s="1"/>
  <c r="O25" i="5"/>
  <c r="N25" i="5" s="1"/>
  <c r="O33" i="5"/>
  <c r="N33" i="5" s="1"/>
  <c r="O41" i="5"/>
  <c r="N41" i="5" s="1"/>
  <c r="O49" i="5"/>
  <c r="N49" i="5" s="1"/>
  <c r="O57" i="5"/>
  <c r="N57" i="5" s="1"/>
  <c r="O65" i="5"/>
  <c r="N65" i="5" s="1"/>
  <c r="O73" i="5"/>
  <c r="N73" i="5" s="1"/>
  <c r="O81" i="5"/>
  <c r="N81" i="5" s="1"/>
  <c r="O89" i="5"/>
  <c r="N89" i="5" s="1"/>
  <c r="O97" i="5"/>
  <c r="N97" i="5" s="1"/>
  <c r="O105" i="5"/>
  <c r="N105" i="5" s="1"/>
  <c r="O113" i="5"/>
  <c r="N113" i="5" s="1"/>
  <c r="O121" i="5"/>
  <c r="N121" i="5" s="1"/>
  <c r="O129" i="5"/>
  <c r="N129" i="5" s="1"/>
  <c r="O137" i="5"/>
  <c r="N137" i="5" s="1"/>
  <c r="O145" i="5"/>
  <c r="N145" i="5" s="1"/>
  <c r="O153" i="5"/>
  <c r="N153" i="5" s="1"/>
  <c r="O161" i="5"/>
  <c r="N161" i="5" s="1"/>
  <c r="O169" i="5"/>
  <c r="N169" i="5" s="1"/>
  <c r="O177" i="5"/>
  <c r="N177" i="5" s="1"/>
  <c r="O185" i="5"/>
  <c r="N185" i="5" s="1"/>
  <c r="O193" i="5"/>
  <c r="N193" i="5" s="1"/>
  <c r="O201" i="5"/>
  <c r="N201" i="5" s="1"/>
  <c r="O209" i="5"/>
  <c r="N209" i="5" s="1"/>
  <c r="O217" i="5"/>
  <c r="N217" i="5" s="1"/>
  <c r="O10" i="5"/>
  <c r="N10" i="5" s="1"/>
  <c r="O18" i="5"/>
  <c r="N18" i="5" s="1"/>
  <c r="O26" i="5"/>
  <c r="N26" i="5" s="1"/>
  <c r="O34" i="5"/>
  <c r="N34" i="5" s="1"/>
  <c r="O42" i="5"/>
  <c r="N42" i="5" s="1"/>
  <c r="O50" i="5"/>
  <c r="N50" i="5" s="1"/>
  <c r="O58" i="5"/>
  <c r="N58" i="5" s="1"/>
  <c r="O66" i="5"/>
  <c r="N66" i="5" s="1"/>
  <c r="O74" i="5"/>
  <c r="N74" i="5" s="1"/>
  <c r="O82" i="5"/>
  <c r="N82" i="5" s="1"/>
  <c r="O90" i="5"/>
  <c r="N90" i="5" s="1"/>
  <c r="O98" i="5"/>
  <c r="N98" i="5" s="1"/>
  <c r="O106" i="5"/>
  <c r="N106" i="5" s="1"/>
  <c r="O114" i="5"/>
  <c r="N114" i="5" s="1"/>
  <c r="O122" i="5"/>
  <c r="N122" i="5" s="1"/>
  <c r="O130" i="5"/>
  <c r="N130" i="5" s="1"/>
  <c r="O138" i="5"/>
  <c r="N138" i="5" s="1"/>
  <c r="O146" i="5"/>
  <c r="N146" i="5" s="1"/>
  <c r="O154" i="5"/>
  <c r="N154" i="5" s="1"/>
  <c r="O162" i="5"/>
  <c r="N162" i="5" s="1"/>
  <c r="O170" i="5"/>
  <c r="N170" i="5" s="1"/>
  <c r="O178" i="5"/>
  <c r="N178" i="5" s="1"/>
  <c r="O186" i="5"/>
  <c r="N186" i="5" s="1"/>
  <c r="O194" i="5"/>
  <c r="N194" i="5" s="1"/>
  <c r="O202" i="5"/>
  <c r="N202" i="5" s="1"/>
  <c r="O210" i="5"/>
  <c r="N210" i="5" s="1"/>
  <c r="O218" i="5"/>
  <c r="N218" i="5" s="1"/>
  <c r="O226" i="5"/>
  <c r="N226" i="5" s="1"/>
  <c r="O234" i="5"/>
  <c r="N234" i="5" s="1"/>
  <c r="O242" i="5"/>
  <c r="N242" i="5" s="1"/>
  <c r="O250" i="5"/>
  <c r="N250" i="5" s="1"/>
  <c r="O258" i="5"/>
  <c r="N258" i="5" s="1"/>
  <c r="O4" i="5"/>
  <c r="N4" i="5" s="1"/>
  <c r="O12" i="5"/>
  <c r="N12" i="5" s="1"/>
  <c r="O20" i="5"/>
  <c r="N20" i="5" s="1"/>
  <c r="O28" i="5"/>
  <c r="N28" i="5" s="1"/>
  <c r="O36" i="5"/>
  <c r="N36" i="5" s="1"/>
  <c r="O44" i="5"/>
  <c r="N44" i="5" s="1"/>
  <c r="O52" i="5"/>
  <c r="N52" i="5" s="1"/>
  <c r="O60" i="5"/>
  <c r="N60" i="5" s="1"/>
  <c r="O68" i="5"/>
  <c r="N68" i="5" s="1"/>
  <c r="O76" i="5"/>
  <c r="N76" i="5" s="1"/>
  <c r="O84" i="5"/>
  <c r="N84" i="5" s="1"/>
  <c r="O92" i="5"/>
  <c r="N92" i="5" s="1"/>
  <c r="O100" i="5"/>
  <c r="N100" i="5" s="1"/>
  <c r="O108" i="5"/>
  <c r="N108" i="5" s="1"/>
  <c r="O116" i="5"/>
  <c r="N116" i="5" s="1"/>
  <c r="O124" i="5"/>
  <c r="N124" i="5" s="1"/>
  <c r="O132" i="5"/>
  <c r="N132" i="5" s="1"/>
  <c r="O140" i="5"/>
  <c r="N140" i="5" s="1"/>
  <c r="O5" i="5"/>
  <c r="N5" i="5" s="1"/>
  <c r="O13" i="5"/>
  <c r="N13" i="5" s="1"/>
  <c r="O21" i="5"/>
  <c r="N21" i="5" s="1"/>
  <c r="O29" i="5"/>
  <c r="N29" i="5" s="1"/>
  <c r="O37" i="5"/>
  <c r="N37" i="5" s="1"/>
  <c r="O45" i="5"/>
  <c r="N45" i="5" s="1"/>
  <c r="O53" i="5"/>
  <c r="N53" i="5" s="1"/>
  <c r="O61" i="5"/>
  <c r="N61" i="5" s="1"/>
  <c r="O69" i="5"/>
  <c r="N69" i="5" s="1"/>
  <c r="O77" i="5"/>
  <c r="N77" i="5" s="1"/>
  <c r="O85" i="5"/>
  <c r="N85" i="5" s="1"/>
  <c r="O93" i="5"/>
  <c r="N93" i="5" s="1"/>
  <c r="O101" i="5"/>
  <c r="N101" i="5" s="1"/>
  <c r="O109" i="5"/>
  <c r="N109" i="5" s="1"/>
  <c r="O117" i="5"/>
  <c r="N117" i="5" s="1"/>
  <c r="O125" i="5"/>
  <c r="N125" i="5" s="1"/>
  <c r="O133" i="5"/>
  <c r="N133" i="5" s="1"/>
  <c r="O141" i="5"/>
  <c r="N141" i="5" s="1"/>
  <c r="O149" i="5"/>
  <c r="N149" i="5" s="1"/>
  <c r="O157" i="5"/>
  <c r="N157" i="5" s="1"/>
  <c r="O6" i="5"/>
  <c r="N6" i="5" s="1"/>
  <c r="O14" i="5"/>
  <c r="N14" i="5" s="1"/>
  <c r="O22" i="5"/>
  <c r="N22" i="5" s="1"/>
  <c r="O30" i="5"/>
  <c r="N30" i="5" s="1"/>
  <c r="O38" i="5"/>
  <c r="N38" i="5" s="1"/>
  <c r="O46" i="5"/>
  <c r="N46" i="5" s="1"/>
  <c r="O54" i="5"/>
  <c r="N54" i="5" s="1"/>
  <c r="O62" i="5"/>
  <c r="N62" i="5" s="1"/>
  <c r="O70" i="5"/>
  <c r="N70" i="5" s="1"/>
  <c r="O78" i="5"/>
  <c r="N78" i="5" s="1"/>
  <c r="O86" i="5"/>
  <c r="N86" i="5" s="1"/>
  <c r="O94" i="5"/>
  <c r="N94" i="5" s="1"/>
  <c r="O102" i="5"/>
  <c r="N102" i="5" s="1"/>
  <c r="O110" i="5"/>
  <c r="N110" i="5" s="1"/>
  <c r="O118" i="5"/>
  <c r="N118" i="5" s="1"/>
  <c r="O126" i="5"/>
  <c r="N126" i="5" s="1"/>
  <c r="O134" i="5"/>
  <c r="N134" i="5" s="1"/>
  <c r="O142" i="5"/>
  <c r="N142" i="5" s="1"/>
  <c r="O7" i="5"/>
  <c r="N7" i="5" s="1"/>
  <c r="O15" i="5"/>
  <c r="N15" i="5" s="1"/>
  <c r="O23" i="5"/>
  <c r="N23" i="5" s="1"/>
  <c r="O31" i="5"/>
  <c r="N31" i="5" s="1"/>
  <c r="O39" i="5"/>
  <c r="N39" i="5" s="1"/>
  <c r="O47" i="5"/>
  <c r="N47" i="5" s="1"/>
  <c r="O55" i="5"/>
  <c r="N55" i="5" s="1"/>
  <c r="O63" i="5"/>
  <c r="N63" i="5" s="1"/>
  <c r="O71" i="5"/>
  <c r="N71" i="5" s="1"/>
  <c r="O79" i="5"/>
  <c r="N79" i="5" s="1"/>
  <c r="O87" i="5"/>
  <c r="N87" i="5" s="1"/>
  <c r="O95" i="5"/>
  <c r="N95" i="5" s="1"/>
  <c r="O103" i="5"/>
  <c r="N103" i="5" s="1"/>
  <c r="O111" i="5"/>
  <c r="N111" i="5" s="1"/>
  <c r="O119" i="5"/>
  <c r="N119" i="5" s="1"/>
  <c r="O127" i="5"/>
  <c r="N127" i="5" s="1"/>
  <c r="O135" i="5"/>
  <c r="N135" i="5" s="1"/>
  <c r="O143" i="5"/>
  <c r="N143" i="5" s="1"/>
  <c r="O151" i="5"/>
  <c r="N151" i="5" s="1"/>
  <c r="O159" i="5"/>
  <c r="N159" i="5" s="1"/>
  <c r="O167" i="5"/>
  <c r="N167" i="5" s="1"/>
  <c r="O175" i="5"/>
  <c r="N175" i="5" s="1"/>
  <c r="O183" i="5"/>
  <c r="N183" i="5" s="1"/>
  <c r="O191" i="5"/>
  <c r="N191" i="5" s="1"/>
  <c r="O199" i="5"/>
  <c r="N199" i="5" s="1"/>
  <c r="O207" i="5"/>
  <c r="N207" i="5" s="1"/>
  <c r="O215" i="5"/>
  <c r="N215" i="5" s="1"/>
  <c r="O223" i="5"/>
  <c r="N223" i="5" s="1"/>
  <c r="O231" i="5"/>
  <c r="N231" i="5" s="1"/>
  <c r="O239" i="5"/>
  <c r="N239" i="5" s="1"/>
  <c r="O247" i="5"/>
  <c r="N247" i="5" s="1"/>
  <c r="O255" i="5"/>
  <c r="N255" i="5" s="1"/>
  <c r="O263" i="5"/>
  <c r="N263" i="5" s="1"/>
  <c r="O406" i="5"/>
  <c r="N406" i="5" s="1"/>
  <c r="O374" i="5"/>
  <c r="N374" i="5" s="1"/>
  <c r="O326" i="5"/>
  <c r="N326" i="5" s="1"/>
  <c r="O294" i="5"/>
  <c r="N294" i="5" s="1"/>
  <c r="O270" i="5"/>
  <c r="N270" i="5" s="1"/>
  <c r="O229" i="5"/>
  <c r="N229" i="5" s="1"/>
  <c r="O180" i="5"/>
  <c r="N180" i="5" s="1"/>
  <c r="O96" i="5"/>
  <c r="N96" i="5" s="1"/>
  <c r="O405" i="5"/>
  <c r="N405" i="5" s="1"/>
  <c r="O389" i="5"/>
  <c r="N389" i="5" s="1"/>
  <c r="O357" i="5"/>
  <c r="N357" i="5" s="1"/>
  <c r="O325" i="5"/>
  <c r="N325" i="5" s="1"/>
  <c r="O293" i="5"/>
  <c r="N293" i="5" s="1"/>
  <c r="O260" i="5"/>
  <c r="N260" i="5" s="1"/>
  <c r="O204" i="5"/>
  <c r="N204" i="5" s="1"/>
  <c r="O150" i="5"/>
  <c r="N150" i="5" s="1"/>
  <c r="O59" i="5"/>
  <c r="N59" i="5" s="1"/>
  <c r="O420" i="5"/>
  <c r="N420" i="5" s="1"/>
  <c r="O412" i="5"/>
  <c r="N412" i="5" s="1"/>
  <c r="O404" i="5"/>
  <c r="N404" i="5" s="1"/>
  <c r="O396" i="5"/>
  <c r="N396" i="5" s="1"/>
  <c r="O388" i="5"/>
  <c r="N388" i="5" s="1"/>
  <c r="O380" i="5"/>
  <c r="N380" i="5" s="1"/>
  <c r="O372" i="5"/>
  <c r="N372" i="5" s="1"/>
  <c r="O364" i="5"/>
  <c r="N364" i="5" s="1"/>
  <c r="O356" i="5"/>
  <c r="N356" i="5" s="1"/>
  <c r="O348" i="5"/>
  <c r="N348" i="5" s="1"/>
  <c r="O340" i="5"/>
  <c r="N340" i="5" s="1"/>
  <c r="O332" i="5"/>
  <c r="N332" i="5" s="1"/>
  <c r="O324" i="5"/>
  <c r="N324" i="5" s="1"/>
  <c r="O316" i="5"/>
  <c r="N316" i="5" s="1"/>
  <c r="O308" i="5"/>
  <c r="N308" i="5" s="1"/>
  <c r="O300" i="5"/>
  <c r="N300" i="5" s="1"/>
  <c r="O292" i="5"/>
  <c r="N292" i="5" s="1"/>
  <c r="O284" i="5"/>
  <c r="N284" i="5" s="1"/>
  <c r="O276" i="5"/>
  <c r="N276" i="5" s="1"/>
  <c r="O268" i="5"/>
  <c r="N268" i="5" s="1"/>
  <c r="O259" i="5"/>
  <c r="N259" i="5" s="1"/>
  <c r="O248" i="5"/>
  <c r="N248" i="5" s="1"/>
  <c r="O237" i="5"/>
  <c r="N237" i="5" s="1"/>
  <c r="O227" i="5"/>
  <c r="N227" i="5" s="1"/>
  <c r="O214" i="5"/>
  <c r="N214" i="5" s="1"/>
  <c r="O203" i="5"/>
  <c r="N203" i="5" s="1"/>
  <c r="O189" i="5"/>
  <c r="N189" i="5" s="1"/>
  <c r="O176" i="5"/>
  <c r="N176" i="5" s="1"/>
  <c r="O164" i="5"/>
  <c r="N164" i="5" s="1"/>
  <c r="O148" i="5"/>
  <c r="N148" i="5" s="1"/>
  <c r="O120" i="5"/>
  <c r="N120" i="5" s="1"/>
  <c r="O88" i="5"/>
  <c r="N88" i="5" s="1"/>
  <c r="O56" i="5"/>
  <c r="N56" i="5" s="1"/>
  <c r="O24" i="5"/>
  <c r="N24" i="5" s="1"/>
  <c r="O398" i="5"/>
  <c r="N398" i="5" s="1"/>
  <c r="O358" i="5"/>
  <c r="N358" i="5" s="1"/>
  <c r="O318" i="5"/>
  <c r="N318" i="5" s="1"/>
  <c r="O278" i="5"/>
  <c r="N278" i="5" s="1"/>
  <c r="O240" i="5"/>
  <c r="N240" i="5" s="1"/>
  <c r="O205" i="5"/>
  <c r="N205" i="5" s="1"/>
  <c r="O128" i="5"/>
  <c r="N128" i="5" s="1"/>
  <c r="O3" i="5"/>
  <c r="N3" i="5" s="1"/>
  <c r="O381" i="5"/>
  <c r="N381" i="5" s="1"/>
  <c r="O333" i="5"/>
  <c r="N333" i="5" s="1"/>
  <c r="O301" i="5"/>
  <c r="N301" i="5" s="1"/>
  <c r="O277" i="5"/>
  <c r="N277" i="5" s="1"/>
  <c r="O228" i="5"/>
  <c r="N228" i="5" s="1"/>
  <c r="O190" i="5"/>
  <c r="N190" i="5" s="1"/>
  <c r="O91" i="5"/>
  <c r="N91" i="5" s="1"/>
  <c r="O419" i="5"/>
  <c r="N419" i="5" s="1"/>
  <c r="O411" i="5"/>
  <c r="N411" i="5" s="1"/>
  <c r="O403" i="5"/>
  <c r="N403" i="5" s="1"/>
  <c r="O395" i="5"/>
  <c r="N395" i="5" s="1"/>
  <c r="O387" i="5"/>
  <c r="N387" i="5" s="1"/>
  <c r="O379" i="5"/>
  <c r="N379" i="5" s="1"/>
  <c r="O371" i="5"/>
  <c r="N371" i="5" s="1"/>
  <c r="O363" i="5"/>
  <c r="N363" i="5" s="1"/>
  <c r="O355" i="5"/>
  <c r="N355" i="5" s="1"/>
  <c r="O347" i="5"/>
  <c r="N347" i="5" s="1"/>
  <c r="O339" i="5"/>
  <c r="N339" i="5" s="1"/>
  <c r="O331" i="5"/>
  <c r="N331" i="5" s="1"/>
  <c r="O323" i="5"/>
  <c r="N323" i="5" s="1"/>
  <c r="O315" i="5"/>
  <c r="N315" i="5" s="1"/>
  <c r="O307" i="5"/>
  <c r="N307" i="5" s="1"/>
  <c r="O299" i="5"/>
  <c r="N299" i="5" s="1"/>
  <c r="O291" i="5"/>
  <c r="N291" i="5" s="1"/>
  <c r="O283" i="5"/>
  <c r="N283" i="5" s="1"/>
  <c r="O275" i="5"/>
  <c r="N275" i="5" s="1"/>
  <c r="O267" i="5"/>
  <c r="N267" i="5" s="1"/>
  <c r="O257" i="5"/>
  <c r="N257" i="5" s="1"/>
  <c r="O246" i="5"/>
  <c r="N246" i="5" s="1"/>
  <c r="O236" i="5"/>
  <c r="N236" i="5" s="1"/>
  <c r="O225" i="5"/>
  <c r="N225" i="5" s="1"/>
  <c r="O213" i="5"/>
  <c r="N213" i="5" s="1"/>
  <c r="O200" i="5"/>
  <c r="N200" i="5" s="1"/>
  <c r="O188" i="5"/>
  <c r="N188" i="5" s="1"/>
  <c r="O174" i="5"/>
  <c r="N174" i="5" s="1"/>
  <c r="O163" i="5"/>
  <c r="N163" i="5" s="1"/>
  <c r="O147" i="5"/>
  <c r="N147" i="5" s="1"/>
  <c r="O115" i="5"/>
  <c r="N115" i="5" s="1"/>
  <c r="O83" i="5"/>
  <c r="N83" i="5" s="1"/>
  <c r="O51" i="5"/>
  <c r="N51" i="5" s="1"/>
  <c r="O19" i="5"/>
  <c r="N19" i="5" s="1"/>
  <c r="O382" i="5"/>
  <c r="N382" i="5" s="1"/>
  <c r="O342" i="5"/>
  <c r="N342" i="5" s="1"/>
  <c r="O310" i="5"/>
  <c r="N310" i="5" s="1"/>
  <c r="O286" i="5"/>
  <c r="N286" i="5" s="1"/>
  <c r="O251" i="5"/>
  <c r="N251" i="5" s="1"/>
  <c r="O192" i="5"/>
  <c r="N192" i="5" s="1"/>
  <c r="O152" i="5"/>
  <c r="N152" i="5" s="1"/>
  <c r="O413" i="5"/>
  <c r="N413" i="5" s="1"/>
  <c r="O373" i="5"/>
  <c r="N373" i="5" s="1"/>
  <c r="O341" i="5"/>
  <c r="N341" i="5" s="1"/>
  <c r="O309" i="5"/>
  <c r="N309" i="5" s="1"/>
  <c r="O269" i="5"/>
  <c r="N269" i="5" s="1"/>
  <c r="O238" i="5"/>
  <c r="N238" i="5" s="1"/>
  <c r="O179" i="5"/>
  <c r="N179" i="5" s="1"/>
  <c r="O123" i="5"/>
  <c r="N123" i="5" s="1"/>
  <c r="O418" i="5"/>
  <c r="N418" i="5" s="1"/>
  <c r="O410" i="5"/>
  <c r="N410" i="5" s="1"/>
  <c r="O402" i="5"/>
  <c r="N402" i="5" s="1"/>
  <c r="O394" i="5"/>
  <c r="N394" i="5" s="1"/>
  <c r="O386" i="5"/>
  <c r="N386" i="5" s="1"/>
  <c r="O378" i="5"/>
  <c r="N378" i="5" s="1"/>
  <c r="O370" i="5"/>
  <c r="N370" i="5" s="1"/>
  <c r="O362" i="5"/>
  <c r="N362" i="5" s="1"/>
  <c r="O354" i="5"/>
  <c r="N354" i="5" s="1"/>
  <c r="O346" i="5"/>
  <c r="N346" i="5" s="1"/>
  <c r="O338" i="5"/>
  <c r="N338" i="5" s="1"/>
  <c r="O330" i="5"/>
  <c r="N330" i="5" s="1"/>
  <c r="O322" i="5"/>
  <c r="N322" i="5" s="1"/>
  <c r="O314" i="5"/>
  <c r="N314" i="5" s="1"/>
  <c r="O306" i="5"/>
  <c r="N306" i="5" s="1"/>
  <c r="O298" i="5"/>
  <c r="N298" i="5" s="1"/>
  <c r="O290" i="5"/>
  <c r="N290" i="5" s="1"/>
  <c r="O282" i="5"/>
  <c r="N282" i="5" s="1"/>
  <c r="O274" i="5"/>
  <c r="N274" i="5" s="1"/>
  <c r="O266" i="5"/>
  <c r="N266" i="5" s="1"/>
  <c r="O256" i="5"/>
  <c r="N256" i="5" s="1"/>
  <c r="O245" i="5"/>
  <c r="N245" i="5" s="1"/>
  <c r="O235" i="5"/>
  <c r="N235" i="5" s="1"/>
  <c r="O224" i="5"/>
  <c r="N224" i="5" s="1"/>
  <c r="O212" i="5"/>
  <c r="N212" i="5" s="1"/>
  <c r="O198" i="5"/>
  <c r="N198" i="5" s="1"/>
  <c r="O187" i="5"/>
  <c r="N187" i="5" s="1"/>
  <c r="O173" i="5"/>
  <c r="N173" i="5" s="1"/>
  <c r="O160" i="5"/>
  <c r="N160" i="5" s="1"/>
  <c r="O144" i="5"/>
  <c r="N144" i="5" s="1"/>
  <c r="O112" i="5"/>
  <c r="N112" i="5" s="1"/>
  <c r="O80" i="5"/>
  <c r="N80" i="5" s="1"/>
  <c r="O48" i="5"/>
  <c r="N48" i="5" s="1"/>
  <c r="O16" i="5"/>
  <c r="N16" i="5" s="1"/>
  <c r="O417" i="5"/>
  <c r="N417" i="5" s="1"/>
  <c r="O409" i="5"/>
  <c r="N409" i="5" s="1"/>
  <c r="O401" i="5"/>
  <c r="N401" i="5" s="1"/>
  <c r="O393" i="5"/>
  <c r="N393" i="5" s="1"/>
  <c r="O385" i="5"/>
  <c r="N385" i="5" s="1"/>
  <c r="O377" i="5"/>
  <c r="N377" i="5" s="1"/>
  <c r="O369" i="5"/>
  <c r="N369" i="5" s="1"/>
  <c r="O361" i="5"/>
  <c r="N361" i="5" s="1"/>
  <c r="O353" i="5"/>
  <c r="N353" i="5" s="1"/>
  <c r="O345" i="5"/>
  <c r="N345" i="5" s="1"/>
  <c r="O337" i="5"/>
  <c r="N337" i="5" s="1"/>
  <c r="O329" i="5"/>
  <c r="N329" i="5" s="1"/>
  <c r="O321" i="5"/>
  <c r="N321" i="5" s="1"/>
  <c r="O313" i="5"/>
  <c r="N313" i="5" s="1"/>
  <c r="O305" i="5"/>
  <c r="N305" i="5" s="1"/>
  <c r="O297" i="5"/>
  <c r="N297" i="5" s="1"/>
  <c r="O289" i="5"/>
  <c r="N289" i="5" s="1"/>
  <c r="O281" i="5"/>
  <c r="N281" i="5" s="1"/>
  <c r="O273" i="5"/>
  <c r="N273" i="5" s="1"/>
  <c r="O265" i="5"/>
  <c r="N265" i="5" s="1"/>
  <c r="O254" i="5"/>
  <c r="N254" i="5" s="1"/>
  <c r="O244" i="5"/>
  <c r="N244" i="5" s="1"/>
  <c r="O233" i="5"/>
  <c r="N233" i="5" s="1"/>
  <c r="O222" i="5"/>
  <c r="N222" i="5" s="1"/>
  <c r="O211" i="5"/>
  <c r="N211" i="5" s="1"/>
  <c r="O197" i="5"/>
  <c r="N197" i="5" s="1"/>
  <c r="O184" i="5"/>
  <c r="N184" i="5" s="1"/>
  <c r="O172" i="5"/>
  <c r="N172" i="5" s="1"/>
  <c r="O158" i="5"/>
  <c r="N158" i="5" s="1"/>
  <c r="O139" i="5"/>
  <c r="N139" i="5" s="1"/>
  <c r="O107" i="5"/>
  <c r="N107" i="5" s="1"/>
  <c r="O75" i="5"/>
  <c r="N75" i="5" s="1"/>
  <c r="O43" i="5"/>
  <c r="N43" i="5" s="1"/>
  <c r="O11" i="5"/>
  <c r="N11" i="5" s="1"/>
  <c r="O416" i="5"/>
  <c r="N416" i="5" s="1"/>
  <c r="O408" i="5"/>
  <c r="N408" i="5" s="1"/>
  <c r="O400" i="5"/>
  <c r="N400" i="5" s="1"/>
  <c r="O392" i="5"/>
  <c r="N392" i="5" s="1"/>
  <c r="O384" i="5"/>
  <c r="N384" i="5" s="1"/>
  <c r="O376" i="5"/>
  <c r="N376" i="5" s="1"/>
  <c r="O368" i="5"/>
  <c r="N368" i="5" s="1"/>
  <c r="O360" i="5"/>
  <c r="N360" i="5" s="1"/>
  <c r="O352" i="5"/>
  <c r="N352" i="5" s="1"/>
  <c r="O344" i="5"/>
  <c r="N344" i="5" s="1"/>
  <c r="O336" i="5"/>
  <c r="N336" i="5" s="1"/>
  <c r="O328" i="5"/>
  <c r="N328" i="5" s="1"/>
  <c r="O320" i="5"/>
  <c r="N320" i="5" s="1"/>
  <c r="O312" i="5"/>
  <c r="N312" i="5" s="1"/>
  <c r="O304" i="5"/>
  <c r="N304" i="5" s="1"/>
  <c r="O296" i="5"/>
  <c r="N296" i="5" s="1"/>
  <c r="O288" i="5"/>
  <c r="N288" i="5" s="1"/>
  <c r="O280" i="5"/>
  <c r="N280" i="5" s="1"/>
  <c r="O272" i="5"/>
  <c r="N272" i="5" s="1"/>
  <c r="O264" i="5"/>
  <c r="N264" i="5" s="1"/>
  <c r="O253" i="5"/>
  <c r="N253" i="5" s="1"/>
  <c r="O243" i="5"/>
  <c r="N243" i="5" s="1"/>
  <c r="O232" i="5"/>
  <c r="N232" i="5" s="1"/>
  <c r="O221" i="5"/>
  <c r="N221" i="5" s="1"/>
  <c r="O208" i="5"/>
  <c r="N208" i="5" s="1"/>
  <c r="O196" i="5"/>
  <c r="N196" i="5" s="1"/>
  <c r="O182" i="5"/>
  <c r="N182" i="5" s="1"/>
  <c r="O171" i="5"/>
  <c r="N171" i="5" s="1"/>
  <c r="O156" i="5"/>
  <c r="N156" i="5" s="1"/>
  <c r="O136" i="5"/>
  <c r="N136" i="5" s="1"/>
  <c r="O104" i="5"/>
  <c r="N104" i="5" s="1"/>
  <c r="O72" i="5"/>
  <c r="N72" i="5" s="1"/>
  <c r="O40" i="5"/>
  <c r="N40" i="5" s="1"/>
  <c r="O8" i="5"/>
  <c r="N8" i="5" s="1"/>
  <c r="O414" i="5"/>
  <c r="N414" i="5" s="1"/>
  <c r="O390" i="5"/>
  <c r="N390" i="5" s="1"/>
  <c r="O366" i="5"/>
  <c r="N366" i="5" s="1"/>
  <c r="O334" i="5"/>
  <c r="N334" i="5" s="1"/>
  <c r="O302" i="5"/>
  <c r="N302" i="5" s="1"/>
  <c r="O261" i="5"/>
  <c r="N261" i="5" s="1"/>
  <c r="O219" i="5"/>
  <c r="N219" i="5" s="1"/>
  <c r="O166" i="5"/>
  <c r="N166" i="5" s="1"/>
  <c r="O64" i="5"/>
  <c r="N64" i="5" s="1"/>
  <c r="O397" i="5"/>
  <c r="N397" i="5" s="1"/>
  <c r="O365" i="5"/>
  <c r="N365" i="5" s="1"/>
  <c r="O349" i="5"/>
  <c r="N349" i="5" s="1"/>
  <c r="O317" i="5"/>
  <c r="N317" i="5" s="1"/>
  <c r="O285" i="5"/>
  <c r="N285" i="5" s="1"/>
  <c r="O249" i="5"/>
  <c r="N249" i="5" s="1"/>
  <c r="O216" i="5"/>
  <c r="N216" i="5" s="1"/>
  <c r="O165" i="5"/>
  <c r="N165" i="5" s="1"/>
  <c r="O27" i="5"/>
  <c r="N27" i="5" s="1"/>
  <c r="O415" i="5"/>
  <c r="N415" i="5" s="1"/>
  <c r="O407" i="5"/>
  <c r="N407" i="5" s="1"/>
  <c r="O399" i="5"/>
  <c r="N399" i="5" s="1"/>
  <c r="O391" i="5"/>
  <c r="N391" i="5" s="1"/>
  <c r="O383" i="5"/>
  <c r="N383" i="5" s="1"/>
  <c r="O375" i="5"/>
  <c r="N375" i="5" s="1"/>
  <c r="O367" i="5"/>
  <c r="N367" i="5" s="1"/>
  <c r="O359" i="5"/>
  <c r="N359" i="5" s="1"/>
  <c r="O351" i="5"/>
  <c r="N351" i="5" s="1"/>
  <c r="O343" i="5"/>
  <c r="N343" i="5" s="1"/>
  <c r="O335" i="5"/>
  <c r="N335" i="5" s="1"/>
  <c r="O327" i="5"/>
  <c r="N327" i="5" s="1"/>
  <c r="O319" i="5"/>
  <c r="N319" i="5" s="1"/>
  <c r="O311" i="5"/>
  <c r="N311" i="5" s="1"/>
  <c r="O303" i="5"/>
  <c r="N303" i="5" s="1"/>
  <c r="O295" i="5"/>
  <c r="N295" i="5" s="1"/>
  <c r="O287" i="5"/>
  <c r="N287" i="5" s="1"/>
  <c r="O279" i="5"/>
  <c r="N279" i="5" s="1"/>
  <c r="O271" i="5"/>
  <c r="N271" i="5" s="1"/>
  <c r="O262" i="5"/>
  <c r="N262" i="5" s="1"/>
  <c r="O252" i="5"/>
  <c r="N252" i="5" s="1"/>
  <c r="O241" i="5"/>
  <c r="N241" i="5" s="1"/>
  <c r="O230" i="5"/>
  <c r="N230" i="5" s="1"/>
  <c r="O220" i="5"/>
  <c r="N220" i="5" s="1"/>
  <c r="O206" i="5"/>
  <c r="N206" i="5" s="1"/>
  <c r="O195" i="5"/>
  <c r="N195" i="5" s="1"/>
  <c r="O181" i="5"/>
  <c r="N181" i="5" s="1"/>
  <c r="O168" i="5"/>
  <c r="N168" i="5" s="1"/>
  <c r="O155" i="5"/>
  <c r="N155" i="5" s="1"/>
  <c r="O131" i="5"/>
  <c r="N131" i="5" s="1"/>
  <c r="O99" i="5"/>
  <c r="N99" i="5" s="1"/>
  <c r="O67" i="5"/>
  <c r="N67" i="5" s="1"/>
  <c r="O35" i="5"/>
  <c r="N35" i="5" s="1"/>
  <c r="P4" i="4"/>
  <c r="Q4" i="4" s="1"/>
  <c r="P5" i="4"/>
  <c r="Q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Q15" i="4" s="1"/>
  <c r="P16" i="4"/>
  <c r="Q16" i="4" s="1"/>
  <c r="P17" i="4"/>
  <c r="Q17" i="4" s="1"/>
  <c r="P18" i="4"/>
  <c r="Q18" i="4" s="1"/>
  <c r="P19" i="4"/>
  <c r="Q19" i="4" s="1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33" i="4"/>
  <c r="Q33" i="4" s="1"/>
  <c r="P34" i="4"/>
  <c r="Q34" i="4" s="1"/>
  <c r="P35" i="4"/>
  <c r="Q35" i="4" s="1"/>
  <c r="P36" i="4"/>
  <c r="Q36" i="4" s="1"/>
  <c r="P37" i="4"/>
  <c r="Q37" i="4" s="1"/>
  <c r="P38" i="4"/>
  <c r="Q38" i="4" s="1"/>
  <c r="P39" i="4"/>
  <c r="Q39" i="4" s="1"/>
  <c r="P40" i="4"/>
  <c r="Q40" i="4" s="1"/>
  <c r="P41" i="4"/>
  <c r="Q41" i="4" s="1"/>
  <c r="P42" i="4"/>
  <c r="Q42" i="4" s="1"/>
  <c r="P43" i="4"/>
  <c r="Q43" i="4" s="1"/>
  <c r="P44" i="4"/>
  <c r="Q44" i="4" s="1"/>
  <c r="P45" i="4"/>
  <c r="Q45" i="4" s="1"/>
  <c r="P46" i="4"/>
  <c r="Q46" i="4" s="1"/>
  <c r="P47" i="4"/>
  <c r="Q47" i="4" s="1"/>
  <c r="P48" i="4"/>
  <c r="Q48" i="4" s="1"/>
  <c r="P49" i="4"/>
  <c r="Q49" i="4" s="1"/>
  <c r="P50" i="4"/>
  <c r="Q50" i="4" s="1"/>
  <c r="P51" i="4"/>
  <c r="P52" i="4"/>
  <c r="Q52" i="4" s="1"/>
  <c r="P53" i="4"/>
  <c r="Q53" i="4" s="1"/>
  <c r="P54" i="4"/>
  <c r="Q54" i="4" s="1"/>
  <c r="P55" i="4"/>
  <c r="Q55" i="4" s="1"/>
  <c r="P56" i="4"/>
  <c r="Q56" i="4" s="1"/>
  <c r="P57" i="4"/>
  <c r="Q57" i="4" s="1"/>
  <c r="P58" i="4"/>
  <c r="Q58" i="4" s="1"/>
  <c r="P59" i="4"/>
  <c r="Q59" i="4" s="1"/>
  <c r="P60" i="4"/>
  <c r="Q60" i="4" s="1"/>
  <c r="P61" i="4"/>
  <c r="Q61" i="4" s="1"/>
  <c r="P62" i="4"/>
  <c r="Q62" i="4" s="1"/>
  <c r="P63" i="4"/>
  <c r="Q63" i="4" s="1"/>
  <c r="P64" i="4"/>
  <c r="Q64" i="4" s="1"/>
  <c r="P65" i="4"/>
  <c r="Q65" i="4" s="1"/>
  <c r="P66" i="4"/>
  <c r="Q66" i="4" s="1"/>
  <c r="P67" i="4"/>
  <c r="P68" i="4"/>
  <c r="Q68" i="4" s="1"/>
  <c r="P69" i="4"/>
  <c r="Q69" i="4" s="1"/>
  <c r="P70" i="4"/>
  <c r="Q70" i="4" s="1"/>
  <c r="P71" i="4"/>
  <c r="Q71" i="4" s="1"/>
  <c r="P72" i="4"/>
  <c r="Q72" i="4" s="1"/>
  <c r="P73" i="4"/>
  <c r="Q73" i="4" s="1"/>
  <c r="P74" i="4"/>
  <c r="Q74" i="4" s="1"/>
  <c r="P75" i="4"/>
  <c r="Q75" i="4" s="1"/>
  <c r="P76" i="4"/>
  <c r="Q76" i="4" s="1"/>
  <c r="P77" i="4"/>
  <c r="Q77" i="4" s="1"/>
  <c r="P78" i="4"/>
  <c r="Q78" i="4" s="1"/>
  <c r="P79" i="4"/>
  <c r="Q79" i="4" s="1"/>
  <c r="P80" i="4"/>
  <c r="Q80" i="4" s="1"/>
  <c r="P81" i="4"/>
  <c r="Q81" i="4" s="1"/>
  <c r="P82" i="4"/>
  <c r="Q82" i="4" s="1"/>
  <c r="P83" i="4"/>
  <c r="Q83" i="4" s="1"/>
  <c r="P84" i="4"/>
  <c r="Q84" i="4" s="1"/>
  <c r="P85" i="4"/>
  <c r="Q85" i="4" s="1"/>
  <c r="P86" i="4"/>
  <c r="Q86" i="4" s="1"/>
  <c r="P87" i="4"/>
  <c r="Q87" i="4" s="1"/>
  <c r="P88" i="4"/>
  <c r="Q88" i="4" s="1"/>
  <c r="P89" i="4"/>
  <c r="Q89" i="4" s="1"/>
  <c r="P90" i="4"/>
  <c r="Q90" i="4" s="1"/>
  <c r="P91" i="4"/>
  <c r="Q91" i="4" s="1"/>
  <c r="P92" i="4"/>
  <c r="Q92" i="4" s="1"/>
  <c r="P93" i="4"/>
  <c r="Q93" i="4" s="1"/>
  <c r="P94" i="4"/>
  <c r="Q94" i="4" s="1"/>
  <c r="P95" i="4"/>
  <c r="Q95" i="4" s="1"/>
  <c r="P96" i="4"/>
  <c r="Q96" i="4" s="1"/>
  <c r="P97" i="4"/>
  <c r="Q97" i="4" s="1"/>
  <c r="P98" i="4"/>
  <c r="Q98" i="4" s="1"/>
  <c r="P99" i="4"/>
  <c r="Q99" i="4" s="1"/>
  <c r="P100" i="4"/>
  <c r="Q100" i="4" s="1"/>
  <c r="P101" i="4"/>
  <c r="Q101" i="4" s="1"/>
  <c r="P102" i="4"/>
  <c r="Q102" i="4" s="1"/>
  <c r="P103" i="4"/>
  <c r="Q103" i="4" s="1"/>
  <c r="P104" i="4"/>
  <c r="Q104" i="4" s="1"/>
  <c r="P105" i="4"/>
  <c r="Q105" i="4" s="1"/>
  <c r="P106" i="4"/>
  <c r="Q106" i="4" s="1"/>
  <c r="P107" i="4"/>
  <c r="Q107" i="4" s="1"/>
  <c r="P108" i="4"/>
  <c r="Q108" i="4" s="1"/>
  <c r="P109" i="4"/>
  <c r="Q109" i="4" s="1"/>
  <c r="P110" i="4"/>
  <c r="Q110" i="4" s="1"/>
  <c r="P111" i="4"/>
  <c r="Q111" i="4" s="1"/>
  <c r="P112" i="4"/>
  <c r="Q112" i="4" s="1"/>
  <c r="P113" i="4"/>
  <c r="Q113" i="4" s="1"/>
  <c r="P114" i="4"/>
  <c r="Q114" i="4" s="1"/>
  <c r="P115" i="4"/>
  <c r="P116" i="4"/>
  <c r="Q116" i="4" s="1"/>
  <c r="P117" i="4"/>
  <c r="Q117" i="4" s="1"/>
  <c r="P118" i="4"/>
  <c r="Q118" i="4" s="1"/>
  <c r="P119" i="4"/>
  <c r="Q119" i="4" s="1"/>
  <c r="P120" i="4"/>
  <c r="Q120" i="4" s="1"/>
  <c r="P121" i="4"/>
  <c r="Q121" i="4" s="1"/>
  <c r="P122" i="4"/>
  <c r="Q122" i="4" s="1"/>
  <c r="P123" i="4"/>
  <c r="Q123" i="4" s="1"/>
  <c r="P124" i="4"/>
  <c r="Q124" i="4" s="1"/>
  <c r="P125" i="4"/>
  <c r="Q125" i="4" s="1"/>
  <c r="P126" i="4"/>
  <c r="Q126" i="4" s="1"/>
  <c r="P127" i="4"/>
  <c r="Q127" i="4" s="1"/>
  <c r="P128" i="4"/>
  <c r="Q128" i="4" s="1"/>
  <c r="P129" i="4"/>
  <c r="Q129" i="4" s="1"/>
  <c r="P130" i="4"/>
  <c r="Q130" i="4" s="1"/>
  <c r="P131" i="4"/>
  <c r="P132" i="4"/>
  <c r="Q132" i="4" s="1"/>
  <c r="P133" i="4"/>
  <c r="Q133" i="4" s="1"/>
  <c r="P134" i="4"/>
  <c r="Q134" i="4" s="1"/>
  <c r="P135" i="4"/>
  <c r="Q135" i="4" s="1"/>
  <c r="P136" i="4"/>
  <c r="Q136" i="4" s="1"/>
  <c r="P137" i="4"/>
  <c r="Q137" i="4" s="1"/>
  <c r="P138" i="4"/>
  <c r="Q138" i="4" s="1"/>
  <c r="P139" i="4"/>
  <c r="Q139" i="4" s="1"/>
  <c r="P140" i="4"/>
  <c r="Q140" i="4" s="1"/>
  <c r="P141" i="4"/>
  <c r="Q141" i="4" s="1"/>
  <c r="P142" i="4"/>
  <c r="Q142" i="4" s="1"/>
  <c r="P143" i="4"/>
  <c r="Q143" i="4" s="1"/>
  <c r="P144" i="4"/>
  <c r="Q144" i="4" s="1"/>
  <c r="P145" i="4"/>
  <c r="Q145" i="4" s="1"/>
  <c r="P146" i="4"/>
  <c r="Q146" i="4" s="1"/>
  <c r="P147" i="4"/>
  <c r="Q147" i="4" s="1"/>
  <c r="P148" i="4"/>
  <c r="Q148" i="4" s="1"/>
  <c r="P149" i="4"/>
  <c r="Q149" i="4" s="1"/>
  <c r="P150" i="4"/>
  <c r="Q150" i="4" s="1"/>
  <c r="P151" i="4"/>
  <c r="Q151" i="4" s="1"/>
  <c r="P152" i="4"/>
  <c r="Q152" i="4" s="1"/>
  <c r="P153" i="4"/>
  <c r="Q153" i="4" s="1"/>
  <c r="P154" i="4"/>
  <c r="Q154" i="4" s="1"/>
  <c r="P155" i="4"/>
  <c r="Q155" i="4" s="1"/>
  <c r="P156" i="4"/>
  <c r="Q156" i="4" s="1"/>
  <c r="P157" i="4"/>
  <c r="Q157" i="4" s="1"/>
  <c r="P158" i="4"/>
  <c r="Q158" i="4" s="1"/>
  <c r="P159" i="4"/>
  <c r="Q159" i="4" s="1"/>
  <c r="P160" i="4"/>
  <c r="Q160" i="4" s="1"/>
  <c r="P161" i="4"/>
  <c r="Q161" i="4" s="1"/>
  <c r="P162" i="4"/>
  <c r="Q162" i="4" s="1"/>
  <c r="P163" i="4"/>
  <c r="Q163" i="4" s="1"/>
  <c r="P164" i="4"/>
  <c r="Q164" i="4" s="1"/>
  <c r="P165" i="4"/>
  <c r="Q165" i="4" s="1"/>
  <c r="P166" i="4"/>
  <c r="Q166" i="4" s="1"/>
  <c r="P167" i="4"/>
  <c r="Q167" i="4" s="1"/>
  <c r="P168" i="4"/>
  <c r="Q168" i="4" s="1"/>
  <c r="P169" i="4"/>
  <c r="Q169" i="4" s="1"/>
  <c r="P170" i="4"/>
  <c r="Q170" i="4" s="1"/>
  <c r="P171" i="4"/>
  <c r="Q171" i="4" s="1"/>
  <c r="P172" i="4"/>
  <c r="Q172" i="4" s="1"/>
  <c r="P173" i="4"/>
  <c r="Q173" i="4" s="1"/>
  <c r="P174" i="4"/>
  <c r="Q174" i="4" s="1"/>
  <c r="P175" i="4"/>
  <c r="Q175" i="4" s="1"/>
  <c r="P176" i="4"/>
  <c r="Q176" i="4" s="1"/>
  <c r="P177" i="4"/>
  <c r="Q177" i="4" s="1"/>
  <c r="P178" i="4"/>
  <c r="Q178" i="4" s="1"/>
  <c r="P179" i="4"/>
  <c r="P180" i="4"/>
  <c r="Q180" i="4" s="1"/>
  <c r="P181" i="4"/>
  <c r="Q181" i="4" s="1"/>
  <c r="P182" i="4"/>
  <c r="Q182" i="4" s="1"/>
  <c r="P183" i="4"/>
  <c r="Q183" i="4" s="1"/>
  <c r="P184" i="4"/>
  <c r="Q184" i="4" s="1"/>
  <c r="P185" i="4"/>
  <c r="Q185" i="4" s="1"/>
  <c r="P186" i="4"/>
  <c r="Q186" i="4" s="1"/>
  <c r="P187" i="4"/>
  <c r="Q187" i="4" s="1"/>
  <c r="P188" i="4"/>
  <c r="Q188" i="4" s="1"/>
  <c r="P189" i="4"/>
  <c r="Q189" i="4" s="1"/>
  <c r="P190" i="4"/>
  <c r="Q190" i="4" s="1"/>
  <c r="P191" i="4"/>
  <c r="Q191" i="4" s="1"/>
  <c r="P192" i="4"/>
  <c r="Q192" i="4" s="1"/>
  <c r="P193" i="4"/>
  <c r="Q193" i="4" s="1"/>
  <c r="P194" i="4"/>
  <c r="Q194" i="4" s="1"/>
  <c r="P195" i="4"/>
  <c r="P196" i="4"/>
  <c r="Q196" i="4" s="1"/>
  <c r="P197" i="4"/>
  <c r="Q197" i="4" s="1"/>
  <c r="P198" i="4"/>
  <c r="Q198" i="4" s="1"/>
  <c r="P199" i="4"/>
  <c r="Q199" i="4" s="1"/>
  <c r="P200" i="4"/>
  <c r="Q200" i="4" s="1"/>
  <c r="P201" i="4"/>
  <c r="Q201" i="4" s="1"/>
  <c r="P202" i="4"/>
  <c r="Q202" i="4" s="1"/>
  <c r="P203" i="4"/>
  <c r="Q203" i="4" s="1"/>
  <c r="P204" i="4"/>
  <c r="Q204" i="4" s="1"/>
  <c r="P205" i="4"/>
  <c r="Q205" i="4" s="1"/>
  <c r="P206" i="4"/>
  <c r="Q206" i="4" s="1"/>
  <c r="P207" i="4"/>
  <c r="Q207" i="4" s="1"/>
  <c r="P208" i="4"/>
  <c r="Q208" i="4" s="1"/>
  <c r="P209" i="4"/>
  <c r="Q209" i="4" s="1"/>
  <c r="P210" i="4"/>
  <c r="Q210" i="4" s="1"/>
  <c r="P211" i="4"/>
  <c r="Q211" i="4" s="1"/>
  <c r="P212" i="4"/>
  <c r="Q212" i="4" s="1"/>
  <c r="P213" i="4"/>
  <c r="Q213" i="4" s="1"/>
  <c r="P214" i="4"/>
  <c r="Q214" i="4" s="1"/>
  <c r="P215" i="4"/>
  <c r="Q215" i="4" s="1"/>
  <c r="P216" i="4"/>
  <c r="Q216" i="4" s="1"/>
  <c r="P217" i="4"/>
  <c r="Q217" i="4" s="1"/>
  <c r="P218" i="4"/>
  <c r="Q218" i="4" s="1"/>
  <c r="P219" i="4"/>
  <c r="Q219" i="4" s="1"/>
  <c r="P220" i="4"/>
  <c r="Q220" i="4" s="1"/>
  <c r="P221" i="4"/>
  <c r="Q221" i="4" s="1"/>
  <c r="P222" i="4"/>
  <c r="Q222" i="4" s="1"/>
  <c r="P223" i="4"/>
  <c r="Q223" i="4" s="1"/>
  <c r="P224" i="4"/>
  <c r="Q224" i="4" s="1"/>
  <c r="P225" i="4"/>
  <c r="Q225" i="4" s="1"/>
  <c r="P226" i="4"/>
  <c r="Q226" i="4" s="1"/>
  <c r="P227" i="4"/>
  <c r="Q227" i="4" s="1"/>
  <c r="P228" i="4"/>
  <c r="Q228" i="4" s="1"/>
  <c r="P229" i="4"/>
  <c r="Q229" i="4" s="1"/>
  <c r="P230" i="4"/>
  <c r="Q230" i="4" s="1"/>
  <c r="P231" i="4"/>
  <c r="Q231" i="4" s="1"/>
  <c r="P232" i="4"/>
  <c r="Q232" i="4" s="1"/>
  <c r="P233" i="4"/>
  <c r="Q233" i="4" s="1"/>
  <c r="P234" i="4"/>
  <c r="Q234" i="4" s="1"/>
  <c r="P235" i="4"/>
  <c r="Q235" i="4" s="1"/>
  <c r="P236" i="4"/>
  <c r="Q236" i="4" s="1"/>
  <c r="P237" i="4"/>
  <c r="Q237" i="4" s="1"/>
  <c r="P238" i="4"/>
  <c r="Q238" i="4" s="1"/>
  <c r="P239" i="4"/>
  <c r="Q239" i="4" s="1"/>
  <c r="P240" i="4"/>
  <c r="Q240" i="4" s="1"/>
  <c r="P241" i="4"/>
  <c r="Q241" i="4" s="1"/>
  <c r="P242" i="4"/>
  <c r="Q242" i="4" s="1"/>
  <c r="P243" i="4"/>
  <c r="P244" i="4"/>
  <c r="Q244" i="4" s="1"/>
  <c r="P245" i="4"/>
  <c r="Q245" i="4" s="1"/>
  <c r="P246" i="4"/>
  <c r="Q246" i="4" s="1"/>
  <c r="P247" i="4"/>
  <c r="Q247" i="4" s="1"/>
  <c r="P248" i="4"/>
  <c r="Q248" i="4" s="1"/>
  <c r="P249" i="4"/>
  <c r="Q249" i="4" s="1"/>
  <c r="P250" i="4"/>
  <c r="Q250" i="4" s="1"/>
  <c r="P251" i="4"/>
  <c r="Q251" i="4" s="1"/>
  <c r="P252" i="4"/>
  <c r="Q252" i="4" s="1"/>
  <c r="P253" i="4"/>
  <c r="Q253" i="4" s="1"/>
  <c r="P254" i="4"/>
  <c r="Q254" i="4" s="1"/>
  <c r="P255" i="4"/>
  <c r="Q255" i="4" s="1"/>
  <c r="P256" i="4"/>
  <c r="Q256" i="4" s="1"/>
  <c r="P257" i="4"/>
  <c r="Q257" i="4" s="1"/>
  <c r="P258" i="4"/>
  <c r="Q258" i="4" s="1"/>
  <c r="P259" i="4"/>
  <c r="Q259" i="4" s="1"/>
  <c r="P260" i="4"/>
  <c r="Q260" i="4" s="1"/>
  <c r="P261" i="4"/>
  <c r="Q261" i="4" s="1"/>
  <c r="P262" i="4"/>
  <c r="Q262" i="4" s="1"/>
  <c r="P263" i="4"/>
  <c r="Q263" i="4" s="1"/>
  <c r="P264" i="4"/>
  <c r="Q264" i="4" s="1"/>
  <c r="P265" i="4"/>
  <c r="Q265" i="4" s="1"/>
  <c r="P266" i="4"/>
  <c r="Q266" i="4" s="1"/>
  <c r="P267" i="4"/>
  <c r="Q267" i="4" s="1"/>
  <c r="P268" i="4"/>
  <c r="Q268" i="4" s="1"/>
  <c r="P269" i="4"/>
  <c r="Q269" i="4" s="1"/>
  <c r="P270" i="4"/>
  <c r="Q270" i="4" s="1"/>
  <c r="P271" i="4"/>
  <c r="Q271" i="4" s="1"/>
  <c r="P272" i="4"/>
  <c r="Q272" i="4" s="1"/>
  <c r="P273" i="4"/>
  <c r="Q273" i="4" s="1"/>
  <c r="P274" i="4"/>
  <c r="Q274" i="4" s="1"/>
  <c r="P275" i="4"/>
  <c r="Q275" i="4" s="1"/>
  <c r="P276" i="4"/>
  <c r="Q276" i="4" s="1"/>
  <c r="P277" i="4"/>
  <c r="Q277" i="4" s="1"/>
  <c r="P278" i="4"/>
  <c r="Q278" i="4" s="1"/>
  <c r="P279" i="4"/>
  <c r="Q279" i="4" s="1"/>
  <c r="P280" i="4"/>
  <c r="Q280" i="4" s="1"/>
  <c r="P281" i="4"/>
  <c r="Q281" i="4" s="1"/>
  <c r="P282" i="4"/>
  <c r="Q282" i="4" s="1"/>
  <c r="P283" i="4"/>
  <c r="Q283" i="4" s="1"/>
  <c r="P284" i="4"/>
  <c r="Q284" i="4" s="1"/>
  <c r="P285" i="4"/>
  <c r="Q285" i="4" s="1"/>
  <c r="P286" i="4"/>
  <c r="Q286" i="4" s="1"/>
  <c r="P287" i="4"/>
  <c r="Q287" i="4" s="1"/>
  <c r="P288" i="4"/>
  <c r="Q288" i="4" s="1"/>
  <c r="P289" i="4"/>
  <c r="Q289" i="4" s="1"/>
  <c r="P290" i="4"/>
  <c r="Q290" i="4" s="1"/>
  <c r="P291" i="4"/>
  <c r="Q291" i="4" s="1"/>
  <c r="P292" i="4"/>
  <c r="Q292" i="4" s="1"/>
  <c r="P293" i="4"/>
  <c r="Q293" i="4" s="1"/>
  <c r="P294" i="4"/>
  <c r="Q294" i="4" s="1"/>
  <c r="P295" i="4"/>
  <c r="Q295" i="4" s="1"/>
  <c r="P296" i="4"/>
  <c r="Q296" i="4" s="1"/>
  <c r="P297" i="4"/>
  <c r="Q297" i="4" s="1"/>
  <c r="P298" i="4"/>
  <c r="Q298" i="4" s="1"/>
  <c r="P299" i="4"/>
  <c r="Q299" i="4" s="1"/>
  <c r="P300" i="4"/>
  <c r="Q300" i="4" s="1"/>
  <c r="P301" i="4"/>
  <c r="Q301" i="4" s="1"/>
  <c r="P302" i="4"/>
  <c r="Q302" i="4" s="1"/>
  <c r="P303" i="4"/>
  <c r="Q303" i="4" s="1"/>
  <c r="P304" i="4"/>
  <c r="Q304" i="4" s="1"/>
  <c r="P305" i="4"/>
  <c r="Q305" i="4" s="1"/>
  <c r="P306" i="4"/>
  <c r="Q306" i="4" s="1"/>
  <c r="P307" i="4"/>
  <c r="Q307" i="4" s="1"/>
  <c r="P308" i="4"/>
  <c r="Q308" i="4" s="1"/>
  <c r="P309" i="4"/>
  <c r="Q309" i="4" s="1"/>
  <c r="P310" i="4"/>
  <c r="Q310" i="4" s="1"/>
  <c r="P311" i="4"/>
  <c r="Q311" i="4" s="1"/>
  <c r="P312" i="4"/>
  <c r="Q312" i="4" s="1"/>
  <c r="P313" i="4"/>
  <c r="Q313" i="4" s="1"/>
  <c r="P314" i="4"/>
  <c r="Q314" i="4" s="1"/>
  <c r="P315" i="4"/>
  <c r="Q315" i="4" s="1"/>
  <c r="P316" i="4"/>
  <c r="Q316" i="4" s="1"/>
  <c r="P317" i="4"/>
  <c r="Q317" i="4" s="1"/>
  <c r="P318" i="4"/>
  <c r="Q318" i="4" s="1"/>
  <c r="P319" i="4"/>
  <c r="Q319" i="4" s="1"/>
  <c r="P320" i="4"/>
  <c r="Q320" i="4" s="1"/>
  <c r="P321" i="4"/>
  <c r="Q321" i="4" s="1"/>
  <c r="P322" i="4"/>
  <c r="Q322" i="4" s="1"/>
  <c r="P323" i="4"/>
  <c r="Q323" i="4" s="1"/>
  <c r="P324" i="4"/>
  <c r="Q324" i="4" s="1"/>
  <c r="P325" i="4"/>
  <c r="Q325" i="4" s="1"/>
  <c r="P326" i="4"/>
  <c r="Q326" i="4" s="1"/>
  <c r="P327" i="4"/>
  <c r="Q327" i="4" s="1"/>
  <c r="P328" i="4"/>
  <c r="Q328" i="4" s="1"/>
  <c r="P329" i="4"/>
  <c r="Q329" i="4" s="1"/>
  <c r="P330" i="4"/>
  <c r="Q330" i="4" s="1"/>
  <c r="P331" i="4"/>
  <c r="Q331" i="4" s="1"/>
  <c r="P332" i="4"/>
  <c r="Q332" i="4" s="1"/>
  <c r="P333" i="4"/>
  <c r="Q333" i="4" s="1"/>
  <c r="P334" i="4"/>
  <c r="Q334" i="4" s="1"/>
  <c r="P335" i="4"/>
  <c r="Q335" i="4" s="1"/>
  <c r="P336" i="4"/>
  <c r="Q336" i="4" s="1"/>
  <c r="P337" i="4"/>
  <c r="Q337" i="4" s="1"/>
  <c r="P338" i="4"/>
  <c r="Q338" i="4" s="1"/>
  <c r="P339" i="4"/>
  <c r="Q339" i="4" s="1"/>
  <c r="P340" i="4"/>
  <c r="Q340" i="4" s="1"/>
  <c r="P341" i="4"/>
  <c r="Q341" i="4" s="1"/>
  <c r="P342" i="4"/>
  <c r="Q342" i="4" s="1"/>
  <c r="P343" i="4"/>
  <c r="Q343" i="4" s="1"/>
  <c r="P344" i="4"/>
  <c r="Q344" i="4" s="1"/>
  <c r="P345" i="4"/>
  <c r="Q345" i="4" s="1"/>
  <c r="P346" i="4"/>
  <c r="Q346" i="4" s="1"/>
  <c r="P347" i="4"/>
  <c r="Q347" i="4" s="1"/>
  <c r="P348" i="4"/>
  <c r="Q348" i="4" s="1"/>
  <c r="P349" i="4"/>
  <c r="Q349" i="4" s="1"/>
  <c r="P350" i="4"/>
  <c r="Q350" i="4" s="1"/>
  <c r="P351" i="4"/>
  <c r="Q351" i="4" s="1"/>
  <c r="P352" i="4"/>
  <c r="Q352" i="4" s="1"/>
  <c r="P353" i="4"/>
  <c r="Q353" i="4" s="1"/>
  <c r="P354" i="4"/>
  <c r="Q354" i="4" s="1"/>
  <c r="P355" i="4"/>
  <c r="Q355" i="4" s="1"/>
  <c r="P356" i="4"/>
  <c r="Q356" i="4" s="1"/>
  <c r="P357" i="4"/>
  <c r="Q357" i="4" s="1"/>
  <c r="P358" i="4"/>
  <c r="Q358" i="4" s="1"/>
  <c r="P359" i="4"/>
  <c r="Q359" i="4" s="1"/>
  <c r="P360" i="4"/>
  <c r="Q360" i="4" s="1"/>
  <c r="P361" i="4"/>
  <c r="Q361" i="4" s="1"/>
  <c r="P362" i="4"/>
  <c r="Q362" i="4" s="1"/>
  <c r="P363" i="4"/>
  <c r="Q363" i="4" s="1"/>
  <c r="P364" i="4"/>
  <c r="Q364" i="4" s="1"/>
  <c r="P365" i="4"/>
  <c r="Q365" i="4" s="1"/>
  <c r="P366" i="4"/>
  <c r="Q366" i="4" s="1"/>
  <c r="P367" i="4"/>
  <c r="Q367" i="4" s="1"/>
  <c r="P368" i="4"/>
  <c r="Q368" i="4" s="1"/>
  <c r="P369" i="4"/>
  <c r="Q369" i="4" s="1"/>
  <c r="P370" i="4"/>
  <c r="Q370" i="4" s="1"/>
  <c r="P371" i="4"/>
  <c r="Q371" i="4" s="1"/>
  <c r="P372" i="4"/>
  <c r="Q372" i="4" s="1"/>
  <c r="P373" i="4"/>
  <c r="Q373" i="4" s="1"/>
  <c r="P374" i="4"/>
  <c r="Q374" i="4" s="1"/>
  <c r="P375" i="4"/>
  <c r="Q375" i="4" s="1"/>
  <c r="P376" i="4"/>
  <c r="Q376" i="4" s="1"/>
  <c r="P377" i="4"/>
  <c r="Q377" i="4" s="1"/>
  <c r="P378" i="4"/>
  <c r="Q378" i="4" s="1"/>
  <c r="P379" i="4"/>
  <c r="Q379" i="4" s="1"/>
  <c r="P380" i="4"/>
  <c r="Q380" i="4" s="1"/>
  <c r="P381" i="4"/>
  <c r="Q381" i="4" s="1"/>
  <c r="P382" i="4"/>
  <c r="Q382" i="4" s="1"/>
  <c r="P383" i="4"/>
  <c r="Q383" i="4" s="1"/>
  <c r="P384" i="4"/>
  <c r="Q384" i="4" s="1"/>
  <c r="P385" i="4"/>
  <c r="Q385" i="4" s="1"/>
  <c r="P386" i="4"/>
  <c r="Q386" i="4" s="1"/>
  <c r="P387" i="4"/>
  <c r="Q387" i="4" s="1"/>
  <c r="P388" i="4"/>
  <c r="Q388" i="4" s="1"/>
  <c r="P389" i="4"/>
  <c r="Q389" i="4" s="1"/>
  <c r="P390" i="4"/>
  <c r="Q390" i="4" s="1"/>
  <c r="P391" i="4"/>
  <c r="Q391" i="4" s="1"/>
  <c r="P392" i="4"/>
  <c r="Q392" i="4" s="1"/>
  <c r="P393" i="4"/>
  <c r="Q393" i="4" s="1"/>
  <c r="P394" i="4"/>
  <c r="Q394" i="4" s="1"/>
  <c r="P395" i="4"/>
  <c r="Q395" i="4" s="1"/>
  <c r="P396" i="4"/>
  <c r="Q396" i="4" s="1"/>
  <c r="P397" i="4"/>
  <c r="Q397" i="4" s="1"/>
  <c r="P398" i="4"/>
  <c r="Q398" i="4" s="1"/>
  <c r="P399" i="4"/>
  <c r="Q399" i="4" s="1"/>
  <c r="P400" i="4"/>
  <c r="Q400" i="4" s="1"/>
  <c r="P401" i="4"/>
  <c r="Q401" i="4" s="1"/>
  <c r="P402" i="4"/>
  <c r="Q402" i="4" s="1"/>
  <c r="P403" i="4"/>
  <c r="Q403" i="4" s="1"/>
  <c r="P404" i="4"/>
  <c r="Q404" i="4" s="1"/>
  <c r="P405" i="4"/>
  <c r="Q405" i="4" s="1"/>
  <c r="P406" i="4"/>
  <c r="Q406" i="4" s="1"/>
  <c r="P407" i="4"/>
  <c r="Q407" i="4" s="1"/>
  <c r="P408" i="4"/>
  <c r="Q408" i="4" s="1"/>
  <c r="P409" i="4"/>
  <c r="Q409" i="4" s="1"/>
  <c r="P410" i="4"/>
  <c r="Q410" i="4" s="1"/>
  <c r="P411" i="4"/>
  <c r="Q411" i="4" s="1"/>
  <c r="P412" i="4"/>
  <c r="Q412" i="4" s="1"/>
  <c r="P413" i="4"/>
  <c r="Q413" i="4" s="1"/>
  <c r="P414" i="4"/>
  <c r="Q414" i="4" s="1"/>
  <c r="P415" i="4"/>
  <c r="Q415" i="4" s="1"/>
  <c r="P416" i="4"/>
  <c r="Q416" i="4" s="1"/>
  <c r="P417" i="4"/>
  <c r="Q417" i="4" s="1"/>
  <c r="P418" i="4"/>
  <c r="Q418" i="4" s="1"/>
  <c r="P419" i="4"/>
  <c r="Q419" i="4" s="1"/>
  <c r="P420" i="4"/>
  <c r="Q420" i="4" s="1"/>
  <c r="P421" i="4"/>
  <c r="Q421" i="4" s="1"/>
  <c r="P422" i="4"/>
  <c r="Q422" i="4" s="1"/>
  <c r="P423" i="4"/>
  <c r="Q423" i="4" s="1"/>
  <c r="P424" i="4"/>
  <c r="Q424" i="4" s="1"/>
  <c r="P425" i="4"/>
  <c r="Q425" i="4" s="1"/>
  <c r="P426" i="4"/>
  <c r="Q426" i="4" s="1"/>
  <c r="P427" i="4"/>
  <c r="Q427" i="4" s="1"/>
  <c r="P428" i="4"/>
  <c r="Q428" i="4" s="1"/>
  <c r="P429" i="4"/>
  <c r="Q429" i="4" s="1"/>
  <c r="P430" i="4"/>
  <c r="Q430" i="4" s="1"/>
  <c r="P431" i="4"/>
  <c r="Q431" i="4" s="1"/>
  <c r="P432" i="4"/>
  <c r="Q432" i="4" s="1"/>
  <c r="P433" i="4"/>
  <c r="Q433" i="4" s="1"/>
  <c r="P434" i="4"/>
  <c r="Q434" i="4" s="1"/>
  <c r="P435" i="4"/>
  <c r="Q435" i="4" s="1"/>
  <c r="P436" i="4"/>
  <c r="Q436" i="4" s="1"/>
  <c r="P437" i="4"/>
  <c r="Q437" i="4" s="1"/>
  <c r="P438" i="4"/>
  <c r="Q438" i="4" s="1"/>
  <c r="P439" i="4"/>
  <c r="Q439" i="4" s="1"/>
  <c r="P440" i="4"/>
  <c r="Q440" i="4" s="1"/>
  <c r="P441" i="4"/>
  <c r="Q441" i="4" s="1"/>
  <c r="P442" i="4"/>
  <c r="Q442" i="4" s="1"/>
  <c r="P443" i="4"/>
  <c r="Q443" i="4" s="1"/>
  <c r="P444" i="4"/>
  <c r="Q444" i="4" s="1"/>
  <c r="P445" i="4"/>
  <c r="Q445" i="4" s="1"/>
  <c r="P446" i="4"/>
  <c r="Q446" i="4" s="1"/>
  <c r="P447" i="4"/>
  <c r="Q447" i="4" s="1"/>
  <c r="P448" i="4"/>
  <c r="Q448" i="4" s="1"/>
  <c r="P449" i="4"/>
  <c r="Q449" i="4" s="1"/>
  <c r="P450" i="4"/>
  <c r="Q450" i="4" s="1"/>
  <c r="P451" i="4"/>
  <c r="Q451" i="4" s="1"/>
  <c r="P452" i="4"/>
  <c r="Q452" i="4" s="1"/>
  <c r="P453" i="4"/>
  <c r="Q453" i="4" s="1"/>
  <c r="P454" i="4"/>
  <c r="Q454" i="4" s="1"/>
  <c r="P455" i="4"/>
  <c r="Q455" i="4" s="1"/>
  <c r="P456" i="4"/>
  <c r="Q456" i="4" s="1"/>
  <c r="P457" i="4"/>
  <c r="Q457" i="4" s="1"/>
  <c r="P458" i="4"/>
  <c r="Q458" i="4" s="1"/>
  <c r="P459" i="4"/>
  <c r="Q459" i="4" s="1"/>
  <c r="P460" i="4"/>
  <c r="Q460" i="4" s="1"/>
  <c r="P461" i="4"/>
  <c r="Q461" i="4" s="1"/>
  <c r="P462" i="4"/>
  <c r="Q462" i="4" s="1"/>
  <c r="P463" i="4"/>
  <c r="Q463" i="4" s="1"/>
  <c r="P464" i="4"/>
  <c r="Q464" i="4" s="1"/>
  <c r="P465" i="4"/>
  <c r="Q465" i="4" s="1"/>
  <c r="P466" i="4"/>
  <c r="Q466" i="4" s="1"/>
  <c r="P467" i="4"/>
  <c r="Q467" i="4" s="1"/>
  <c r="P468" i="4"/>
  <c r="Q468" i="4" s="1"/>
  <c r="P469" i="4"/>
  <c r="Q469" i="4" s="1"/>
  <c r="P470" i="4"/>
  <c r="Q470" i="4" s="1"/>
  <c r="P471" i="4"/>
  <c r="Q471" i="4" s="1"/>
  <c r="P472" i="4"/>
  <c r="Q472" i="4" s="1"/>
  <c r="P473" i="4"/>
  <c r="Q473" i="4" s="1"/>
  <c r="P474" i="4"/>
  <c r="Q474" i="4" s="1"/>
  <c r="P475" i="4"/>
  <c r="Q475" i="4" s="1"/>
  <c r="P476" i="4"/>
  <c r="Q476" i="4" s="1"/>
  <c r="P477" i="4"/>
  <c r="Q477" i="4" s="1"/>
  <c r="P478" i="4"/>
  <c r="Q478" i="4" s="1"/>
  <c r="P479" i="4"/>
  <c r="Q479" i="4" s="1"/>
  <c r="P480" i="4"/>
  <c r="Q480" i="4" s="1"/>
  <c r="P481" i="4"/>
  <c r="Q481" i="4" s="1"/>
  <c r="P482" i="4"/>
  <c r="Q482" i="4" s="1"/>
  <c r="P483" i="4"/>
  <c r="Q483" i="4" s="1"/>
  <c r="P484" i="4"/>
  <c r="Q484" i="4" s="1"/>
  <c r="P485" i="4"/>
  <c r="Q485" i="4" s="1"/>
  <c r="P486" i="4"/>
  <c r="Q486" i="4" s="1"/>
  <c r="P487" i="4"/>
  <c r="Q487" i="4" s="1"/>
  <c r="P488" i="4"/>
  <c r="Q488" i="4" s="1"/>
  <c r="P489" i="4"/>
  <c r="Q489" i="4" s="1"/>
  <c r="P490" i="4"/>
  <c r="Q490" i="4" s="1"/>
  <c r="P491" i="4"/>
  <c r="Q491" i="4" s="1"/>
  <c r="P492" i="4"/>
  <c r="Q492" i="4" s="1"/>
  <c r="P493" i="4"/>
  <c r="Q493" i="4" s="1"/>
  <c r="P494" i="4"/>
  <c r="Q494" i="4" s="1"/>
  <c r="P495" i="4"/>
  <c r="Q495" i="4" s="1"/>
  <c r="P496" i="4"/>
  <c r="Q496" i="4" s="1"/>
  <c r="P497" i="4"/>
  <c r="Q497" i="4" s="1"/>
  <c r="P498" i="4"/>
  <c r="Q498" i="4" s="1"/>
  <c r="P499" i="4"/>
  <c r="Q499" i="4" s="1"/>
  <c r="P500" i="4"/>
  <c r="Q500" i="4" s="1"/>
  <c r="P501" i="4"/>
  <c r="Q501" i="4" s="1"/>
  <c r="P502" i="4"/>
  <c r="Q502" i="4" s="1"/>
  <c r="P503" i="4"/>
  <c r="Q503" i="4" s="1"/>
  <c r="P504" i="4"/>
  <c r="Q504" i="4" s="1"/>
  <c r="P505" i="4"/>
  <c r="Q505" i="4" s="1"/>
  <c r="P506" i="4"/>
  <c r="Q506" i="4" s="1"/>
  <c r="P507" i="4"/>
  <c r="Q507" i="4" s="1"/>
  <c r="P508" i="4"/>
  <c r="Q508" i="4" s="1"/>
  <c r="P509" i="4"/>
  <c r="Q509" i="4" s="1"/>
  <c r="P510" i="4"/>
  <c r="Q510" i="4" s="1"/>
  <c r="P511" i="4"/>
  <c r="Q511" i="4" s="1"/>
  <c r="P512" i="4"/>
  <c r="Q512" i="4" s="1"/>
  <c r="P513" i="4"/>
  <c r="Q513" i="4" s="1"/>
  <c r="P514" i="4"/>
  <c r="Q514" i="4" s="1"/>
  <c r="P515" i="4"/>
  <c r="Q515" i="4" s="1"/>
  <c r="P516" i="4"/>
  <c r="Q516" i="4" s="1"/>
  <c r="P517" i="4"/>
  <c r="Q517" i="4" s="1"/>
  <c r="P518" i="4"/>
  <c r="Q518" i="4" s="1"/>
  <c r="P519" i="4"/>
  <c r="Q519" i="4" s="1"/>
  <c r="P520" i="4"/>
  <c r="Q520" i="4" s="1"/>
  <c r="P521" i="4"/>
  <c r="Q521" i="4" s="1"/>
  <c r="P522" i="4"/>
  <c r="Q522" i="4" s="1"/>
  <c r="P523" i="4"/>
  <c r="Q523" i="4" s="1"/>
  <c r="P524" i="4"/>
  <c r="Q524" i="4" s="1"/>
  <c r="P525" i="4"/>
  <c r="Q525" i="4" s="1"/>
  <c r="P526" i="4"/>
  <c r="Q526" i="4" s="1"/>
  <c r="P527" i="4"/>
  <c r="Q527" i="4" s="1"/>
  <c r="P528" i="4"/>
  <c r="Q528" i="4" s="1"/>
  <c r="P529" i="4"/>
  <c r="Q529" i="4" s="1"/>
  <c r="P530" i="4"/>
  <c r="Q530" i="4" s="1"/>
  <c r="P531" i="4"/>
  <c r="Q531" i="4" s="1"/>
  <c r="P532" i="4"/>
  <c r="Q532" i="4" s="1"/>
  <c r="P533" i="4"/>
  <c r="Q533" i="4" s="1"/>
  <c r="P534" i="4"/>
  <c r="Q534" i="4" s="1"/>
  <c r="P535" i="4"/>
  <c r="Q535" i="4" s="1"/>
  <c r="P536" i="4"/>
  <c r="Q536" i="4" s="1"/>
  <c r="P537" i="4"/>
  <c r="Q537" i="4" s="1"/>
  <c r="P538" i="4"/>
  <c r="Q538" i="4" s="1"/>
  <c r="P539" i="4"/>
  <c r="Q539" i="4" s="1"/>
  <c r="P540" i="4"/>
  <c r="Q540" i="4" s="1"/>
  <c r="P541" i="4"/>
  <c r="Q541" i="4" s="1"/>
  <c r="P542" i="4"/>
  <c r="Q542" i="4" s="1"/>
  <c r="P543" i="4"/>
  <c r="Q543" i="4" s="1"/>
  <c r="P544" i="4"/>
  <c r="Q544" i="4" s="1"/>
  <c r="P545" i="4"/>
  <c r="Q545" i="4" s="1"/>
  <c r="P546" i="4"/>
  <c r="Q546" i="4" s="1"/>
  <c r="P547" i="4"/>
  <c r="Q547" i="4" s="1"/>
  <c r="P548" i="4"/>
  <c r="Q548" i="4" s="1"/>
  <c r="P549" i="4"/>
  <c r="Q549" i="4" s="1"/>
  <c r="P550" i="4"/>
  <c r="Q550" i="4" s="1"/>
  <c r="P551" i="4"/>
  <c r="Q551" i="4" s="1"/>
  <c r="P552" i="4"/>
  <c r="Q552" i="4" s="1"/>
  <c r="P553" i="4"/>
  <c r="Q553" i="4" s="1"/>
  <c r="P554" i="4"/>
  <c r="Q554" i="4" s="1"/>
  <c r="P555" i="4"/>
  <c r="Q555" i="4" s="1"/>
  <c r="P556" i="4"/>
  <c r="Q556" i="4" s="1"/>
  <c r="P557" i="4"/>
  <c r="Q557" i="4" s="1"/>
  <c r="P558" i="4"/>
  <c r="Q558" i="4" s="1"/>
  <c r="P559" i="4"/>
  <c r="Q559" i="4" s="1"/>
  <c r="P560" i="4"/>
  <c r="Q560" i="4" s="1"/>
  <c r="P561" i="4"/>
  <c r="Q561" i="4" s="1"/>
  <c r="P562" i="4"/>
  <c r="Q562" i="4" s="1"/>
  <c r="P563" i="4"/>
  <c r="Q563" i="4" s="1"/>
  <c r="P564" i="4"/>
  <c r="Q564" i="4" s="1"/>
  <c r="P565" i="4"/>
  <c r="Q565" i="4" s="1"/>
  <c r="P566" i="4"/>
  <c r="Q566" i="4" s="1"/>
  <c r="P567" i="4"/>
  <c r="Q567" i="4" s="1"/>
  <c r="P568" i="4"/>
  <c r="Q568" i="4" s="1"/>
  <c r="P569" i="4"/>
  <c r="Q569" i="4" s="1"/>
  <c r="P570" i="4"/>
  <c r="Q570" i="4" s="1"/>
  <c r="P571" i="4"/>
  <c r="Q571" i="4" s="1"/>
  <c r="P572" i="4"/>
  <c r="Q572" i="4" s="1"/>
  <c r="P573" i="4"/>
  <c r="Q573" i="4" s="1"/>
  <c r="P574" i="4"/>
  <c r="Q574" i="4" s="1"/>
  <c r="P575" i="4"/>
  <c r="Q575" i="4" s="1"/>
  <c r="P576" i="4"/>
  <c r="Q576" i="4" s="1"/>
  <c r="P577" i="4"/>
  <c r="Q577" i="4" s="1"/>
  <c r="P578" i="4"/>
  <c r="Q578" i="4" s="1"/>
  <c r="P579" i="4"/>
  <c r="Q579" i="4" s="1"/>
  <c r="P580" i="4"/>
  <c r="Q580" i="4" s="1"/>
  <c r="P581" i="4"/>
  <c r="Q581" i="4" s="1"/>
  <c r="P582" i="4"/>
  <c r="Q582" i="4" s="1"/>
  <c r="P583" i="4"/>
  <c r="Q583" i="4" s="1"/>
  <c r="P584" i="4"/>
  <c r="Q584" i="4" s="1"/>
  <c r="P585" i="4"/>
  <c r="Q585" i="4" s="1"/>
  <c r="P586" i="4"/>
  <c r="Q586" i="4" s="1"/>
  <c r="P587" i="4"/>
  <c r="Q587" i="4" s="1"/>
  <c r="P588" i="4"/>
  <c r="Q588" i="4" s="1"/>
  <c r="P589" i="4"/>
  <c r="Q589" i="4" s="1"/>
  <c r="P590" i="4"/>
  <c r="Q590" i="4" s="1"/>
  <c r="P591" i="4"/>
  <c r="Q591" i="4" s="1"/>
  <c r="P592" i="4"/>
  <c r="Q592" i="4" s="1"/>
  <c r="P593" i="4"/>
  <c r="Q593" i="4" s="1"/>
  <c r="P594" i="4"/>
  <c r="Q594" i="4" s="1"/>
  <c r="P595" i="4"/>
  <c r="Q595" i="4" s="1"/>
  <c r="P596" i="4"/>
  <c r="Q596" i="4" s="1"/>
  <c r="P597" i="4"/>
  <c r="Q597" i="4" s="1"/>
  <c r="P598" i="4"/>
  <c r="Q598" i="4" s="1"/>
  <c r="P599" i="4"/>
  <c r="Q599" i="4" s="1"/>
  <c r="P600" i="4"/>
  <c r="Q600" i="4" s="1"/>
  <c r="P601" i="4"/>
  <c r="Q601" i="4" s="1"/>
  <c r="P602" i="4"/>
  <c r="Q602" i="4" s="1"/>
  <c r="P603" i="4"/>
  <c r="Q603" i="4" s="1"/>
  <c r="P604" i="4"/>
  <c r="Q604" i="4" s="1"/>
  <c r="P605" i="4"/>
  <c r="Q605" i="4" s="1"/>
  <c r="P606" i="4"/>
  <c r="Q606" i="4" s="1"/>
  <c r="P607" i="4"/>
  <c r="Q607" i="4" s="1"/>
  <c r="P608" i="4"/>
  <c r="Q608" i="4" s="1"/>
  <c r="P609" i="4"/>
  <c r="Q609" i="4" s="1"/>
  <c r="P610" i="4"/>
  <c r="Q610" i="4" s="1"/>
  <c r="P611" i="4"/>
  <c r="Q611" i="4" s="1"/>
  <c r="P612" i="4"/>
  <c r="Q612" i="4" s="1"/>
  <c r="P613" i="4"/>
  <c r="Q613" i="4" s="1"/>
  <c r="P614" i="4"/>
  <c r="Q614" i="4" s="1"/>
  <c r="P615" i="4"/>
  <c r="Q615" i="4" s="1"/>
  <c r="P616" i="4"/>
  <c r="Q616" i="4" s="1"/>
  <c r="P617" i="4"/>
  <c r="Q617" i="4" s="1"/>
  <c r="P618" i="4"/>
  <c r="Q618" i="4" s="1"/>
  <c r="P619" i="4"/>
  <c r="Q619" i="4" s="1"/>
  <c r="P620" i="4"/>
  <c r="Q620" i="4" s="1"/>
  <c r="P621" i="4"/>
  <c r="Q621" i="4" s="1"/>
  <c r="P622" i="4"/>
  <c r="Q622" i="4" s="1"/>
  <c r="P623" i="4"/>
  <c r="Q623" i="4" s="1"/>
  <c r="P624" i="4"/>
  <c r="Q624" i="4" s="1"/>
  <c r="P625" i="4"/>
  <c r="Q625" i="4" s="1"/>
  <c r="P626" i="4"/>
  <c r="Q626" i="4" s="1"/>
  <c r="P627" i="4"/>
  <c r="Q627" i="4" s="1"/>
  <c r="P628" i="4"/>
  <c r="Q628" i="4" s="1"/>
  <c r="P629" i="4"/>
  <c r="Q629" i="4" s="1"/>
  <c r="P630" i="4"/>
  <c r="Q630" i="4" s="1"/>
  <c r="P631" i="4"/>
  <c r="Q631" i="4" s="1"/>
  <c r="P632" i="4"/>
  <c r="Q632" i="4" s="1"/>
  <c r="P633" i="4"/>
  <c r="Q633" i="4" s="1"/>
  <c r="P634" i="4"/>
  <c r="Q634" i="4" s="1"/>
  <c r="P635" i="4"/>
  <c r="Q635" i="4" s="1"/>
  <c r="P636" i="4"/>
  <c r="Q636" i="4" s="1"/>
  <c r="P637" i="4"/>
  <c r="Q637" i="4" s="1"/>
  <c r="P638" i="4"/>
  <c r="Q638" i="4" s="1"/>
  <c r="P639" i="4"/>
  <c r="Q639" i="4" s="1"/>
  <c r="P640" i="4"/>
  <c r="Q640" i="4" s="1"/>
  <c r="P641" i="4"/>
  <c r="Q641" i="4" s="1"/>
  <c r="P642" i="4"/>
  <c r="Q642" i="4" s="1"/>
  <c r="P643" i="4"/>
  <c r="Q643" i="4" s="1"/>
  <c r="P644" i="4"/>
  <c r="Q644" i="4" s="1"/>
  <c r="P645" i="4"/>
  <c r="Q645" i="4" s="1"/>
  <c r="P646" i="4"/>
  <c r="Q646" i="4" s="1"/>
  <c r="P647" i="4"/>
  <c r="Q647" i="4" s="1"/>
  <c r="P648" i="4"/>
  <c r="Q648" i="4" s="1"/>
  <c r="P649" i="4"/>
  <c r="Q649" i="4" s="1"/>
  <c r="P650" i="4"/>
  <c r="Q650" i="4" s="1"/>
  <c r="P651" i="4"/>
  <c r="Q651" i="4" s="1"/>
  <c r="P652" i="4"/>
  <c r="Q652" i="4" s="1"/>
  <c r="P653" i="4"/>
  <c r="Q653" i="4" s="1"/>
  <c r="P654" i="4"/>
  <c r="Q654" i="4" s="1"/>
  <c r="P655" i="4"/>
  <c r="Q655" i="4" s="1"/>
  <c r="P656" i="4"/>
  <c r="Q656" i="4" s="1"/>
  <c r="P657" i="4"/>
  <c r="Q657" i="4" s="1"/>
  <c r="P658" i="4"/>
  <c r="Q658" i="4" s="1"/>
  <c r="P659" i="4"/>
  <c r="Q659" i="4" s="1"/>
  <c r="P660" i="4"/>
  <c r="Q660" i="4" s="1"/>
  <c r="P661" i="4"/>
  <c r="Q661" i="4" s="1"/>
  <c r="P662" i="4"/>
  <c r="Q662" i="4" s="1"/>
  <c r="P663" i="4"/>
  <c r="Q663" i="4" s="1"/>
  <c r="P664" i="4"/>
  <c r="Q664" i="4" s="1"/>
  <c r="P665" i="4"/>
  <c r="Q665" i="4" s="1"/>
  <c r="P666" i="4"/>
  <c r="Q666" i="4" s="1"/>
  <c r="P667" i="4"/>
  <c r="Q667" i="4" s="1"/>
  <c r="P668" i="4"/>
  <c r="Q668" i="4" s="1"/>
  <c r="P669" i="4"/>
  <c r="Q669" i="4" s="1"/>
  <c r="P670" i="4"/>
  <c r="Q670" i="4" s="1"/>
  <c r="P671" i="4"/>
  <c r="Q671" i="4" s="1"/>
  <c r="P672" i="4"/>
  <c r="Q672" i="4" s="1"/>
  <c r="P673" i="4"/>
  <c r="Q673" i="4" s="1"/>
  <c r="P674" i="4"/>
  <c r="Q674" i="4" s="1"/>
  <c r="P675" i="4"/>
  <c r="Q675" i="4" s="1"/>
  <c r="P676" i="4"/>
  <c r="Q676" i="4" s="1"/>
  <c r="P677" i="4"/>
  <c r="Q677" i="4" s="1"/>
  <c r="P678" i="4"/>
  <c r="Q678" i="4" s="1"/>
  <c r="P679" i="4"/>
  <c r="Q679" i="4" s="1"/>
  <c r="P680" i="4"/>
  <c r="Q680" i="4" s="1"/>
  <c r="P681" i="4"/>
  <c r="Q681" i="4" s="1"/>
  <c r="P682" i="4"/>
  <c r="Q682" i="4" s="1"/>
  <c r="P683" i="4"/>
  <c r="Q683" i="4" s="1"/>
  <c r="P684" i="4"/>
  <c r="Q684" i="4" s="1"/>
  <c r="P685" i="4"/>
  <c r="Q685" i="4" s="1"/>
  <c r="P686" i="4"/>
  <c r="Q686" i="4" s="1"/>
  <c r="P687" i="4"/>
  <c r="Q687" i="4" s="1"/>
  <c r="P688" i="4"/>
  <c r="Q688" i="4" s="1"/>
  <c r="P689" i="4"/>
  <c r="Q689" i="4" s="1"/>
  <c r="P690" i="4"/>
  <c r="Q690" i="4" s="1"/>
  <c r="P691" i="4"/>
  <c r="Q691" i="4" s="1"/>
  <c r="P692" i="4"/>
  <c r="Q692" i="4" s="1"/>
  <c r="P693" i="4"/>
  <c r="Q693" i="4" s="1"/>
  <c r="P694" i="4"/>
  <c r="Q694" i="4" s="1"/>
  <c r="P695" i="4"/>
  <c r="Q695" i="4" s="1"/>
  <c r="P696" i="4"/>
  <c r="Q696" i="4" s="1"/>
  <c r="P697" i="4"/>
  <c r="Q697" i="4" s="1"/>
  <c r="P698" i="4"/>
  <c r="Q698" i="4" s="1"/>
  <c r="P699" i="4"/>
  <c r="Q699" i="4" s="1"/>
  <c r="P700" i="4"/>
  <c r="Q700" i="4" s="1"/>
  <c r="P701" i="4"/>
  <c r="Q701" i="4" s="1"/>
  <c r="P702" i="4"/>
  <c r="Q702" i="4" s="1"/>
  <c r="P703" i="4"/>
  <c r="Q703" i="4" s="1"/>
  <c r="P704" i="4"/>
  <c r="Q704" i="4" s="1"/>
  <c r="P705" i="4"/>
  <c r="Q705" i="4" s="1"/>
  <c r="P706" i="4"/>
  <c r="Q706" i="4" s="1"/>
  <c r="P707" i="4"/>
  <c r="Q707" i="4" s="1"/>
  <c r="P708" i="4"/>
  <c r="Q708" i="4" s="1"/>
  <c r="P709" i="4"/>
  <c r="Q709" i="4" s="1"/>
  <c r="P710" i="4"/>
  <c r="Q710" i="4" s="1"/>
  <c r="P711" i="4"/>
  <c r="Q711" i="4" s="1"/>
  <c r="P712" i="4"/>
  <c r="Q712" i="4" s="1"/>
  <c r="P713" i="4"/>
  <c r="Q713" i="4" s="1"/>
  <c r="P714" i="4"/>
  <c r="Q714" i="4" s="1"/>
  <c r="P715" i="4"/>
  <c r="Q715" i="4" s="1"/>
  <c r="P716" i="4"/>
  <c r="Q716" i="4" s="1"/>
  <c r="P717" i="4"/>
  <c r="Q717" i="4" s="1"/>
  <c r="P718" i="4"/>
  <c r="Q718" i="4" s="1"/>
  <c r="P719" i="4"/>
  <c r="Q719" i="4" s="1"/>
  <c r="P720" i="4"/>
  <c r="Q720" i="4" s="1"/>
  <c r="P721" i="4"/>
  <c r="Q721" i="4" s="1"/>
  <c r="P722" i="4"/>
  <c r="Q722" i="4" s="1"/>
  <c r="P723" i="4"/>
  <c r="Q723" i="4" s="1"/>
  <c r="P724" i="4"/>
  <c r="Q724" i="4" s="1"/>
  <c r="P725" i="4"/>
  <c r="Q725" i="4" s="1"/>
  <c r="P726" i="4"/>
  <c r="Q726" i="4" s="1"/>
  <c r="P727" i="4"/>
  <c r="Q727" i="4" s="1"/>
  <c r="P728" i="4"/>
  <c r="Q728" i="4" s="1"/>
  <c r="P729" i="4"/>
  <c r="Q729" i="4" s="1"/>
  <c r="P730" i="4"/>
  <c r="Q730" i="4" s="1"/>
  <c r="P731" i="4"/>
  <c r="Q731" i="4" s="1"/>
  <c r="P732" i="4"/>
  <c r="Q732" i="4" s="1"/>
  <c r="P733" i="4"/>
  <c r="Q733" i="4" s="1"/>
  <c r="P734" i="4"/>
  <c r="Q734" i="4" s="1"/>
  <c r="P735" i="4"/>
  <c r="Q735" i="4" s="1"/>
  <c r="P736" i="4"/>
  <c r="Q736" i="4" s="1"/>
  <c r="P737" i="4"/>
  <c r="Q737" i="4" s="1"/>
  <c r="P738" i="4"/>
  <c r="Q738" i="4" s="1"/>
  <c r="P739" i="4"/>
  <c r="Q739" i="4" s="1"/>
  <c r="P740" i="4"/>
  <c r="Q740" i="4" s="1"/>
  <c r="P741" i="4"/>
  <c r="Q741" i="4" s="1"/>
  <c r="P742" i="4"/>
  <c r="Q742" i="4" s="1"/>
  <c r="P743" i="4"/>
  <c r="Q743" i="4" s="1"/>
  <c r="P744" i="4"/>
  <c r="Q744" i="4" s="1"/>
  <c r="P745" i="4"/>
  <c r="Q745" i="4" s="1"/>
  <c r="P746" i="4"/>
  <c r="Q746" i="4" s="1"/>
  <c r="P747" i="4"/>
  <c r="Q747" i="4" s="1"/>
  <c r="P748" i="4"/>
  <c r="Q748" i="4" s="1"/>
  <c r="P749" i="4"/>
  <c r="Q749" i="4" s="1"/>
  <c r="P750" i="4"/>
  <c r="Q750" i="4" s="1"/>
  <c r="P751" i="4"/>
  <c r="Q751" i="4" s="1"/>
  <c r="P752" i="4"/>
  <c r="Q752" i="4" s="1"/>
  <c r="P753" i="4"/>
  <c r="Q753" i="4" s="1"/>
  <c r="P754" i="4"/>
  <c r="Q754" i="4" s="1"/>
  <c r="P755" i="4"/>
  <c r="Q755" i="4" s="1"/>
  <c r="P756" i="4"/>
  <c r="Q756" i="4" s="1"/>
  <c r="P757" i="4"/>
  <c r="Q757" i="4" s="1"/>
  <c r="P758" i="4"/>
  <c r="Q758" i="4" s="1"/>
  <c r="P759" i="4"/>
  <c r="Q759" i="4" s="1"/>
  <c r="P760" i="4"/>
  <c r="Q760" i="4" s="1"/>
  <c r="P761" i="4"/>
  <c r="Q761" i="4" s="1"/>
  <c r="P762" i="4"/>
  <c r="Q762" i="4" s="1"/>
  <c r="P763" i="4"/>
  <c r="Q763" i="4" s="1"/>
  <c r="P764" i="4"/>
  <c r="Q764" i="4" s="1"/>
  <c r="P765" i="4"/>
  <c r="Q765" i="4" s="1"/>
  <c r="P766" i="4"/>
  <c r="Q766" i="4" s="1"/>
  <c r="P767" i="4"/>
  <c r="Q767" i="4" s="1"/>
  <c r="P768" i="4"/>
  <c r="Q768" i="4" s="1"/>
  <c r="P769" i="4"/>
  <c r="Q769" i="4" s="1"/>
  <c r="P770" i="4"/>
  <c r="Q770" i="4" s="1"/>
  <c r="P771" i="4"/>
  <c r="Q771" i="4" s="1"/>
  <c r="P772" i="4"/>
  <c r="Q772" i="4" s="1"/>
  <c r="P773" i="4"/>
  <c r="Q773" i="4" s="1"/>
  <c r="P774" i="4"/>
  <c r="Q774" i="4" s="1"/>
  <c r="P775" i="4"/>
  <c r="Q775" i="4" s="1"/>
  <c r="P776" i="4"/>
  <c r="Q776" i="4" s="1"/>
  <c r="P777" i="4"/>
  <c r="Q777" i="4" s="1"/>
  <c r="P778" i="4"/>
  <c r="Q778" i="4" s="1"/>
  <c r="P779" i="4"/>
  <c r="Q779" i="4" s="1"/>
  <c r="P780" i="4"/>
  <c r="Q780" i="4" s="1"/>
  <c r="P781" i="4"/>
  <c r="Q781" i="4" s="1"/>
  <c r="P782" i="4"/>
  <c r="Q782" i="4" s="1"/>
  <c r="P783" i="4"/>
  <c r="Q783" i="4" s="1"/>
  <c r="P784" i="4"/>
  <c r="Q784" i="4" s="1"/>
  <c r="P785" i="4"/>
  <c r="Q785" i="4" s="1"/>
  <c r="P786" i="4"/>
  <c r="Q786" i="4" s="1"/>
  <c r="P787" i="4"/>
  <c r="Q787" i="4" s="1"/>
  <c r="P788" i="4"/>
  <c r="Q788" i="4" s="1"/>
  <c r="P789" i="4"/>
  <c r="Q789" i="4" s="1"/>
  <c r="P790" i="4"/>
  <c r="Q790" i="4" s="1"/>
  <c r="P791" i="4"/>
  <c r="Q791" i="4" s="1"/>
  <c r="P792" i="4"/>
  <c r="Q792" i="4" s="1"/>
  <c r="P793" i="4"/>
  <c r="Q793" i="4" s="1"/>
  <c r="P794" i="4"/>
  <c r="Q794" i="4" s="1"/>
  <c r="P795" i="4"/>
  <c r="Q795" i="4" s="1"/>
  <c r="P796" i="4"/>
  <c r="Q796" i="4" s="1"/>
  <c r="P797" i="4"/>
  <c r="Q797" i="4" s="1"/>
  <c r="P798" i="4"/>
  <c r="Q798" i="4" s="1"/>
  <c r="P799" i="4"/>
  <c r="Q799" i="4" s="1"/>
  <c r="P800" i="4"/>
  <c r="Q800" i="4" s="1"/>
  <c r="P801" i="4"/>
  <c r="Q801" i="4" s="1"/>
  <c r="P802" i="4"/>
  <c r="Q802" i="4" s="1"/>
  <c r="P803" i="4"/>
  <c r="Q803" i="4" s="1"/>
  <c r="P804" i="4"/>
  <c r="Q804" i="4" s="1"/>
  <c r="P805" i="4"/>
  <c r="Q805" i="4" s="1"/>
  <c r="P806" i="4"/>
  <c r="Q806" i="4" s="1"/>
  <c r="P807" i="4"/>
  <c r="Q807" i="4" s="1"/>
  <c r="P808" i="4"/>
  <c r="Q808" i="4" s="1"/>
  <c r="P809" i="4"/>
  <c r="Q809" i="4" s="1"/>
  <c r="P810" i="4"/>
  <c r="Q810" i="4" s="1"/>
  <c r="P811" i="4"/>
  <c r="Q811" i="4" s="1"/>
  <c r="P812" i="4"/>
  <c r="Q812" i="4" s="1"/>
  <c r="P813" i="4"/>
  <c r="Q813" i="4" s="1"/>
  <c r="P814" i="4"/>
  <c r="Q814" i="4" s="1"/>
  <c r="P815" i="4"/>
  <c r="Q815" i="4" s="1"/>
  <c r="P816" i="4"/>
  <c r="Q816" i="4" s="1"/>
  <c r="P817" i="4"/>
  <c r="Q817" i="4" s="1"/>
  <c r="P818" i="4"/>
  <c r="Q818" i="4" s="1"/>
  <c r="P819" i="4"/>
  <c r="Q819" i="4" s="1"/>
  <c r="P820" i="4"/>
  <c r="Q820" i="4" s="1"/>
  <c r="P821" i="4"/>
  <c r="Q821" i="4" s="1"/>
  <c r="P822" i="4"/>
  <c r="Q822" i="4" s="1"/>
  <c r="P823" i="4"/>
  <c r="Q823" i="4" s="1"/>
  <c r="P824" i="4"/>
  <c r="Q824" i="4" s="1"/>
  <c r="P825" i="4"/>
  <c r="Q825" i="4" s="1"/>
  <c r="P826" i="4"/>
  <c r="Q826" i="4" s="1"/>
  <c r="P827" i="4"/>
  <c r="Q827" i="4" s="1"/>
  <c r="P828" i="4"/>
  <c r="Q828" i="4" s="1"/>
  <c r="P829" i="4"/>
  <c r="Q829" i="4" s="1"/>
  <c r="P830" i="4"/>
  <c r="Q830" i="4" s="1"/>
  <c r="P831" i="4"/>
  <c r="Q831" i="4" s="1"/>
  <c r="P832" i="4"/>
  <c r="Q832" i="4" s="1"/>
  <c r="P833" i="4"/>
  <c r="Q833" i="4" s="1"/>
  <c r="P834" i="4"/>
  <c r="Q834" i="4" s="1"/>
  <c r="P835" i="4"/>
  <c r="Q835" i="4" s="1"/>
  <c r="P836" i="4"/>
  <c r="Q836" i="4" s="1"/>
  <c r="P837" i="4"/>
  <c r="Q837" i="4" s="1"/>
  <c r="P838" i="4"/>
  <c r="Q838" i="4" s="1"/>
  <c r="P839" i="4"/>
  <c r="Q839" i="4" s="1"/>
  <c r="P840" i="4"/>
  <c r="Q840" i="4" s="1"/>
  <c r="P841" i="4"/>
  <c r="Q841" i="4" s="1"/>
  <c r="P842" i="4"/>
  <c r="Q842" i="4" s="1"/>
  <c r="P843" i="4"/>
  <c r="Q843" i="4" s="1"/>
  <c r="P844" i="4"/>
  <c r="Q844" i="4" s="1"/>
  <c r="P845" i="4"/>
  <c r="Q845" i="4" s="1"/>
  <c r="P846" i="4"/>
  <c r="Q846" i="4" s="1"/>
  <c r="P847" i="4"/>
  <c r="Q847" i="4" s="1"/>
  <c r="P848" i="4"/>
  <c r="Q848" i="4" s="1"/>
  <c r="P849" i="4"/>
  <c r="Q849" i="4" s="1"/>
  <c r="P850" i="4"/>
  <c r="Q850" i="4" s="1"/>
  <c r="P851" i="4"/>
  <c r="Q851" i="4" s="1"/>
  <c r="P852" i="4"/>
  <c r="Q852" i="4" s="1"/>
  <c r="P853" i="4"/>
  <c r="Q853" i="4" s="1"/>
  <c r="P854" i="4"/>
  <c r="Q854" i="4" s="1"/>
  <c r="P855" i="4"/>
  <c r="Q855" i="4" s="1"/>
  <c r="P856" i="4"/>
  <c r="Q856" i="4" s="1"/>
  <c r="P857" i="4"/>
  <c r="Q857" i="4" s="1"/>
  <c r="P858" i="4"/>
  <c r="Q858" i="4" s="1"/>
  <c r="P859" i="4"/>
  <c r="Q859" i="4" s="1"/>
  <c r="P860" i="4"/>
  <c r="Q860" i="4" s="1"/>
  <c r="P861" i="4"/>
  <c r="Q861" i="4" s="1"/>
  <c r="P862" i="4"/>
  <c r="Q862" i="4" s="1"/>
  <c r="P863" i="4"/>
  <c r="Q863" i="4" s="1"/>
  <c r="P864" i="4"/>
  <c r="Q864" i="4" s="1"/>
  <c r="P865" i="4"/>
  <c r="Q865" i="4" s="1"/>
  <c r="P866" i="4"/>
  <c r="Q866" i="4" s="1"/>
  <c r="P867" i="4"/>
  <c r="Q867" i="4" s="1"/>
  <c r="P868" i="4"/>
  <c r="Q868" i="4" s="1"/>
  <c r="P869" i="4"/>
  <c r="Q869" i="4" s="1"/>
  <c r="P870" i="4"/>
  <c r="Q870" i="4" s="1"/>
  <c r="P871" i="4"/>
  <c r="Q871" i="4" s="1"/>
  <c r="P872" i="4"/>
  <c r="Q872" i="4" s="1"/>
  <c r="P873" i="4"/>
  <c r="Q873" i="4" s="1"/>
  <c r="P874" i="4"/>
  <c r="Q874" i="4" s="1"/>
  <c r="P875" i="4"/>
  <c r="Q875" i="4" s="1"/>
  <c r="P876" i="4"/>
  <c r="Q876" i="4" s="1"/>
  <c r="P877" i="4"/>
  <c r="Q877" i="4" s="1"/>
  <c r="P878" i="4"/>
  <c r="Q878" i="4" s="1"/>
  <c r="P879" i="4"/>
  <c r="Q879" i="4" s="1"/>
  <c r="P880" i="4"/>
  <c r="Q880" i="4" s="1"/>
  <c r="P881" i="4"/>
  <c r="Q881" i="4" s="1"/>
  <c r="P882" i="4"/>
  <c r="Q882" i="4" s="1"/>
  <c r="P883" i="4"/>
  <c r="Q883" i="4" s="1"/>
  <c r="P884" i="4"/>
  <c r="Q884" i="4" s="1"/>
  <c r="P885" i="4"/>
  <c r="Q885" i="4" s="1"/>
  <c r="P886" i="4"/>
  <c r="Q886" i="4" s="1"/>
  <c r="P887" i="4"/>
  <c r="Q887" i="4" s="1"/>
  <c r="P888" i="4"/>
  <c r="Q888" i="4" s="1"/>
  <c r="P889" i="4"/>
  <c r="Q889" i="4" s="1"/>
  <c r="P890" i="4"/>
  <c r="Q890" i="4" s="1"/>
  <c r="P891" i="4"/>
  <c r="Q891" i="4" s="1"/>
  <c r="P892" i="4"/>
  <c r="Q892" i="4" s="1"/>
  <c r="P893" i="4"/>
  <c r="Q893" i="4" s="1"/>
  <c r="P3" i="4"/>
  <c r="Q3" i="4" s="1"/>
  <c r="B2" i="6" l="1" a="1"/>
  <c r="B2" i="6" s="1"/>
  <c r="Q243" i="4"/>
  <c r="Q195" i="4"/>
  <c r="Q179" i="4"/>
  <c r="Q131" i="4"/>
  <c r="Q115" i="4"/>
  <c r="Q67" i="4"/>
  <c r="Q51" i="4"/>
  <c r="S2" i="4" l="1" a="1"/>
  <c r="S2" i="4" s="1"/>
  <c r="Q1" i="4"/>
  <c r="U3" i="2" l="1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W2" i="2"/>
  <c r="X2" i="2"/>
  <c r="V2" i="2"/>
  <c r="R3" i="2"/>
  <c r="R4" i="2"/>
  <c r="R5" i="2"/>
  <c r="R6" i="2"/>
  <c r="R8" i="2"/>
  <c r="R9" i="2"/>
  <c r="R10" i="2"/>
  <c r="R11" i="2"/>
  <c r="R12" i="2"/>
  <c r="R13" i="2"/>
  <c r="R14" i="2"/>
  <c r="R15" i="2"/>
  <c r="R16" i="2"/>
  <c r="R17" i="2"/>
  <c r="R18" i="2"/>
  <c r="R20" i="2"/>
  <c r="R22" i="2"/>
  <c r="R23" i="2"/>
  <c r="R24" i="2"/>
  <c r="R25" i="2"/>
  <c r="R26" i="2"/>
  <c r="R27" i="2"/>
  <c r="R29" i="2"/>
  <c r="R32" i="2"/>
  <c r="R35" i="2"/>
  <c r="R36" i="2"/>
  <c r="R37" i="2"/>
  <c r="R39" i="2"/>
  <c r="R40" i="2"/>
  <c r="R41" i="2"/>
  <c r="R42" i="2"/>
  <c r="R43" i="2"/>
  <c r="R45" i="2"/>
  <c r="R46" i="2"/>
  <c r="R51" i="2"/>
  <c r="R52" i="2"/>
  <c r="R53" i="2"/>
  <c r="R54" i="2"/>
  <c r="R55" i="2"/>
  <c r="R56" i="2"/>
  <c r="R58" i="2"/>
  <c r="R59" i="2"/>
  <c r="R60" i="2"/>
  <c r="R61" i="2"/>
  <c r="R62" i="2"/>
  <c r="R63" i="2"/>
  <c r="R64" i="2"/>
  <c r="R65" i="2"/>
  <c r="R68" i="2"/>
  <c r="R69" i="2"/>
  <c r="R70" i="2"/>
  <c r="R71" i="2"/>
  <c r="R72" i="2"/>
  <c r="R73" i="2"/>
  <c r="R74" i="2"/>
  <c r="R75" i="2"/>
  <c r="R76" i="2"/>
  <c r="R77" i="2"/>
  <c r="R80" i="2"/>
  <c r="R81" i="2"/>
  <c r="R82" i="2"/>
  <c r="R83" i="2"/>
  <c r="R85" i="2"/>
  <c r="R86" i="2"/>
  <c r="R87" i="2"/>
  <c r="R88" i="2"/>
  <c r="R90" i="2"/>
  <c r="R91" i="2"/>
  <c r="R92" i="2"/>
  <c r="R93" i="2"/>
  <c r="R94" i="2"/>
  <c r="R95" i="2"/>
  <c r="R96" i="2"/>
  <c r="R98" i="2"/>
  <c r="R99" i="2"/>
  <c r="R100" i="2"/>
  <c r="R101" i="2"/>
  <c r="R102" i="2"/>
  <c r="R104" i="2"/>
  <c r="R105" i="2"/>
  <c r="R106" i="2"/>
  <c r="R107" i="2"/>
  <c r="R108" i="2"/>
  <c r="R110" i="2"/>
  <c r="R112" i="2"/>
  <c r="R113" i="2"/>
  <c r="R114" i="2"/>
  <c r="R115" i="2"/>
  <c r="R116" i="2"/>
  <c r="R117" i="2"/>
  <c r="R118" i="2"/>
  <c r="R119" i="2"/>
  <c r="R120" i="2"/>
  <c r="R121" i="2"/>
  <c r="R122" i="2"/>
  <c r="R124" i="2"/>
  <c r="R125" i="2"/>
  <c r="R126" i="2"/>
  <c r="R127" i="2"/>
  <c r="R129" i="2"/>
  <c r="R131" i="2"/>
  <c r="R132" i="2"/>
  <c r="R133" i="2"/>
  <c r="R134" i="2"/>
  <c r="R135" i="2"/>
  <c r="R136" i="2"/>
  <c r="R137" i="2"/>
  <c r="R138" i="2"/>
  <c r="R139" i="2"/>
  <c r="R140" i="2"/>
  <c r="R141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7" i="2"/>
  <c r="R158" i="2"/>
  <c r="R159" i="2"/>
  <c r="R162" i="2"/>
  <c r="R163" i="2"/>
  <c r="R164" i="2"/>
  <c r="R165" i="2"/>
  <c r="R166" i="2"/>
  <c r="R167" i="2"/>
  <c r="R169" i="2"/>
  <c r="R171" i="2"/>
  <c r="R172" i="2"/>
  <c r="R173" i="2"/>
  <c r="R174" i="2"/>
  <c r="R175" i="2"/>
  <c r="R176" i="2"/>
  <c r="R177" i="2"/>
  <c r="R179" i="2"/>
  <c r="R180" i="2"/>
  <c r="R181" i="2"/>
  <c r="R184" i="2"/>
  <c r="R185" i="2"/>
  <c r="R186" i="2"/>
  <c r="R189" i="2"/>
  <c r="R190" i="2"/>
  <c r="R191" i="2"/>
  <c r="R192" i="2"/>
  <c r="R193" i="2"/>
  <c r="R194" i="2"/>
  <c r="R195" i="2"/>
  <c r="R196" i="2"/>
  <c r="R197" i="2"/>
  <c r="R199" i="2"/>
  <c r="R201" i="2"/>
  <c r="R202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7" i="2"/>
  <c r="R218" i="2"/>
  <c r="R219" i="2"/>
  <c r="R220" i="2"/>
  <c r="R221" i="2"/>
  <c r="R222" i="2"/>
  <c r="R223" i="2"/>
  <c r="R224" i="2"/>
  <c r="R226" i="2"/>
  <c r="R227" i="2"/>
  <c r="R228" i="2"/>
  <c r="R229" i="2"/>
  <c r="R230" i="2"/>
  <c r="R232" i="2"/>
  <c r="R233" i="2"/>
  <c r="R234" i="2"/>
  <c r="R235" i="2"/>
  <c r="R236" i="2"/>
  <c r="R238" i="2"/>
  <c r="R239" i="2"/>
  <c r="R240" i="2"/>
  <c r="R241" i="2"/>
  <c r="R244" i="2"/>
  <c r="R245" i="2"/>
  <c r="R246" i="2"/>
  <c r="R247" i="2"/>
  <c r="R248" i="2"/>
  <c r="R249" i="2"/>
  <c r="R250" i="2"/>
  <c r="R251" i="2"/>
  <c r="R253" i="2"/>
  <c r="R254" i="2"/>
  <c r="R255" i="2"/>
  <c r="R256" i="2"/>
  <c r="R257" i="2"/>
  <c r="R259" i="2"/>
  <c r="R260" i="2"/>
  <c r="R261" i="2"/>
  <c r="R263" i="2"/>
  <c r="R264" i="2"/>
  <c r="R265" i="2"/>
  <c r="R267" i="2"/>
  <c r="R268" i="2"/>
  <c r="R269" i="2"/>
  <c r="R270" i="2"/>
  <c r="R271" i="2"/>
  <c r="R273" i="2"/>
  <c r="R274" i="2"/>
  <c r="R275" i="2"/>
  <c r="R277" i="2"/>
  <c r="R278" i="2"/>
  <c r="R280" i="2"/>
  <c r="R281" i="2"/>
  <c r="R282" i="2"/>
  <c r="R283" i="2"/>
  <c r="R284" i="2"/>
  <c r="R285" i="2"/>
  <c r="R287" i="2"/>
  <c r="R288" i="2"/>
  <c r="R289" i="2"/>
  <c r="R290" i="2"/>
  <c r="R291" i="2"/>
  <c r="R292" i="2"/>
  <c r="R293" i="2"/>
  <c r="R294" i="2"/>
  <c r="R295" i="2"/>
  <c r="R296" i="2"/>
  <c r="R298" i="2"/>
  <c r="R299" i="2"/>
  <c r="R301" i="2"/>
  <c r="R304" i="2"/>
  <c r="R307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7" i="2"/>
  <c r="R328" i="2"/>
  <c r="R329" i="2"/>
  <c r="R330" i="2"/>
  <c r="R331" i="2"/>
  <c r="R333" i="2"/>
  <c r="R334" i="2"/>
  <c r="R335" i="2"/>
  <c r="R338" i="2"/>
  <c r="R339" i="2"/>
  <c r="R340" i="2"/>
  <c r="R341" i="2"/>
  <c r="R342" i="2"/>
  <c r="R343" i="2"/>
  <c r="R344" i="2"/>
  <c r="R345" i="2"/>
  <c r="R346" i="2"/>
  <c r="R347" i="2"/>
  <c r="R348" i="2"/>
  <c r="R350" i="2"/>
  <c r="R351" i="2"/>
  <c r="R352" i="2"/>
  <c r="R354" i="2"/>
  <c r="R355" i="2"/>
  <c r="R357" i="2"/>
  <c r="R358" i="2"/>
  <c r="R359" i="2"/>
  <c r="R362" i="2"/>
  <c r="R363" i="2"/>
  <c r="R364" i="2"/>
  <c r="R365" i="2"/>
  <c r="R367" i="2"/>
  <c r="R368" i="2"/>
  <c r="R371" i="2"/>
  <c r="R372" i="2"/>
  <c r="R373" i="2"/>
  <c r="R374" i="2"/>
  <c r="R375" i="2"/>
  <c r="R376" i="2"/>
  <c r="R378" i="2"/>
  <c r="R379" i="2"/>
  <c r="R380" i="2"/>
  <c r="R381" i="2"/>
  <c r="R382" i="2"/>
  <c r="R383" i="2"/>
  <c r="R384" i="2"/>
  <c r="R385" i="2"/>
  <c r="R387" i="2"/>
  <c r="R388" i="2"/>
  <c r="R389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4" i="2"/>
  <c r="R416" i="2"/>
  <c r="R418" i="2"/>
  <c r="R419" i="2"/>
  <c r="R420" i="2"/>
  <c r="R421" i="2"/>
  <c r="R423" i="2"/>
  <c r="R424" i="2"/>
  <c r="R425" i="2"/>
  <c r="R426" i="2"/>
  <c r="R428" i="2"/>
  <c r="R429" i="2"/>
  <c r="R431" i="2"/>
  <c r="R432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7" i="2"/>
  <c r="R448" i="2"/>
  <c r="R449" i="2"/>
  <c r="R450" i="2"/>
  <c r="R451" i="2"/>
  <c r="R452" i="2"/>
  <c r="R454" i="2"/>
  <c r="R455" i="2"/>
  <c r="R457" i="2"/>
  <c r="R458" i="2"/>
  <c r="R460" i="2"/>
  <c r="R462" i="2"/>
  <c r="R463" i="2"/>
  <c r="R464" i="2"/>
  <c r="R465" i="2"/>
  <c r="R467" i="2"/>
  <c r="R469" i="2"/>
  <c r="R471" i="2"/>
  <c r="R473" i="2"/>
  <c r="R474" i="2"/>
  <c r="R475" i="2"/>
  <c r="R476" i="2"/>
  <c r="R478" i="2"/>
  <c r="R479" i="2"/>
  <c r="R480" i="2"/>
  <c r="R481" i="2"/>
  <c r="R482" i="2"/>
  <c r="R484" i="2"/>
  <c r="R485" i="2"/>
  <c r="R486" i="2"/>
  <c r="R488" i="2"/>
  <c r="R489" i="2"/>
  <c r="R490" i="2"/>
  <c r="R491" i="2"/>
  <c r="R493" i="2"/>
  <c r="R494" i="2"/>
  <c r="R495" i="2"/>
  <c r="R496" i="2"/>
  <c r="R498" i="2"/>
  <c r="R500" i="2"/>
  <c r="R501" i="2"/>
  <c r="R502" i="2"/>
  <c r="R503" i="2"/>
  <c r="R505" i="2"/>
  <c r="R506" i="2"/>
  <c r="R507" i="2"/>
  <c r="R508" i="2"/>
  <c r="R510" i="2"/>
  <c r="R511" i="2"/>
  <c r="R512" i="2"/>
  <c r="R514" i="2"/>
  <c r="R515" i="2"/>
  <c r="R516" i="2"/>
  <c r="R517" i="2"/>
  <c r="R518" i="2"/>
  <c r="R520" i="2"/>
  <c r="R521" i="2"/>
  <c r="R522" i="2"/>
  <c r="R523" i="2"/>
  <c r="R525" i="2"/>
  <c r="R527" i="2"/>
  <c r="R528" i="2"/>
  <c r="R530" i="2"/>
  <c r="R531" i="2"/>
  <c r="R532" i="2"/>
  <c r="R534" i="2"/>
  <c r="R536" i="2"/>
  <c r="R537" i="2"/>
  <c r="R538" i="2"/>
  <c r="R539" i="2"/>
  <c r="R541" i="2"/>
  <c r="R542" i="2"/>
  <c r="R543" i="2"/>
  <c r="R544" i="2"/>
  <c r="R545" i="2"/>
  <c r="R546" i="2"/>
  <c r="R547" i="2"/>
  <c r="R548" i="2"/>
  <c r="R550" i="2"/>
  <c r="R551" i="2"/>
  <c r="R552" i="2"/>
  <c r="R553" i="2"/>
  <c r="R555" i="2"/>
  <c r="R556" i="2"/>
  <c r="R557" i="2"/>
  <c r="R558" i="2"/>
  <c r="R560" i="2"/>
  <c r="R561" i="2"/>
  <c r="R563" i="2"/>
  <c r="R564" i="2"/>
  <c r="R567" i="2"/>
  <c r="R568" i="2"/>
  <c r="R569" i="2"/>
  <c r="R571" i="2"/>
  <c r="R572" i="2"/>
  <c r="R573" i="2"/>
  <c r="R574" i="2"/>
  <c r="R576" i="2"/>
  <c r="R577" i="2"/>
  <c r="R578" i="2"/>
  <c r="R579" i="2"/>
  <c r="R581" i="2"/>
  <c r="R582" i="2"/>
  <c r="R583" i="2"/>
  <c r="R584" i="2"/>
  <c r="R585" i="2"/>
  <c r="R587" i="2"/>
  <c r="R588" i="2"/>
  <c r="R589" i="2"/>
  <c r="R590" i="2"/>
  <c r="R592" i="2"/>
  <c r="R593" i="2"/>
  <c r="R594" i="2"/>
  <c r="R596" i="2"/>
  <c r="R597" i="2"/>
  <c r="R599" i="2"/>
  <c r="R601" i="2"/>
  <c r="R602" i="2"/>
  <c r="R605" i="2"/>
  <c r="R606" i="2"/>
  <c r="R607" i="2"/>
  <c r="R608" i="2"/>
  <c r="R609" i="2"/>
  <c r="R610" i="2"/>
  <c r="R611" i="2"/>
  <c r="R612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2" i="2"/>
  <c r="R633" i="2"/>
  <c r="R634" i="2"/>
  <c r="R636" i="2"/>
  <c r="R637" i="2"/>
  <c r="R638" i="2"/>
  <c r="R639" i="2"/>
  <c r="R640" i="2"/>
  <c r="R642" i="2"/>
  <c r="R643" i="2"/>
  <c r="R644" i="2"/>
  <c r="R646" i="2"/>
  <c r="R647" i="2"/>
  <c r="R648" i="2"/>
  <c r="R649" i="2"/>
  <c r="R651" i="2"/>
  <c r="R653" i="2"/>
  <c r="R654" i="2"/>
  <c r="R656" i="2"/>
  <c r="R657" i="2"/>
  <c r="R659" i="2"/>
  <c r="R660" i="2"/>
  <c r="R661" i="2"/>
  <c r="R662" i="2"/>
  <c r="R663" i="2"/>
  <c r="R664" i="2"/>
  <c r="R665" i="2"/>
  <c r="R666" i="2"/>
  <c r="R667" i="2"/>
  <c r="R668" i="2"/>
  <c r="R670" i="2"/>
  <c r="R672" i="2"/>
  <c r="R673" i="2"/>
  <c r="R674" i="2"/>
  <c r="R675" i="2"/>
  <c r="R677" i="2"/>
  <c r="R678" i="2"/>
  <c r="R679" i="2"/>
  <c r="R680" i="2"/>
  <c r="R681" i="2"/>
  <c r="R683" i="2"/>
  <c r="R684" i="2"/>
  <c r="R685" i="2"/>
  <c r="R686" i="2"/>
  <c r="R687" i="2"/>
  <c r="R688" i="2"/>
  <c r="R689" i="2"/>
  <c r="R690" i="2"/>
  <c r="R691" i="2"/>
  <c r="R692" i="2"/>
  <c r="R693" i="2"/>
  <c r="R695" i="2"/>
  <c r="R696" i="2"/>
  <c r="R697" i="2"/>
  <c r="R698" i="2"/>
  <c r="R700" i="2"/>
  <c r="R701" i="2"/>
  <c r="R702" i="2"/>
  <c r="R703" i="2"/>
  <c r="R704" i="2"/>
  <c r="R705" i="2"/>
  <c r="R706" i="2"/>
  <c r="R707" i="2"/>
  <c r="R708" i="2"/>
  <c r="R709" i="2"/>
  <c r="R710" i="2"/>
  <c r="R712" i="2"/>
  <c r="R714" i="2"/>
  <c r="R715" i="2"/>
  <c r="R716" i="2"/>
  <c r="R717" i="2"/>
  <c r="R718" i="2"/>
  <c r="R719" i="2"/>
  <c r="R721" i="2"/>
  <c r="R722" i="2"/>
  <c r="R723" i="2"/>
  <c r="R724" i="2"/>
  <c r="R725" i="2"/>
  <c r="R726" i="2"/>
  <c r="R727" i="2"/>
  <c r="R728" i="2"/>
  <c r="R730" i="2"/>
  <c r="R731" i="2"/>
  <c r="R732" i="2"/>
  <c r="R733" i="2"/>
  <c r="R735" i="2"/>
  <c r="R736" i="2"/>
  <c r="R737" i="2"/>
  <c r="R738" i="2"/>
  <c r="R739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3" i="2"/>
  <c r="R764" i="2"/>
  <c r="R765" i="2"/>
  <c r="R766" i="2"/>
  <c r="R767" i="2"/>
  <c r="R769" i="2"/>
  <c r="R771" i="2"/>
  <c r="R772" i="2"/>
  <c r="R773" i="2"/>
  <c r="R774" i="2"/>
  <c r="R776" i="2"/>
  <c r="R777" i="2"/>
  <c r="R779" i="2"/>
  <c r="R781" i="2"/>
  <c r="R782" i="2"/>
  <c r="R783" i="2"/>
  <c r="R784" i="2"/>
  <c r="R786" i="2"/>
  <c r="R787" i="2"/>
  <c r="R788" i="2"/>
  <c r="R789" i="2"/>
  <c r="R790" i="2"/>
  <c r="R791" i="2"/>
  <c r="R793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8" i="2"/>
  <c r="R819" i="2"/>
  <c r="R820" i="2"/>
  <c r="R821" i="2"/>
  <c r="R822" i="2"/>
  <c r="R823" i="2"/>
  <c r="R824" i="2"/>
  <c r="R825" i="2"/>
  <c r="R826" i="2"/>
  <c r="R829" i="2"/>
  <c r="R831" i="2"/>
  <c r="R832" i="2"/>
  <c r="R833" i="2"/>
  <c r="R835" i="2"/>
  <c r="R836" i="2"/>
  <c r="R837" i="2"/>
  <c r="R838" i="2"/>
  <c r="R840" i="2"/>
  <c r="R842" i="2"/>
  <c r="R843" i="2"/>
  <c r="R844" i="2"/>
  <c r="R845" i="2"/>
  <c r="R846" i="2"/>
  <c r="R847" i="2"/>
  <c r="R849" i="2"/>
  <c r="R850" i="2"/>
  <c r="R852" i="2"/>
  <c r="R853" i="2"/>
  <c r="R854" i="2"/>
  <c r="R855" i="2"/>
  <c r="R856" i="2"/>
  <c r="R857" i="2"/>
  <c r="R858" i="2"/>
  <c r="R859" i="2"/>
  <c r="R860" i="2"/>
  <c r="R862" i="2"/>
  <c r="R863" i="2"/>
  <c r="R864" i="2"/>
  <c r="R866" i="2"/>
  <c r="R867" i="2"/>
  <c r="R868" i="2"/>
  <c r="R869" i="2"/>
  <c r="R871" i="2"/>
  <c r="R872" i="2"/>
  <c r="R873" i="2"/>
  <c r="R874" i="2"/>
  <c r="R875" i="2"/>
  <c r="R876" i="2"/>
  <c r="R877" i="2"/>
  <c r="R878" i="2"/>
  <c r="R879" i="2"/>
  <c r="R881" i="2"/>
  <c r="R882" i="2"/>
  <c r="R883" i="2"/>
  <c r="R884" i="2"/>
  <c r="R885" i="2"/>
  <c r="R886" i="2"/>
  <c r="R887" i="2"/>
  <c r="R888" i="2"/>
  <c r="R889" i="2"/>
  <c r="R891" i="2"/>
  <c r="R892" i="2"/>
  <c r="R2" i="2"/>
  <c r="O19" i="2"/>
  <c r="O18" i="2"/>
  <c r="R279" i="2" s="1"/>
  <c r="O15" i="2"/>
  <c r="O14" i="2"/>
  <c r="S3" i="2"/>
  <c r="S4" i="2"/>
  <c r="S5" i="2"/>
  <c r="S6" i="2"/>
  <c r="S7" i="2"/>
  <c r="S8" i="2"/>
  <c r="S9" i="2"/>
  <c r="Y9" i="2" s="1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Z53" i="2" s="1"/>
  <c r="S54" i="2"/>
  <c r="S55" i="2"/>
  <c r="S56" i="2"/>
  <c r="S57" i="2"/>
  <c r="S58" i="2"/>
  <c r="S59" i="2"/>
  <c r="S60" i="2"/>
  <c r="S61" i="2"/>
  <c r="S62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Y80" i="2" s="1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Y97" i="2" s="1"/>
  <c r="S98" i="2"/>
  <c r="S99" i="2"/>
  <c r="S100" i="2"/>
  <c r="S101" i="2"/>
  <c r="S102" i="2"/>
  <c r="S103" i="2"/>
  <c r="S104" i="2"/>
  <c r="S105" i="2"/>
  <c r="S106" i="2"/>
  <c r="Y106" i="2" s="1"/>
  <c r="S107" i="2"/>
  <c r="S108" i="2"/>
  <c r="S109" i="2"/>
  <c r="S110" i="2"/>
  <c r="S111" i="2"/>
  <c r="S112" i="2"/>
  <c r="S113" i="2"/>
  <c r="S114" i="2"/>
  <c r="Y114" i="2" s="1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Z166" i="2" s="1"/>
  <c r="S167" i="2"/>
  <c r="S168" i="2"/>
  <c r="S169" i="2"/>
  <c r="S170" i="2"/>
  <c r="S171" i="2"/>
  <c r="Y171" i="2" s="1"/>
  <c r="S172" i="2"/>
  <c r="S173" i="2"/>
  <c r="S174" i="2"/>
  <c r="S175" i="2"/>
  <c r="S176" i="2"/>
  <c r="S177" i="2"/>
  <c r="S178" i="2"/>
  <c r="S179" i="2"/>
  <c r="S180" i="2"/>
  <c r="S181" i="2"/>
  <c r="Z181" i="2" s="1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Y212" i="2" s="1"/>
  <c r="S213" i="2"/>
  <c r="S214" i="2"/>
  <c r="S215" i="2"/>
  <c r="S216" i="2"/>
  <c r="S217" i="2"/>
  <c r="S218" i="2"/>
  <c r="S219" i="2"/>
  <c r="Y219" i="2" s="1"/>
  <c r="S220" i="2"/>
  <c r="S221" i="2"/>
  <c r="S222" i="2"/>
  <c r="S223" i="2"/>
  <c r="S224" i="2"/>
  <c r="S225" i="2"/>
  <c r="S226" i="2"/>
  <c r="S227" i="2"/>
  <c r="S228" i="2"/>
  <c r="Y228" i="2" s="1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Y251" i="2" s="1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Y274" i="2" s="1"/>
  <c r="S275" i="2"/>
  <c r="S276" i="2"/>
  <c r="S277" i="2"/>
  <c r="S278" i="2"/>
  <c r="S279" i="2"/>
  <c r="S280" i="2"/>
  <c r="S281" i="2"/>
  <c r="S282" i="2"/>
  <c r="S283" i="2"/>
  <c r="Y283" i="2" s="1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Z300" i="2" s="1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Y315" i="2" s="1"/>
  <c r="S316" i="2"/>
  <c r="S317" i="2"/>
  <c r="S318" i="2"/>
  <c r="S319" i="2"/>
  <c r="S320" i="2"/>
  <c r="S321" i="2"/>
  <c r="S322" i="2"/>
  <c r="S323" i="2"/>
  <c r="S324" i="2"/>
  <c r="Y324" i="2" s="1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Y338" i="2" s="1"/>
  <c r="S339" i="2"/>
  <c r="S340" i="2"/>
  <c r="Y340" i="2" s="1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Y379" i="2" s="1"/>
  <c r="S380" i="2"/>
  <c r="S381" i="2"/>
  <c r="S382" i="2"/>
  <c r="S383" i="2"/>
  <c r="S384" i="2"/>
  <c r="S385" i="2"/>
  <c r="S386" i="2"/>
  <c r="Y386" i="2" s="1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Y402" i="2" s="1"/>
  <c r="S403" i="2"/>
  <c r="S404" i="2"/>
  <c r="S405" i="2"/>
  <c r="S406" i="2"/>
  <c r="S407" i="2"/>
  <c r="S408" i="2"/>
  <c r="S409" i="2"/>
  <c r="S410" i="2"/>
  <c r="S411" i="2"/>
  <c r="Y411" i="2" s="1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Y443" i="2" s="1"/>
  <c r="S444" i="2"/>
  <c r="S445" i="2"/>
  <c r="S446" i="2"/>
  <c r="S447" i="2"/>
  <c r="S448" i="2"/>
  <c r="S449" i="2"/>
  <c r="S450" i="2"/>
  <c r="Y450" i="2" s="1"/>
  <c r="S451" i="2"/>
  <c r="S452" i="2"/>
  <c r="Y452" i="2" s="1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Z469" i="2" s="1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Y492" i="2" s="1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Z505" i="2" s="1"/>
  <c r="S506" i="2"/>
  <c r="Y506" i="2" s="1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Y520" i="2" s="1"/>
  <c r="S521" i="2"/>
  <c r="S522" i="2"/>
  <c r="S523" i="2"/>
  <c r="Y523" i="2" s="1"/>
  <c r="S524" i="2"/>
  <c r="S525" i="2"/>
  <c r="S526" i="2"/>
  <c r="S527" i="2"/>
  <c r="S528" i="2"/>
  <c r="Y528" i="2" s="1"/>
  <c r="S529" i="2"/>
  <c r="S530" i="2"/>
  <c r="S531" i="2"/>
  <c r="S532" i="2"/>
  <c r="S533" i="2"/>
  <c r="Y533" i="2" s="1"/>
  <c r="S534" i="2"/>
  <c r="S535" i="2"/>
  <c r="S536" i="2"/>
  <c r="S537" i="2"/>
  <c r="S538" i="2"/>
  <c r="S539" i="2"/>
  <c r="Y539" i="2" s="1"/>
  <c r="S540" i="2"/>
  <c r="S541" i="2"/>
  <c r="S542" i="2"/>
  <c r="Z542" i="2" s="1"/>
  <c r="S543" i="2"/>
  <c r="S544" i="2"/>
  <c r="S545" i="2"/>
  <c r="S546" i="2"/>
  <c r="S547" i="2"/>
  <c r="Y547" i="2" s="1"/>
  <c r="S548" i="2"/>
  <c r="S549" i="2"/>
  <c r="Y549" i="2" s="1"/>
  <c r="S550" i="2"/>
  <c r="S551" i="2"/>
  <c r="Y551" i="2" s="1"/>
  <c r="S552" i="2"/>
  <c r="S553" i="2"/>
  <c r="S554" i="2"/>
  <c r="S555" i="2"/>
  <c r="Y555" i="2" s="1"/>
  <c r="S556" i="2"/>
  <c r="S557" i="2"/>
  <c r="Y557" i="2" s="1"/>
  <c r="S558" i="2"/>
  <c r="S559" i="2"/>
  <c r="Y559" i="2" s="1"/>
  <c r="S560" i="2"/>
  <c r="S561" i="2"/>
  <c r="S562" i="2"/>
  <c r="S563" i="2"/>
  <c r="S564" i="2"/>
  <c r="S565" i="2"/>
  <c r="S566" i="2"/>
  <c r="S567" i="2"/>
  <c r="Y567" i="2" s="1"/>
  <c r="S568" i="2"/>
  <c r="S569" i="2"/>
  <c r="S570" i="2"/>
  <c r="Z570" i="2" s="1"/>
  <c r="S571" i="2"/>
  <c r="S572" i="2"/>
  <c r="S573" i="2"/>
  <c r="Y573" i="2" s="1"/>
  <c r="S574" i="2"/>
  <c r="S575" i="2"/>
  <c r="Y575" i="2" s="1"/>
  <c r="S576" i="2"/>
  <c r="S577" i="2"/>
  <c r="S578" i="2"/>
  <c r="S579" i="2"/>
  <c r="Y579" i="2" s="1"/>
  <c r="S580" i="2"/>
  <c r="S581" i="2"/>
  <c r="AA581" i="2" s="1"/>
  <c r="S582" i="2"/>
  <c r="S583" i="2"/>
  <c r="S584" i="2"/>
  <c r="S585" i="2"/>
  <c r="S586" i="2"/>
  <c r="S587" i="2"/>
  <c r="S588" i="2"/>
  <c r="S589" i="2"/>
  <c r="Y589" i="2" s="1"/>
  <c r="S590" i="2"/>
  <c r="S591" i="2"/>
  <c r="Y591" i="2" s="1"/>
  <c r="S592" i="2"/>
  <c r="S593" i="2"/>
  <c r="S594" i="2"/>
  <c r="S595" i="2"/>
  <c r="Y595" i="2" s="1"/>
  <c r="S596" i="2"/>
  <c r="S597" i="2"/>
  <c r="S598" i="2"/>
  <c r="S599" i="2"/>
  <c r="Y599" i="2" s="1"/>
  <c r="S600" i="2"/>
  <c r="S601" i="2"/>
  <c r="S602" i="2"/>
  <c r="S603" i="2"/>
  <c r="Y603" i="2" s="1"/>
  <c r="S604" i="2"/>
  <c r="S605" i="2"/>
  <c r="S606" i="2"/>
  <c r="S607" i="2"/>
  <c r="S608" i="2"/>
  <c r="S609" i="2"/>
  <c r="S610" i="2"/>
  <c r="S611" i="2"/>
  <c r="Y611" i="2" s="1"/>
  <c r="S612" i="2"/>
  <c r="S613" i="2"/>
  <c r="S614" i="2"/>
  <c r="S615" i="2"/>
  <c r="Y615" i="2" s="1"/>
  <c r="S616" i="2"/>
  <c r="S617" i="2"/>
  <c r="S618" i="2"/>
  <c r="S619" i="2"/>
  <c r="S620" i="2"/>
  <c r="S621" i="2"/>
  <c r="AA621" i="2" s="1"/>
  <c r="S622" i="2"/>
  <c r="S623" i="2"/>
  <c r="Y623" i="2" s="1"/>
  <c r="S624" i="2"/>
  <c r="S625" i="2"/>
  <c r="S626" i="2"/>
  <c r="S627" i="2"/>
  <c r="S628" i="2"/>
  <c r="S629" i="2"/>
  <c r="S630" i="2"/>
  <c r="S631" i="2"/>
  <c r="Y631" i="2" s="1"/>
  <c r="S632" i="2"/>
  <c r="S633" i="2"/>
  <c r="S634" i="2"/>
  <c r="S635" i="2"/>
  <c r="Y635" i="2" s="1"/>
  <c r="S636" i="2"/>
  <c r="S637" i="2"/>
  <c r="Y637" i="2" s="1"/>
  <c r="S638" i="2"/>
  <c r="S639" i="2"/>
  <c r="Y639" i="2" s="1"/>
  <c r="S640" i="2"/>
  <c r="S641" i="2"/>
  <c r="S642" i="2"/>
  <c r="S643" i="2"/>
  <c r="Y643" i="2" s="1"/>
  <c r="S644" i="2"/>
  <c r="S645" i="2"/>
  <c r="AA645" i="2" s="1"/>
  <c r="S646" i="2"/>
  <c r="S647" i="2"/>
  <c r="S648" i="2"/>
  <c r="S649" i="2"/>
  <c r="S650" i="2"/>
  <c r="S651" i="2"/>
  <c r="S652" i="2"/>
  <c r="S653" i="2"/>
  <c r="Y653" i="2" s="1"/>
  <c r="S654" i="2"/>
  <c r="S655" i="2"/>
  <c r="Y655" i="2" s="1"/>
  <c r="S656" i="2"/>
  <c r="S657" i="2"/>
  <c r="S658" i="2"/>
  <c r="S659" i="2"/>
  <c r="Y659" i="2" s="1"/>
  <c r="S660" i="2"/>
  <c r="S661" i="2"/>
  <c r="S662" i="2"/>
  <c r="S663" i="2"/>
  <c r="Y663" i="2" s="1"/>
  <c r="S664" i="2"/>
  <c r="S665" i="2"/>
  <c r="S666" i="2"/>
  <c r="S667" i="2"/>
  <c r="Y667" i="2" s="1"/>
  <c r="S668" i="2"/>
  <c r="S669" i="2"/>
  <c r="AA669" i="2" s="1"/>
  <c r="S670" i="2"/>
  <c r="S671" i="2"/>
  <c r="S672" i="2"/>
  <c r="S673" i="2"/>
  <c r="S674" i="2"/>
  <c r="S675" i="2"/>
  <c r="S676" i="2"/>
  <c r="S677" i="2"/>
  <c r="Y677" i="2" s="1"/>
  <c r="S678" i="2"/>
  <c r="S679" i="2"/>
  <c r="Y679" i="2" s="1"/>
  <c r="S680" i="2"/>
  <c r="S681" i="2"/>
  <c r="S682" i="2"/>
  <c r="S683" i="2"/>
  <c r="Y683" i="2" s="1"/>
  <c r="S684" i="2"/>
  <c r="S685" i="2"/>
  <c r="Y685" i="2" s="1"/>
  <c r="S686" i="2"/>
  <c r="S687" i="2"/>
  <c r="Y687" i="2" s="1"/>
  <c r="S688" i="2"/>
  <c r="S689" i="2"/>
  <c r="S690" i="2"/>
  <c r="S691" i="2"/>
  <c r="AA691" i="2" s="1"/>
  <c r="S692" i="2"/>
  <c r="S693" i="2"/>
  <c r="S694" i="2"/>
  <c r="S695" i="2"/>
  <c r="Y695" i="2" s="1"/>
  <c r="S696" i="2"/>
  <c r="S697" i="2"/>
  <c r="S698" i="2"/>
  <c r="S699" i="2"/>
  <c r="Y699" i="2" s="1"/>
  <c r="S700" i="2"/>
  <c r="S701" i="2"/>
  <c r="S702" i="2"/>
  <c r="S703" i="2"/>
  <c r="Y703" i="2" s="1"/>
  <c r="S704" i="2"/>
  <c r="S705" i="2"/>
  <c r="S706" i="2"/>
  <c r="S707" i="2"/>
  <c r="Y707" i="2" s="1"/>
  <c r="S708" i="2"/>
  <c r="Z708" i="2" s="1"/>
  <c r="S709" i="2"/>
  <c r="S710" i="2"/>
  <c r="S711" i="2"/>
  <c r="S712" i="2"/>
  <c r="S713" i="2"/>
  <c r="S714" i="2"/>
  <c r="S715" i="2"/>
  <c r="S716" i="2"/>
  <c r="S717" i="2"/>
  <c r="Y717" i="2" s="1"/>
  <c r="S718" i="2"/>
  <c r="S719" i="2"/>
  <c r="Y719" i="2" s="1"/>
  <c r="S720" i="2"/>
  <c r="S721" i="2"/>
  <c r="S722" i="2"/>
  <c r="S723" i="2"/>
  <c r="Y723" i="2" s="1"/>
  <c r="S724" i="2"/>
  <c r="S725" i="2"/>
  <c r="Y725" i="2" s="1"/>
  <c r="S726" i="2"/>
  <c r="S727" i="2"/>
  <c r="Y727" i="2" s="1"/>
  <c r="S728" i="2"/>
  <c r="S729" i="2"/>
  <c r="S730" i="2"/>
  <c r="S731" i="2"/>
  <c r="Y731" i="2" s="1"/>
  <c r="S732" i="2"/>
  <c r="S733" i="2"/>
  <c r="S734" i="2"/>
  <c r="S735" i="2"/>
  <c r="S736" i="2"/>
  <c r="S737" i="2"/>
  <c r="S738" i="2"/>
  <c r="S739" i="2"/>
  <c r="Y739" i="2" s="1"/>
  <c r="S740" i="2"/>
  <c r="S741" i="2"/>
  <c r="S742" i="2"/>
  <c r="S743" i="2"/>
  <c r="Y743" i="2" s="1"/>
  <c r="S744" i="2"/>
  <c r="S745" i="2"/>
  <c r="S746" i="2"/>
  <c r="S747" i="2"/>
  <c r="Y747" i="2" s="1"/>
  <c r="S748" i="2"/>
  <c r="S749" i="2"/>
  <c r="AA749" i="2" s="1"/>
  <c r="S750" i="2"/>
  <c r="S751" i="2"/>
  <c r="Y751" i="2" s="1"/>
  <c r="S752" i="2"/>
  <c r="S753" i="2"/>
  <c r="S754" i="2"/>
  <c r="S755" i="2"/>
  <c r="S756" i="2"/>
  <c r="S757" i="2"/>
  <c r="S758" i="2"/>
  <c r="S759" i="2"/>
  <c r="Y759" i="2" s="1"/>
  <c r="S760" i="2"/>
  <c r="S761" i="2"/>
  <c r="S762" i="2"/>
  <c r="S763" i="2"/>
  <c r="S764" i="2"/>
  <c r="S765" i="2"/>
  <c r="Y765" i="2" s="1"/>
  <c r="S766" i="2"/>
  <c r="S767" i="2"/>
  <c r="Y767" i="2" s="1"/>
  <c r="S768" i="2"/>
  <c r="S769" i="2"/>
  <c r="S770" i="2"/>
  <c r="S771" i="2"/>
  <c r="Y771" i="2" s="1"/>
  <c r="S772" i="2"/>
  <c r="S773" i="2"/>
  <c r="Y773" i="2" s="1"/>
  <c r="S774" i="2"/>
  <c r="S775" i="2"/>
  <c r="S776" i="2"/>
  <c r="S777" i="2"/>
  <c r="S778" i="2"/>
  <c r="S779" i="2"/>
  <c r="Y779" i="2" s="1"/>
  <c r="S780" i="2"/>
  <c r="S781" i="2"/>
  <c r="S782" i="2"/>
  <c r="S783" i="2"/>
  <c r="Y783" i="2" s="1"/>
  <c r="S784" i="2"/>
  <c r="S785" i="2"/>
  <c r="S786" i="2"/>
  <c r="S787" i="2"/>
  <c r="S788" i="2"/>
  <c r="S789" i="2"/>
  <c r="S790" i="2"/>
  <c r="S791" i="2"/>
  <c r="Y791" i="2" s="1"/>
  <c r="S792" i="2"/>
  <c r="S793" i="2"/>
  <c r="S794" i="2"/>
  <c r="S795" i="2"/>
  <c r="AA795" i="2" s="1"/>
  <c r="S796" i="2"/>
  <c r="S797" i="2"/>
  <c r="AA797" i="2" s="1"/>
  <c r="S798" i="2"/>
  <c r="S799" i="2"/>
  <c r="S800" i="2"/>
  <c r="S801" i="2"/>
  <c r="S802" i="2"/>
  <c r="S803" i="2"/>
  <c r="Y803" i="2" s="1"/>
  <c r="S804" i="2"/>
  <c r="S805" i="2"/>
  <c r="S806" i="2"/>
  <c r="S807" i="2"/>
  <c r="Y807" i="2" s="1"/>
  <c r="S808" i="2"/>
  <c r="S809" i="2"/>
  <c r="S810" i="2"/>
  <c r="S811" i="2"/>
  <c r="S812" i="2"/>
  <c r="S813" i="2"/>
  <c r="Y813" i="2" s="1"/>
  <c r="S814" i="2"/>
  <c r="S815" i="2"/>
  <c r="Z815" i="2" s="1"/>
  <c r="S816" i="2"/>
  <c r="S817" i="2"/>
  <c r="S818" i="2"/>
  <c r="S819" i="2"/>
  <c r="AA819" i="2" s="1"/>
  <c r="S820" i="2"/>
  <c r="S821" i="2"/>
  <c r="S822" i="2"/>
  <c r="S823" i="2"/>
  <c r="Y823" i="2" s="1"/>
  <c r="S824" i="2"/>
  <c r="S825" i="2"/>
  <c r="S826" i="2"/>
  <c r="S827" i="2"/>
  <c r="S828" i="2"/>
  <c r="S829" i="2"/>
  <c r="Y829" i="2" s="1"/>
  <c r="S830" i="2"/>
  <c r="S832" i="2"/>
  <c r="S833" i="2"/>
  <c r="S834" i="2"/>
  <c r="S835" i="2"/>
  <c r="Y835" i="2" s="1"/>
  <c r="S836" i="2"/>
  <c r="S837" i="2"/>
  <c r="Y837" i="2" s="1"/>
  <c r="S838" i="2"/>
  <c r="S839" i="2"/>
  <c r="S840" i="2"/>
  <c r="S841" i="2"/>
  <c r="S842" i="2"/>
  <c r="S843" i="2"/>
  <c r="AA843" i="2" s="1"/>
  <c r="S844" i="2"/>
  <c r="S845" i="2"/>
  <c r="S846" i="2"/>
  <c r="S847" i="2"/>
  <c r="Y847" i="2" s="1"/>
  <c r="S848" i="2"/>
  <c r="S849" i="2"/>
  <c r="S850" i="2"/>
  <c r="S851" i="2"/>
  <c r="S852" i="2"/>
  <c r="S853" i="2"/>
  <c r="Y853" i="2" s="1"/>
  <c r="S854" i="2"/>
  <c r="S855" i="2"/>
  <c r="Y855" i="2" s="1"/>
  <c r="S856" i="2"/>
  <c r="S857" i="2"/>
  <c r="S858" i="2"/>
  <c r="S859" i="2"/>
  <c r="Y859" i="2" s="1"/>
  <c r="S860" i="2"/>
  <c r="Z860" i="2" s="1"/>
  <c r="S861" i="2"/>
  <c r="S862" i="2"/>
  <c r="S863" i="2"/>
  <c r="Y863" i="2" s="1"/>
  <c r="S864" i="2"/>
  <c r="S865" i="2"/>
  <c r="S866" i="2"/>
  <c r="S867" i="2"/>
  <c r="S868" i="2"/>
  <c r="S869" i="2"/>
  <c r="S870" i="2"/>
  <c r="S871" i="2"/>
  <c r="Y871" i="2" s="1"/>
  <c r="S872" i="2"/>
  <c r="S873" i="2"/>
  <c r="S874" i="2"/>
  <c r="S875" i="2"/>
  <c r="Y875" i="2" s="1"/>
  <c r="S876" i="2"/>
  <c r="S877" i="2"/>
  <c r="AA877" i="2" s="1"/>
  <c r="S878" i="2"/>
  <c r="S879" i="2"/>
  <c r="Y879" i="2" s="1"/>
  <c r="S880" i="2"/>
  <c r="S881" i="2"/>
  <c r="S882" i="2"/>
  <c r="S883" i="2"/>
  <c r="S884" i="2"/>
  <c r="S885" i="2"/>
  <c r="S886" i="2"/>
  <c r="S887" i="2"/>
  <c r="Y887" i="2" s="1"/>
  <c r="S888" i="2"/>
  <c r="S889" i="2"/>
  <c r="S890" i="2"/>
  <c r="S891" i="2"/>
  <c r="S892" i="2"/>
  <c r="S2" i="2"/>
  <c r="N9" i="2" a="1"/>
  <c r="N9" i="2" s="1"/>
  <c r="S63" i="2" s="1"/>
  <c r="Y63" i="2" s="1"/>
  <c r="O6" i="2"/>
  <c r="O4" i="2"/>
  <c r="O5" i="2"/>
  <c r="O3" i="2"/>
  <c r="Y815" i="2" l="1"/>
  <c r="R851" i="2"/>
  <c r="R562" i="2"/>
  <c r="R466" i="2"/>
  <c r="R308" i="2"/>
  <c r="Y795" i="2"/>
  <c r="R841" i="2"/>
  <c r="R770" i="2"/>
  <c r="R699" i="2"/>
  <c r="R682" i="2"/>
  <c r="R570" i="2"/>
  <c r="R427" i="2"/>
  <c r="R266" i="2"/>
  <c r="R128" i="2"/>
  <c r="R658" i="2"/>
  <c r="R554" i="2"/>
  <c r="R231" i="2"/>
  <c r="R34" i="2"/>
  <c r="R513" i="2"/>
  <c r="R865" i="2"/>
  <c r="R778" i="2"/>
  <c r="R635" i="2"/>
  <c r="R483" i="2"/>
  <c r="R417" i="2"/>
  <c r="R360" i="2"/>
  <c r="R834" i="2"/>
  <c r="R497" i="2"/>
  <c r="R890" i="2"/>
  <c r="R827" i="2"/>
  <c r="R795" i="2"/>
  <c r="R595" i="2"/>
  <c r="R586" i="2"/>
  <c r="R529" i="2"/>
  <c r="R369" i="2"/>
  <c r="R300" i="2"/>
  <c r="R272" i="2"/>
  <c r="R178" i="2"/>
  <c r="R170" i="2"/>
  <c r="R762" i="2"/>
  <c r="R794" i="2"/>
  <c r="R785" i="2"/>
  <c r="R713" i="2"/>
  <c r="R650" i="2"/>
  <c r="R641" i="2"/>
  <c r="R499" i="2"/>
  <c r="R433" i="2"/>
  <c r="R377" i="2"/>
  <c r="R188" i="2"/>
  <c r="R160" i="2"/>
  <c r="R817" i="2"/>
  <c r="R729" i="2"/>
  <c r="R603" i="2"/>
  <c r="R459" i="2"/>
  <c r="R168" i="2"/>
  <c r="R44" i="2"/>
  <c r="AA109" i="2"/>
  <c r="Z109" i="2"/>
  <c r="Y109" i="2"/>
  <c r="AA2" i="2"/>
  <c r="Z2" i="2"/>
  <c r="AA885" i="2"/>
  <c r="Z885" i="2"/>
  <c r="AA869" i="2"/>
  <c r="Z869" i="2"/>
  <c r="AA861" i="2"/>
  <c r="Z861" i="2"/>
  <c r="AA853" i="2"/>
  <c r="Z853" i="2"/>
  <c r="AA845" i="2"/>
  <c r="Z845" i="2"/>
  <c r="AA837" i="2"/>
  <c r="Z837" i="2"/>
  <c r="AA828" i="2"/>
  <c r="Z828" i="2"/>
  <c r="Y828" i="2"/>
  <c r="AA820" i="2"/>
  <c r="Z820" i="2"/>
  <c r="Y820" i="2"/>
  <c r="AA812" i="2"/>
  <c r="Z812" i="2"/>
  <c r="Y812" i="2"/>
  <c r="AA804" i="2"/>
  <c r="Z804" i="2"/>
  <c r="Y804" i="2"/>
  <c r="AA796" i="2"/>
  <c r="Z796" i="2"/>
  <c r="Y796" i="2"/>
  <c r="AA788" i="2"/>
  <c r="Z788" i="2"/>
  <c r="Y788" i="2"/>
  <c r="AA780" i="2"/>
  <c r="Z780" i="2"/>
  <c r="Y780" i="2"/>
  <c r="AA772" i="2"/>
  <c r="Z772" i="2"/>
  <c r="Y772" i="2"/>
  <c r="AA764" i="2"/>
  <c r="Z764" i="2"/>
  <c r="Y764" i="2"/>
  <c r="AA756" i="2"/>
  <c r="Y756" i="2"/>
  <c r="AA748" i="2"/>
  <c r="Z748" i="2"/>
  <c r="Y748" i="2"/>
  <c r="AA740" i="2"/>
  <c r="Z740" i="2"/>
  <c r="Y740" i="2"/>
  <c r="AA732" i="2"/>
  <c r="Y732" i="2"/>
  <c r="AA724" i="2"/>
  <c r="Z724" i="2"/>
  <c r="Y724" i="2"/>
  <c r="AA716" i="2"/>
  <c r="Z716" i="2"/>
  <c r="Y716" i="2"/>
  <c r="AA708" i="2"/>
  <c r="Y708" i="2"/>
  <c r="AA700" i="2"/>
  <c r="Z700" i="2"/>
  <c r="Y700" i="2"/>
  <c r="AA692" i="2"/>
  <c r="Y692" i="2"/>
  <c r="Z692" i="2"/>
  <c r="AA684" i="2"/>
  <c r="Z684" i="2"/>
  <c r="Y684" i="2"/>
  <c r="AA676" i="2"/>
  <c r="Z676" i="2"/>
  <c r="Y676" i="2"/>
  <c r="AA668" i="2"/>
  <c r="Z668" i="2"/>
  <c r="Y668" i="2"/>
  <c r="AA660" i="2"/>
  <c r="Z660" i="2"/>
  <c r="Y660" i="2"/>
  <c r="AA652" i="2"/>
  <c r="Z652" i="2"/>
  <c r="Y652" i="2"/>
  <c r="AA644" i="2"/>
  <c r="Y644" i="2"/>
  <c r="Z644" i="2"/>
  <c r="AA636" i="2"/>
  <c r="Z636" i="2"/>
  <c r="Y636" i="2"/>
  <c r="AA628" i="2"/>
  <c r="Y628" i="2"/>
  <c r="AA620" i="2"/>
  <c r="Z620" i="2"/>
  <c r="Y620" i="2"/>
  <c r="AA612" i="2"/>
  <c r="Z612" i="2"/>
  <c r="Y612" i="2"/>
  <c r="AA604" i="2"/>
  <c r="Z604" i="2"/>
  <c r="Y604" i="2"/>
  <c r="AA596" i="2"/>
  <c r="Z596" i="2"/>
  <c r="Y596" i="2"/>
  <c r="AA588" i="2"/>
  <c r="Z588" i="2"/>
  <c r="Y588" i="2"/>
  <c r="AA580" i="2"/>
  <c r="Z580" i="2"/>
  <c r="Y580" i="2"/>
  <c r="AA572" i="2"/>
  <c r="Y572" i="2"/>
  <c r="Z572" i="2"/>
  <c r="AA564" i="2"/>
  <c r="Z564" i="2"/>
  <c r="Y564" i="2"/>
  <c r="AA556" i="2"/>
  <c r="Z556" i="2"/>
  <c r="Y556" i="2"/>
  <c r="AA548" i="2"/>
  <c r="Z548" i="2"/>
  <c r="Y548" i="2"/>
  <c r="AA540" i="2"/>
  <c r="Z540" i="2"/>
  <c r="Y540" i="2"/>
  <c r="AA532" i="2"/>
  <c r="Z532" i="2"/>
  <c r="Y532" i="2"/>
  <c r="AA524" i="2"/>
  <c r="Z524" i="2"/>
  <c r="Y524" i="2"/>
  <c r="AA516" i="2"/>
  <c r="Z516" i="2"/>
  <c r="AA508" i="2"/>
  <c r="Z508" i="2"/>
  <c r="AA500" i="2"/>
  <c r="Z500" i="2"/>
  <c r="AA492" i="2"/>
  <c r="Z492" i="2"/>
  <c r="AA484" i="2"/>
  <c r="Z484" i="2"/>
  <c r="AA476" i="2"/>
  <c r="Z476" i="2"/>
  <c r="Y476" i="2"/>
  <c r="AA468" i="2"/>
  <c r="Z468" i="2"/>
  <c r="AA460" i="2"/>
  <c r="Z460" i="2"/>
  <c r="Y460" i="2"/>
  <c r="AA452" i="2"/>
  <c r="Z452" i="2"/>
  <c r="AA444" i="2"/>
  <c r="Z444" i="2"/>
  <c r="Y444" i="2"/>
  <c r="AA436" i="2"/>
  <c r="Z436" i="2"/>
  <c r="Y436" i="2"/>
  <c r="AA428" i="2"/>
  <c r="Y428" i="2"/>
  <c r="AA420" i="2"/>
  <c r="Z420" i="2"/>
  <c r="AA412" i="2"/>
  <c r="Z412" i="2"/>
  <c r="Y412" i="2"/>
  <c r="AA404" i="2"/>
  <c r="Z404" i="2"/>
  <c r="AA396" i="2"/>
  <c r="Z396" i="2"/>
  <c r="Y396" i="2"/>
  <c r="AA388" i="2"/>
  <c r="Z388" i="2"/>
  <c r="AA380" i="2"/>
  <c r="Z380" i="2"/>
  <c r="Y380" i="2"/>
  <c r="AA372" i="2"/>
  <c r="Z372" i="2"/>
  <c r="Y372" i="2"/>
  <c r="AA364" i="2"/>
  <c r="Y364" i="2"/>
  <c r="AA356" i="2"/>
  <c r="Z356" i="2"/>
  <c r="AA348" i="2"/>
  <c r="Z348" i="2"/>
  <c r="Y348" i="2"/>
  <c r="AA340" i="2"/>
  <c r="Z340" i="2"/>
  <c r="AA332" i="2"/>
  <c r="Z332" i="2"/>
  <c r="Y332" i="2"/>
  <c r="AA324" i="2"/>
  <c r="Z324" i="2"/>
  <c r="AA316" i="2"/>
  <c r="Z316" i="2"/>
  <c r="Y316" i="2"/>
  <c r="AA308" i="2"/>
  <c r="Z308" i="2"/>
  <c r="Y308" i="2"/>
  <c r="AA300" i="2"/>
  <c r="Y300" i="2"/>
  <c r="AA292" i="2"/>
  <c r="Z292" i="2"/>
  <c r="AA284" i="2"/>
  <c r="Z284" i="2"/>
  <c r="Y284" i="2"/>
  <c r="AA276" i="2"/>
  <c r="Z276" i="2"/>
  <c r="AA268" i="2"/>
  <c r="Z268" i="2"/>
  <c r="Y268" i="2"/>
  <c r="AA260" i="2"/>
  <c r="Z260" i="2"/>
  <c r="AA252" i="2"/>
  <c r="Z252" i="2"/>
  <c r="Y252" i="2"/>
  <c r="AA244" i="2"/>
  <c r="Z244" i="2"/>
  <c r="Y244" i="2"/>
  <c r="AA236" i="2"/>
  <c r="Z236" i="2"/>
  <c r="Y236" i="2"/>
  <c r="AA228" i="2"/>
  <c r="Z228" i="2"/>
  <c r="AA220" i="2"/>
  <c r="Z220" i="2"/>
  <c r="Y220" i="2"/>
  <c r="AA212" i="2"/>
  <c r="Z212" i="2"/>
  <c r="AA204" i="2"/>
  <c r="Z204" i="2"/>
  <c r="Y204" i="2"/>
  <c r="AA196" i="2"/>
  <c r="Z196" i="2"/>
  <c r="AA188" i="2"/>
  <c r="Z188" i="2"/>
  <c r="Y188" i="2"/>
  <c r="AA180" i="2"/>
  <c r="Z180" i="2"/>
  <c r="Y180" i="2"/>
  <c r="AA172" i="2"/>
  <c r="Z172" i="2"/>
  <c r="Y172" i="2"/>
  <c r="AA164" i="2"/>
  <c r="Z164" i="2"/>
  <c r="AA156" i="2"/>
  <c r="Z156" i="2"/>
  <c r="Y156" i="2"/>
  <c r="AA148" i="2"/>
  <c r="Z148" i="2"/>
  <c r="AA140" i="2"/>
  <c r="Z140" i="2"/>
  <c r="Y140" i="2"/>
  <c r="AA132" i="2"/>
  <c r="Z132" i="2"/>
  <c r="AA124" i="2"/>
  <c r="Z124" i="2"/>
  <c r="Y124" i="2"/>
  <c r="AA116" i="2"/>
  <c r="Z116" i="2"/>
  <c r="Y116" i="2"/>
  <c r="AA108" i="2"/>
  <c r="Z108" i="2"/>
  <c r="Y108" i="2"/>
  <c r="AA100" i="2"/>
  <c r="Z100" i="2"/>
  <c r="Y100" i="2"/>
  <c r="AA92" i="2"/>
  <c r="Z92" i="2"/>
  <c r="Y92" i="2"/>
  <c r="AA84" i="2"/>
  <c r="Z84" i="2"/>
  <c r="Y84" i="2"/>
  <c r="AA76" i="2"/>
  <c r="Z76" i="2"/>
  <c r="Y76" i="2"/>
  <c r="AA68" i="2"/>
  <c r="Z68" i="2"/>
  <c r="Y68" i="2"/>
  <c r="Z59" i="2"/>
  <c r="AA59" i="2"/>
  <c r="Y59" i="2"/>
  <c r="AA51" i="2"/>
  <c r="Z51" i="2"/>
  <c r="Y51" i="2"/>
  <c r="AA43" i="2"/>
  <c r="Z43" i="2"/>
  <c r="Y43" i="2"/>
  <c r="Z35" i="2"/>
  <c r="AA35" i="2"/>
  <c r="Y35" i="2"/>
  <c r="AA27" i="2"/>
  <c r="Z27" i="2"/>
  <c r="Y27" i="2"/>
  <c r="Z19" i="2"/>
  <c r="AA19" i="2"/>
  <c r="Y19" i="2"/>
  <c r="Z11" i="2"/>
  <c r="AA11" i="2"/>
  <c r="Y11" i="2"/>
  <c r="AA3" i="2"/>
  <c r="Z3" i="2"/>
  <c r="Y3" i="2"/>
  <c r="Y877" i="2"/>
  <c r="Y749" i="2"/>
  <c r="Y621" i="2"/>
  <c r="Y500" i="2"/>
  <c r="Y388" i="2"/>
  <c r="Y276" i="2"/>
  <c r="Y164" i="2"/>
  <c r="Z877" i="2"/>
  <c r="Z732" i="2"/>
  <c r="AA878" i="2"/>
  <c r="Z878" i="2"/>
  <c r="Y878" i="2"/>
  <c r="AA846" i="2"/>
  <c r="Z846" i="2"/>
  <c r="Y846" i="2"/>
  <c r="AA821" i="2"/>
  <c r="Z821" i="2"/>
  <c r="AA805" i="2"/>
  <c r="Z805" i="2"/>
  <c r="AA781" i="2"/>
  <c r="Z781" i="2"/>
  <c r="AA741" i="2"/>
  <c r="Z741" i="2"/>
  <c r="AA701" i="2"/>
  <c r="Z701" i="2"/>
  <c r="AA613" i="2"/>
  <c r="Z613" i="2"/>
  <c r="AA565" i="2"/>
  <c r="Z565" i="2"/>
  <c r="AA533" i="2"/>
  <c r="Z533" i="2"/>
  <c r="AA493" i="2"/>
  <c r="Y493" i="2"/>
  <c r="Z493" i="2"/>
  <c r="AA453" i="2"/>
  <c r="Z453" i="2"/>
  <c r="Y453" i="2"/>
  <c r="AA421" i="2"/>
  <c r="Z421" i="2"/>
  <c r="Y421" i="2"/>
  <c r="AA381" i="2"/>
  <c r="Z381" i="2"/>
  <c r="Y381" i="2"/>
  <c r="AA341" i="2"/>
  <c r="Y341" i="2"/>
  <c r="Z341" i="2"/>
  <c r="AA293" i="2"/>
  <c r="Z293" i="2"/>
  <c r="Y293" i="2"/>
  <c r="AA253" i="2"/>
  <c r="Y253" i="2"/>
  <c r="Z253" i="2"/>
  <c r="AA213" i="2"/>
  <c r="Y213" i="2"/>
  <c r="Z213" i="2"/>
  <c r="AA173" i="2"/>
  <c r="Z173" i="2"/>
  <c r="Y173" i="2"/>
  <c r="AA133" i="2"/>
  <c r="Y133" i="2"/>
  <c r="Z133" i="2"/>
  <c r="AA93" i="2"/>
  <c r="Z93" i="2"/>
  <c r="Y93" i="2"/>
  <c r="AA52" i="2"/>
  <c r="Z52" i="2"/>
  <c r="Y52" i="2"/>
  <c r="AA4" i="2"/>
  <c r="Z4" i="2"/>
  <c r="Y4" i="2"/>
  <c r="AA876" i="2"/>
  <c r="Z876" i="2"/>
  <c r="Y876" i="2"/>
  <c r="AA852" i="2"/>
  <c r="Z852" i="2"/>
  <c r="Y852" i="2"/>
  <c r="AA827" i="2"/>
  <c r="Z827" i="2"/>
  <c r="AA787" i="2"/>
  <c r="Z787" i="2"/>
  <c r="AA763" i="2"/>
  <c r="Z763" i="2"/>
  <c r="AA731" i="2"/>
  <c r="Z731" i="2"/>
  <c r="AA715" i="2"/>
  <c r="Z715" i="2"/>
  <c r="AA675" i="2"/>
  <c r="Z675" i="2"/>
  <c r="AA651" i="2"/>
  <c r="Z651" i="2"/>
  <c r="AA619" i="2"/>
  <c r="Z619" i="2"/>
  <c r="AA587" i="2"/>
  <c r="Z587" i="2"/>
  <c r="AA571" i="2"/>
  <c r="Z571" i="2"/>
  <c r="AA531" i="2"/>
  <c r="Z531" i="2"/>
  <c r="AA499" i="2"/>
  <c r="Z499" i="2"/>
  <c r="Y499" i="2"/>
  <c r="AA475" i="2"/>
  <c r="Z475" i="2"/>
  <c r="AA427" i="2"/>
  <c r="Z427" i="2"/>
  <c r="AA395" i="2"/>
  <c r="Z395" i="2"/>
  <c r="Y395" i="2"/>
  <c r="AA363" i="2"/>
  <c r="Z363" i="2"/>
  <c r="AA339" i="2"/>
  <c r="Z339" i="2"/>
  <c r="Y339" i="2"/>
  <c r="AA307" i="2"/>
  <c r="Z307" i="2"/>
  <c r="Y307" i="2"/>
  <c r="AA283" i="2"/>
  <c r="Z283" i="2"/>
  <c r="AA259" i="2"/>
  <c r="Z259" i="2"/>
  <c r="Y259" i="2"/>
  <c r="Z227" i="2"/>
  <c r="AA227" i="2"/>
  <c r="Y227" i="2"/>
  <c r="Z211" i="2"/>
  <c r="AA211" i="2"/>
  <c r="Y211" i="2"/>
  <c r="Z187" i="2"/>
  <c r="AA187" i="2"/>
  <c r="Z147" i="2"/>
  <c r="AA147" i="2"/>
  <c r="Y147" i="2"/>
  <c r="Z123" i="2"/>
  <c r="AA123" i="2"/>
  <c r="Z99" i="2"/>
  <c r="Y99" i="2"/>
  <c r="AA99" i="2"/>
  <c r="Z83" i="2"/>
  <c r="AA83" i="2"/>
  <c r="Y83" i="2"/>
  <c r="AA50" i="2"/>
  <c r="Z50" i="2"/>
  <c r="Y50" i="2"/>
  <c r="AA18" i="2"/>
  <c r="Z18" i="2"/>
  <c r="Y18" i="2"/>
  <c r="Y619" i="2"/>
  <c r="AA891" i="2"/>
  <c r="Z891" i="2"/>
  <c r="AA883" i="2"/>
  <c r="Z883" i="2"/>
  <c r="AA875" i="2"/>
  <c r="Z875" i="2"/>
  <c r="AA867" i="2"/>
  <c r="Z867" i="2"/>
  <c r="AA859" i="2"/>
  <c r="Z859" i="2"/>
  <c r="AA851" i="2"/>
  <c r="Z851" i="2"/>
  <c r="AA835" i="2"/>
  <c r="Z835" i="2"/>
  <c r="AA826" i="2"/>
  <c r="Z826" i="2"/>
  <c r="Y826" i="2"/>
  <c r="AA818" i="2"/>
  <c r="Z818" i="2"/>
  <c r="Y818" i="2"/>
  <c r="AA810" i="2"/>
  <c r="Z810" i="2"/>
  <c r="Y810" i="2"/>
  <c r="AA802" i="2"/>
  <c r="Z802" i="2"/>
  <c r="Y802" i="2"/>
  <c r="AA794" i="2"/>
  <c r="Z794" i="2"/>
  <c r="Y794" i="2"/>
  <c r="AA786" i="2"/>
  <c r="Z786" i="2"/>
  <c r="Y786" i="2"/>
  <c r="AA778" i="2"/>
  <c r="Z778" i="2"/>
  <c r="Y778" i="2"/>
  <c r="AA770" i="2"/>
  <c r="Z770" i="2"/>
  <c r="Y770" i="2"/>
  <c r="AA762" i="2"/>
  <c r="Z762" i="2"/>
  <c r="Y762" i="2"/>
  <c r="AA754" i="2"/>
  <c r="Z754" i="2"/>
  <c r="Y754" i="2"/>
  <c r="AA746" i="2"/>
  <c r="Z746" i="2"/>
  <c r="Y746" i="2"/>
  <c r="AA738" i="2"/>
  <c r="Z738" i="2"/>
  <c r="Y738" i="2"/>
  <c r="AA730" i="2"/>
  <c r="Z730" i="2"/>
  <c r="Y730" i="2"/>
  <c r="AA722" i="2"/>
  <c r="Z722" i="2"/>
  <c r="Y722" i="2"/>
  <c r="AA714" i="2"/>
  <c r="Z714" i="2"/>
  <c r="Y714" i="2"/>
  <c r="AA706" i="2"/>
  <c r="Z706" i="2"/>
  <c r="Y706" i="2"/>
  <c r="AA698" i="2"/>
  <c r="Z698" i="2"/>
  <c r="Y698" i="2"/>
  <c r="AA690" i="2"/>
  <c r="Z690" i="2"/>
  <c r="Y690" i="2"/>
  <c r="AA682" i="2"/>
  <c r="Z682" i="2"/>
  <c r="Y682" i="2"/>
  <c r="AA674" i="2"/>
  <c r="Z674" i="2"/>
  <c r="Y674" i="2"/>
  <c r="AA666" i="2"/>
  <c r="Z666" i="2"/>
  <c r="Y666" i="2"/>
  <c r="AA658" i="2"/>
  <c r="Z658" i="2"/>
  <c r="Y658" i="2"/>
  <c r="AA650" i="2"/>
  <c r="Z650" i="2"/>
  <c r="Y650" i="2"/>
  <c r="AA642" i="2"/>
  <c r="Z642" i="2"/>
  <c r="Y642" i="2"/>
  <c r="AA634" i="2"/>
  <c r="Z634" i="2"/>
  <c r="Y634" i="2"/>
  <c r="AA626" i="2"/>
  <c r="Z626" i="2"/>
  <c r="Y626" i="2"/>
  <c r="AA618" i="2"/>
  <c r="Z618" i="2"/>
  <c r="Y618" i="2"/>
  <c r="AA610" i="2"/>
  <c r="Z610" i="2"/>
  <c r="Y610" i="2"/>
  <c r="AA602" i="2"/>
  <c r="Z602" i="2"/>
  <c r="Y602" i="2"/>
  <c r="AA594" i="2"/>
  <c r="Z594" i="2"/>
  <c r="Y594" i="2"/>
  <c r="AA586" i="2"/>
  <c r="Z586" i="2"/>
  <c r="Y586" i="2"/>
  <c r="AA578" i="2"/>
  <c r="Z578" i="2"/>
  <c r="Y578" i="2"/>
  <c r="AA570" i="2"/>
  <c r="Y570" i="2"/>
  <c r="AA562" i="2"/>
  <c r="Z562" i="2"/>
  <c r="Y562" i="2"/>
  <c r="AA554" i="2"/>
  <c r="Z554" i="2"/>
  <c r="Y554" i="2"/>
  <c r="AA546" i="2"/>
  <c r="Z546" i="2"/>
  <c r="Y546" i="2"/>
  <c r="AA538" i="2"/>
  <c r="Z538" i="2"/>
  <c r="Y538" i="2"/>
  <c r="AA530" i="2"/>
  <c r="Z530" i="2"/>
  <c r="Y530" i="2"/>
  <c r="AA522" i="2"/>
  <c r="Z522" i="2"/>
  <c r="Y522" i="2"/>
  <c r="AA514" i="2"/>
  <c r="Z514" i="2"/>
  <c r="Y514" i="2"/>
  <c r="AA506" i="2"/>
  <c r="Z506" i="2"/>
  <c r="AA498" i="2"/>
  <c r="Z498" i="2"/>
  <c r="Y498" i="2"/>
  <c r="AA490" i="2"/>
  <c r="Z490" i="2"/>
  <c r="AA482" i="2"/>
  <c r="Z482" i="2"/>
  <c r="Y482" i="2"/>
  <c r="AA474" i="2"/>
  <c r="Z474" i="2"/>
  <c r="Y474" i="2"/>
  <c r="AA466" i="2"/>
  <c r="Z466" i="2"/>
  <c r="AA458" i="2"/>
  <c r="Z458" i="2"/>
  <c r="Y458" i="2"/>
  <c r="AA450" i="2"/>
  <c r="Z450" i="2"/>
  <c r="AA442" i="2"/>
  <c r="Z442" i="2"/>
  <c r="Y442" i="2"/>
  <c r="AA434" i="2"/>
  <c r="Z434" i="2"/>
  <c r="AA426" i="2"/>
  <c r="Z426" i="2"/>
  <c r="Y426" i="2"/>
  <c r="AA418" i="2"/>
  <c r="Z418" i="2"/>
  <c r="Y418" i="2"/>
  <c r="AA410" i="2"/>
  <c r="Z410" i="2"/>
  <c r="Y410" i="2"/>
  <c r="AA402" i="2"/>
  <c r="Z402" i="2"/>
  <c r="AA394" i="2"/>
  <c r="Z394" i="2"/>
  <c r="Y394" i="2"/>
  <c r="AA386" i="2"/>
  <c r="Z386" i="2"/>
  <c r="AA378" i="2"/>
  <c r="Z378" i="2"/>
  <c r="Y378" i="2"/>
  <c r="AA370" i="2"/>
  <c r="Z370" i="2"/>
  <c r="AA362" i="2"/>
  <c r="Z362" i="2"/>
  <c r="Y362" i="2"/>
  <c r="AA354" i="2"/>
  <c r="Z354" i="2"/>
  <c r="Y354" i="2"/>
  <c r="AA346" i="2"/>
  <c r="Z346" i="2"/>
  <c r="Y346" i="2"/>
  <c r="AA338" i="2"/>
  <c r="Z338" i="2"/>
  <c r="AA330" i="2"/>
  <c r="Z330" i="2"/>
  <c r="Y330" i="2"/>
  <c r="AA322" i="2"/>
  <c r="Z322" i="2"/>
  <c r="AA314" i="2"/>
  <c r="Z314" i="2"/>
  <c r="Y314" i="2"/>
  <c r="AA306" i="2"/>
  <c r="Z306" i="2"/>
  <c r="AA298" i="2"/>
  <c r="Z298" i="2"/>
  <c r="Y298" i="2"/>
  <c r="AA290" i="2"/>
  <c r="Z290" i="2"/>
  <c r="Y290" i="2"/>
  <c r="AA282" i="2"/>
  <c r="Z282" i="2"/>
  <c r="Y282" i="2"/>
  <c r="AA274" i="2"/>
  <c r="Z274" i="2"/>
  <c r="AA266" i="2"/>
  <c r="Z266" i="2"/>
  <c r="Y266" i="2"/>
  <c r="AA258" i="2"/>
  <c r="Z258" i="2"/>
  <c r="AA250" i="2"/>
  <c r="Z250" i="2"/>
  <c r="Y250" i="2"/>
  <c r="AA242" i="2"/>
  <c r="Z242" i="2"/>
  <c r="AA234" i="2"/>
  <c r="Z234" i="2"/>
  <c r="Y234" i="2"/>
  <c r="AA226" i="2"/>
  <c r="Z226" i="2"/>
  <c r="Y226" i="2"/>
  <c r="AA218" i="2"/>
  <c r="Z218" i="2"/>
  <c r="Y218" i="2"/>
  <c r="AA210" i="2"/>
  <c r="Z210" i="2"/>
  <c r="AA202" i="2"/>
  <c r="Z202" i="2"/>
  <c r="Y202" i="2"/>
  <c r="AA194" i="2"/>
  <c r="Z194" i="2"/>
  <c r="AA186" i="2"/>
  <c r="Z186" i="2"/>
  <c r="Y186" i="2"/>
  <c r="AA178" i="2"/>
  <c r="Z178" i="2"/>
  <c r="AA170" i="2"/>
  <c r="Z170" i="2"/>
  <c r="Y170" i="2"/>
  <c r="AA162" i="2"/>
  <c r="Z162" i="2"/>
  <c r="Y162" i="2"/>
  <c r="AA154" i="2"/>
  <c r="Z154" i="2"/>
  <c r="Y154" i="2"/>
  <c r="AA146" i="2"/>
  <c r="Z146" i="2"/>
  <c r="AA138" i="2"/>
  <c r="Z138" i="2"/>
  <c r="Y138" i="2"/>
  <c r="AA130" i="2"/>
  <c r="Z130" i="2"/>
  <c r="AA122" i="2"/>
  <c r="Z122" i="2"/>
  <c r="Y122" i="2"/>
  <c r="AA114" i="2"/>
  <c r="Z114" i="2"/>
  <c r="AA106" i="2"/>
  <c r="Z106" i="2"/>
  <c r="AA98" i="2"/>
  <c r="Z98" i="2"/>
  <c r="Y98" i="2"/>
  <c r="AA90" i="2"/>
  <c r="Z90" i="2"/>
  <c r="Y90" i="2"/>
  <c r="AA82" i="2"/>
  <c r="Z82" i="2"/>
  <c r="Y82" i="2"/>
  <c r="AA74" i="2"/>
  <c r="Z74" i="2"/>
  <c r="Y74" i="2"/>
  <c r="AA66" i="2"/>
  <c r="Z66" i="2"/>
  <c r="Y66" i="2"/>
  <c r="Z57" i="2"/>
  <c r="AA57" i="2"/>
  <c r="Y57" i="2"/>
  <c r="AA49" i="2"/>
  <c r="Z49" i="2"/>
  <c r="Y49" i="2"/>
  <c r="Z41" i="2"/>
  <c r="AA41" i="2"/>
  <c r="Y41" i="2"/>
  <c r="AA33" i="2"/>
  <c r="Z33" i="2"/>
  <c r="AA25" i="2"/>
  <c r="Z25" i="2"/>
  <c r="Y25" i="2"/>
  <c r="AA17" i="2"/>
  <c r="Z17" i="2"/>
  <c r="Y17" i="2"/>
  <c r="AA9" i="2"/>
  <c r="Z9" i="2"/>
  <c r="R880" i="2"/>
  <c r="R848" i="2"/>
  <c r="R792" i="2"/>
  <c r="R768" i="2"/>
  <c r="R720" i="2"/>
  <c r="R600" i="2"/>
  <c r="R504" i="2"/>
  <c r="R472" i="2"/>
  <c r="R456" i="2"/>
  <c r="R332" i="2"/>
  <c r="Y2" i="2"/>
  <c r="Y851" i="2"/>
  <c r="Y787" i="2"/>
  <c r="Y701" i="2"/>
  <c r="Y490" i="2"/>
  <c r="Y434" i="2"/>
  <c r="Y322" i="2"/>
  <c r="Y260" i="2"/>
  <c r="Y210" i="2"/>
  <c r="Y148" i="2"/>
  <c r="Z843" i="2"/>
  <c r="Z691" i="2"/>
  <c r="AA886" i="2"/>
  <c r="Z886" i="2"/>
  <c r="Y886" i="2"/>
  <c r="AA838" i="2"/>
  <c r="Z838" i="2"/>
  <c r="Y838" i="2"/>
  <c r="AA789" i="2"/>
  <c r="Z789" i="2"/>
  <c r="AA765" i="2"/>
  <c r="Z765" i="2"/>
  <c r="AA733" i="2"/>
  <c r="Z733" i="2"/>
  <c r="AA709" i="2"/>
  <c r="Z709" i="2"/>
  <c r="AA685" i="2"/>
  <c r="Z685" i="2"/>
  <c r="AA661" i="2"/>
  <c r="Z661" i="2"/>
  <c r="AA629" i="2"/>
  <c r="Z629" i="2"/>
  <c r="AA597" i="2"/>
  <c r="Z597" i="2"/>
  <c r="AA541" i="2"/>
  <c r="Z541" i="2"/>
  <c r="AA517" i="2"/>
  <c r="Z517" i="2"/>
  <c r="Y517" i="2"/>
  <c r="AA477" i="2"/>
  <c r="Z477" i="2"/>
  <c r="Y477" i="2"/>
  <c r="AA437" i="2"/>
  <c r="Z437" i="2"/>
  <c r="Y437" i="2"/>
  <c r="AA397" i="2"/>
  <c r="Z397" i="2"/>
  <c r="Y397" i="2"/>
  <c r="AA349" i="2"/>
  <c r="Z349" i="2"/>
  <c r="Y349" i="2"/>
  <c r="AA309" i="2"/>
  <c r="Z309" i="2"/>
  <c r="Y309" i="2"/>
  <c r="AA269" i="2"/>
  <c r="Z269" i="2"/>
  <c r="Y269" i="2"/>
  <c r="AA229" i="2"/>
  <c r="Z229" i="2"/>
  <c r="Y229" i="2"/>
  <c r="AA189" i="2"/>
  <c r="Z189" i="2"/>
  <c r="Y189" i="2"/>
  <c r="AA157" i="2"/>
  <c r="Z157" i="2"/>
  <c r="Y157" i="2"/>
  <c r="AA117" i="2"/>
  <c r="Z117" i="2"/>
  <c r="Y117" i="2"/>
  <c r="AA69" i="2"/>
  <c r="Z69" i="2"/>
  <c r="Y69" i="2"/>
  <c r="AA28" i="2"/>
  <c r="Z28" i="2"/>
  <c r="Y28" i="2"/>
  <c r="AA555" i="2"/>
  <c r="Z555" i="2"/>
  <c r="Y789" i="2"/>
  <c r="Y597" i="2"/>
  <c r="AA890" i="2"/>
  <c r="Z890" i="2"/>
  <c r="Y890" i="2"/>
  <c r="AA882" i="2"/>
  <c r="Z882" i="2"/>
  <c r="Y882" i="2"/>
  <c r="AA874" i="2"/>
  <c r="Z874" i="2"/>
  <c r="Y874" i="2"/>
  <c r="AA866" i="2"/>
  <c r="Z866" i="2"/>
  <c r="Y866" i="2"/>
  <c r="AA858" i="2"/>
  <c r="Z858" i="2"/>
  <c r="Y858" i="2"/>
  <c r="AA850" i="2"/>
  <c r="Z850" i="2"/>
  <c r="Y850" i="2"/>
  <c r="AA842" i="2"/>
  <c r="Z842" i="2"/>
  <c r="Y842" i="2"/>
  <c r="AA834" i="2"/>
  <c r="Z834" i="2"/>
  <c r="Y834" i="2"/>
  <c r="AA825" i="2"/>
  <c r="Z825" i="2"/>
  <c r="Y825" i="2"/>
  <c r="AA817" i="2"/>
  <c r="Z817" i="2"/>
  <c r="Y817" i="2"/>
  <c r="AA809" i="2"/>
  <c r="Z809" i="2"/>
  <c r="Y809" i="2"/>
  <c r="Z801" i="2"/>
  <c r="AA801" i="2"/>
  <c r="Y801" i="2"/>
  <c r="AA793" i="2"/>
  <c r="Z793" i="2"/>
  <c r="Y793" i="2"/>
  <c r="AA785" i="2"/>
  <c r="Z785" i="2"/>
  <c r="Y785" i="2"/>
  <c r="AA777" i="2"/>
  <c r="Z777" i="2"/>
  <c r="Y777" i="2"/>
  <c r="AA769" i="2"/>
  <c r="Z769" i="2"/>
  <c r="Y769" i="2"/>
  <c r="Z761" i="2"/>
  <c r="AA761" i="2"/>
  <c r="Y761" i="2"/>
  <c r="AA753" i="2"/>
  <c r="Z753" i="2"/>
  <c r="Y753" i="2"/>
  <c r="AA745" i="2"/>
  <c r="Z745" i="2"/>
  <c r="Y745" i="2"/>
  <c r="AA737" i="2"/>
  <c r="Z737" i="2"/>
  <c r="Y737" i="2"/>
  <c r="AA729" i="2"/>
  <c r="Z729" i="2"/>
  <c r="Y729" i="2"/>
  <c r="AA721" i="2"/>
  <c r="Z721" i="2"/>
  <c r="Y721" i="2"/>
  <c r="AA713" i="2"/>
  <c r="Z713" i="2"/>
  <c r="Y713" i="2"/>
  <c r="AA705" i="2"/>
  <c r="Z705" i="2"/>
  <c r="Y705" i="2"/>
  <c r="Z697" i="2"/>
  <c r="Y697" i="2"/>
  <c r="AA689" i="2"/>
  <c r="Z689" i="2"/>
  <c r="Y689" i="2"/>
  <c r="AA681" i="2"/>
  <c r="Z681" i="2"/>
  <c r="Y681" i="2"/>
  <c r="AA673" i="2"/>
  <c r="Z673" i="2"/>
  <c r="Y673" i="2"/>
  <c r="AA665" i="2"/>
  <c r="Z665" i="2"/>
  <c r="Y665" i="2"/>
  <c r="AA657" i="2"/>
  <c r="Z657" i="2"/>
  <c r="Y657" i="2"/>
  <c r="AA649" i="2"/>
  <c r="Z649" i="2"/>
  <c r="Y649" i="2"/>
  <c r="AA641" i="2"/>
  <c r="Z641" i="2"/>
  <c r="Y641" i="2"/>
  <c r="AA633" i="2"/>
  <c r="Z633" i="2"/>
  <c r="Y633" i="2"/>
  <c r="AA625" i="2"/>
  <c r="Z625" i="2"/>
  <c r="Y625" i="2"/>
  <c r="AA617" i="2"/>
  <c r="Z617" i="2"/>
  <c r="Y617" i="2"/>
  <c r="AA609" i="2"/>
  <c r="Z609" i="2"/>
  <c r="Y609" i="2"/>
  <c r="AA601" i="2"/>
  <c r="Z601" i="2"/>
  <c r="Y601" i="2"/>
  <c r="AA593" i="2"/>
  <c r="Z593" i="2"/>
  <c r="Y593" i="2"/>
  <c r="AA585" i="2"/>
  <c r="Z585" i="2"/>
  <c r="Y585" i="2"/>
  <c r="AA577" i="2"/>
  <c r="Z577" i="2"/>
  <c r="Y577" i="2"/>
  <c r="AA569" i="2"/>
  <c r="Z569" i="2"/>
  <c r="Y569" i="2"/>
  <c r="AA561" i="2"/>
  <c r="Z561" i="2"/>
  <c r="Y561" i="2"/>
  <c r="Z553" i="2"/>
  <c r="AA553" i="2"/>
  <c r="Y553" i="2"/>
  <c r="AA545" i="2"/>
  <c r="Y545" i="2"/>
  <c r="Z545" i="2"/>
  <c r="AA537" i="2"/>
  <c r="Z537" i="2"/>
  <c r="Y537" i="2"/>
  <c r="AA529" i="2"/>
  <c r="Z529" i="2"/>
  <c r="Y529" i="2"/>
  <c r="AA521" i="2"/>
  <c r="Z521" i="2"/>
  <c r="Y521" i="2"/>
  <c r="AA513" i="2"/>
  <c r="Z513" i="2"/>
  <c r="Y513" i="2"/>
  <c r="AA505" i="2"/>
  <c r="Y505" i="2"/>
  <c r="AA497" i="2"/>
  <c r="Z497" i="2"/>
  <c r="Y497" i="2"/>
  <c r="AA489" i="2"/>
  <c r="Z489" i="2"/>
  <c r="Y489" i="2"/>
  <c r="AA481" i="2"/>
  <c r="Z481" i="2"/>
  <c r="Y481" i="2"/>
  <c r="AA473" i="2"/>
  <c r="Z473" i="2"/>
  <c r="Y473" i="2"/>
  <c r="AA465" i="2"/>
  <c r="Z465" i="2"/>
  <c r="Y465" i="2"/>
  <c r="AA457" i="2"/>
  <c r="Z457" i="2"/>
  <c r="Y457" i="2"/>
  <c r="AA449" i="2"/>
  <c r="Z449" i="2"/>
  <c r="Y449" i="2"/>
  <c r="Z441" i="2"/>
  <c r="AA441" i="2"/>
  <c r="Y441" i="2"/>
  <c r="AA433" i="2"/>
  <c r="Z433" i="2"/>
  <c r="Y433" i="2"/>
  <c r="Z425" i="2"/>
  <c r="AA425" i="2"/>
  <c r="Y425" i="2"/>
  <c r="AA417" i="2"/>
  <c r="Z417" i="2"/>
  <c r="Y417" i="2"/>
  <c r="AA409" i="2"/>
  <c r="Z409" i="2"/>
  <c r="Y409" i="2"/>
  <c r="AA401" i="2"/>
  <c r="Z401" i="2"/>
  <c r="Y401" i="2"/>
  <c r="AA393" i="2"/>
  <c r="Z393" i="2"/>
  <c r="Y393" i="2"/>
  <c r="AA385" i="2"/>
  <c r="Z385" i="2"/>
  <c r="Y385" i="2"/>
  <c r="Z377" i="2"/>
  <c r="AA377" i="2"/>
  <c r="Y377" i="2"/>
  <c r="AA369" i="2"/>
  <c r="Z369" i="2"/>
  <c r="Y369" i="2"/>
  <c r="Z361" i="2"/>
  <c r="AA361" i="2"/>
  <c r="Y361" i="2"/>
  <c r="AA353" i="2"/>
  <c r="Z353" i="2"/>
  <c r="Y353" i="2"/>
  <c r="AA345" i="2"/>
  <c r="Z345" i="2"/>
  <c r="Y345" i="2"/>
  <c r="Z337" i="2"/>
  <c r="AA337" i="2"/>
  <c r="Y337" i="2"/>
  <c r="AA329" i="2"/>
  <c r="Z329" i="2"/>
  <c r="Y329" i="2"/>
  <c r="AA321" i="2"/>
  <c r="Z321" i="2"/>
  <c r="Y321" i="2"/>
  <c r="Z313" i="2"/>
  <c r="AA313" i="2"/>
  <c r="Y313" i="2"/>
  <c r="AA305" i="2"/>
  <c r="Z305" i="2"/>
  <c r="Y305" i="2"/>
  <c r="AA297" i="2"/>
  <c r="Z297" i="2"/>
  <c r="Y297" i="2"/>
  <c r="AA289" i="2"/>
  <c r="Z289" i="2"/>
  <c r="Y289" i="2"/>
  <c r="AA281" i="2"/>
  <c r="Z281" i="2"/>
  <c r="Y281" i="2"/>
  <c r="Z273" i="2"/>
  <c r="Y273" i="2"/>
  <c r="AA273" i="2"/>
  <c r="AA265" i="2"/>
  <c r="Z265" i="2"/>
  <c r="Y265" i="2"/>
  <c r="AA257" i="2"/>
  <c r="Z257" i="2"/>
  <c r="Y257" i="2"/>
  <c r="AA249" i="2"/>
  <c r="Z249" i="2"/>
  <c r="Y249" i="2"/>
  <c r="AA241" i="2"/>
  <c r="Z241" i="2"/>
  <c r="Y241" i="2"/>
  <c r="AA233" i="2"/>
  <c r="Z233" i="2"/>
  <c r="Y233" i="2"/>
  <c r="AA225" i="2"/>
  <c r="Z225" i="2"/>
  <c r="Y225" i="2"/>
  <c r="AA217" i="2"/>
  <c r="Z217" i="2"/>
  <c r="Y217" i="2"/>
  <c r="AA209" i="2"/>
  <c r="Z209" i="2"/>
  <c r="Y209" i="2"/>
  <c r="AA201" i="2"/>
  <c r="Z201" i="2"/>
  <c r="Y201" i="2"/>
  <c r="AA193" i="2"/>
  <c r="Z193" i="2"/>
  <c r="Y193" i="2"/>
  <c r="Z185" i="2"/>
  <c r="AA185" i="2"/>
  <c r="Y185" i="2"/>
  <c r="AA177" i="2"/>
  <c r="Z177" i="2"/>
  <c r="Y177" i="2"/>
  <c r="AA169" i="2"/>
  <c r="Z169" i="2"/>
  <c r="Y169" i="2"/>
  <c r="AA161" i="2"/>
  <c r="Z161" i="2"/>
  <c r="Y161" i="2"/>
  <c r="AA153" i="2"/>
  <c r="Z153" i="2"/>
  <c r="Y153" i="2"/>
  <c r="AA145" i="2"/>
  <c r="Z145" i="2"/>
  <c r="Y145" i="2"/>
  <c r="AA137" i="2"/>
  <c r="Z137" i="2"/>
  <c r="Y137" i="2"/>
  <c r="AA129" i="2"/>
  <c r="Z129" i="2"/>
  <c r="Y129" i="2"/>
  <c r="AA121" i="2"/>
  <c r="Z121" i="2"/>
  <c r="Y121" i="2"/>
  <c r="AA113" i="2"/>
  <c r="Z113" i="2"/>
  <c r="Y113" i="2"/>
  <c r="Z105" i="2"/>
  <c r="AA105" i="2"/>
  <c r="Y105" i="2"/>
  <c r="AA97" i="2"/>
  <c r="Z97" i="2"/>
  <c r="AA89" i="2"/>
  <c r="Z89" i="2"/>
  <c r="Y89" i="2"/>
  <c r="AA81" i="2"/>
  <c r="Z81" i="2"/>
  <c r="Y81" i="2"/>
  <c r="AA73" i="2"/>
  <c r="Z73" i="2"/>
  <c r="Y73" i="2"/>
  <c r="AA65" i="2"/>
  <c r="Z65" i="2"/>
  <c r="AA56" i="2"/>
  <c r="Z56" i="2"/>
  <c r="Y56" i="2"/>
  <c r="AA48" i="2"/>
  <c r="Z48" i="2"/>
  <c r="Y48" i="2"/>
  <c r="AA40" i="2"/>
  <c r="Z40" i="2"/>
  <c r="Y40" i="2"/>
  <c r="AA32" i="2"/>
  <c r="Z32" i="2"/>
  <c r="Y32" i="2"/>
  <c r="AA24" i="2"/>
  <c r="Z24" i="2"/>
  <c r="Y24" i="2"/>
  <c r="AA16" i="2"/>
  <c r="Z16" i="2"/>
  <c r="Y16" i="2"/>
  <c r="AA8" i="2"/>
  <c r="Z8" i="2"/>
  <c r="Y8" i="2"/>
  <c r="R21" i="2"/>
  <c r="R109" i="2"/>
  <c r="R237" i="2"/>
  <c r="R349" i="2"/>
  <c r="R30" i="2"/>
  <c r="R38" i="2"/>
  <c r="R78" i="2"/>
  <c r="R142" i="2"/>
  <c r="R182" i="2"/>
  <c r="R198" i="2"/>
  <c r="R262" i="2"/>
  <c r="R286" i="2"/>
  <c r="R302" i="2"/>
  <c r="R326" i="2"/>
  <c r="R366" i="2"/>
  <c r="R390" i="2"/>
  <c r="R7" i="2"/>
  <c r="R31" i="2"/>
  <c r="R47" i="2"/>
  <c r="R79" i="2"/>
  <c r="R103" i="2"/>
  <c r="R111" i="2"/>
  <c r="R33" i="2"/>
  <c r="R49" i="2"/>
  <c r="R57" i="2"/>
  <c r="R89" i="2"/>
  <c r="R97" i="2"/>
  <c r="R161" i="2"/>
  <c r="R225" i="2"/>
  <c r="R297" i="2"/>
  <c r="R305" i="2"/>
  <c r="R19" i="2"/>
  <c r="R67" i="2"/>
  <c r="R123" i="2"/>
  <c r="R187" i="2"/>
  <c r="R203" i="2"/>
  <c r="R243" i="2"/>
  <c r="R411" i="2"/>
  <c r="R839" i="2"/>
  <c r="R775" i="2"/>
  <c r="R711" i="2"/>
  <c r="R671" i="2"/>
  <c r="R655" i="2"/>
  <c r="R631" i="2"/>
  <c r="R615" i="2"/>
  <c r="R591" i="2"/>
  <c r="R575" i="2"/>
  <c r="R559" i="2"/>
  <c r="R535" i="2"/>
  <c r="R519" i="2"/>
  <c r="R487" i="2"/>
  <c r="R415" i="2"/>
  <c r="R356" i="2"/>
  <c r="R306" i="2"/>
  <c r="R183" i="2"/>
  <c r="R50" i="2"/>
  <c r="R28" i="2"/>
  <c r="Y891" i="2"/>
  <c r="Y869" i="2"/>
  <c r="Y827" i="2"/>
  <c r="Y805" i="2"/>
  <c r="Y763" i="2"/>
  <c r="Y741" i="2"/>
  <c r="Y613" i="2"/>
  <c r="Y571" i="2"/>
  <c r="Y484" i="2"/>
  <c r="Y427" i="2"/>
  <c r="Y370" i="2"/>
  <c r="Y258" i="2"/>
  <c r="Y196" i="2"/>
  <c r="Y146" i="2"/>
  <c r="Y65" i="2"/>
  <c r="Z819" i="2"/>
  <c r="Z669" i="2"/>
  <c r="AA815" i="2"/>
  <c r="AA862" i="2"/>
  <c r="Z862" i="2"/>
  <c r="Y862" i="2"/>
  <c r="AA757" i="2"/>
  <c r="Z757" i="2"/>
  <c r="AA693" i="2"/>
  <c r="Z693" i="2"/>
  <c r="AA549" i="2"/>
  <c r="Z549" i="2"/>
  <c r="AA509" i="2"/>
  <c r="Z509" i="2"/>
  <c r="Y509" i="2"/>
  <c r="AA469" i="2"/>
  <c r="Y469" i="2"/>
  <c r="AA413" i="2"/>
  <c r="Z413" i="2"/>
  <c r="Y413" i="2"/>
  <c r="AA373" i="2"/>
  <c r="Z373" i="2"/>
  <c r="Y373" i="2"/>
  <c r="AA325" i="2"/>
  <c r="Z325" i="2"/>
  <c r="Y325" i="2"/>
  <c r="AA285" i="2"/>
  <c r="Z285" i="2"/>
  <c r="Y285" i="2"/>
  <c r="AA245" i="2"/>
  <c r="Z245" i="2"/>
  <c r="Y245" i="2"/>
  <c r="AA197" i="2"/>
  <c r="Z197" i="2"/>
  <c r="Y197" i="2"/>
  <c r="AA149" i="2"/>
  <c r="Z149" i="2"/>
  <c r="Y149" i="2"/>
  <c r="AA85" i="2"/>
  <c r="Y85" i="2"/>
  <c r="Z85" i="2"/>
  <c r="AA20" i="2"/>
  <c r="Z20" i="2"/>
  <c r="Y20" i="2"/>
  <c r="Y581" i="2"/>
  <c r="Z749" i="2"/>
  <c r="AA868" i="2"/>
  <c r="Z868" i="2"/>
  <c r="Y868" i="2"/>
  <c r="AA844" i="2"/>
  <c r="Z844" i="2"/>
  <c r="Y844" i="2"/>
  <c r="AA811" i="2"/>
  <c r="Z811" i="2"/>
  <c r="AA755" i="2"/>
  <c r="Z755" i="2"/>
  <c r="AA723" i="2"/>
  <c r="Z723" i="2"/>
  <c r="AA683" i="2"/>
  <c r="Z683" i="2"/>
  <c r="AA643" i="2"/>
  <c r="Z643" i="2"/>
  <c r="AA603" i="2"/>
  <c r="Z603" i="2"/>
  <c r="AA563" i="2"/>
  <c r="Z563" i="2"/>
  <c r="AA523" i="2"/>
  <c r="Z523" i="2"/>
  <c r="AA491" i="2"/>
  <c r="Z491" i="2"/>
  <c r="Y491" i="2"/>
  <c r="AA451" i="2"/>
  <c r="Z451" i="2"/>
  <c r="Y451" i="2"/>
  <c r="AA419" i="2"/>
  <c r="Z419" i="2"/>
  <c r="Y419" i="2"/>
  <c r="AA387" i="2"/>
  <c r="Z387" i="2"/>
  <c r="Y387" i="2"/>
  <c r="AA355" i="2"/>
  <c r="Z355" i="2"/>
  <c r="Y355" i="2"/>
  <c r="AA323" i="2"/>
  <c r="Z323" i="2"/>
  <c r="Y323" i="2"/>
  <c r="AA299" i="2"/>
  <c r="Z299" i="2"/>
  <c r="Z275" i="2"/>
  <c r="AA275" i="2"/>
  <c r="Y275" i="2"/>
  <c r="AA235" i="2"/>
  <c r="Z235" i="2"/>
  <c r="Z203" i="2"/>
  <c r="AA203" i="2"/>
  <c r="Y203" i="2"/>
  <c r="AA179" i="2"/>
  <c r="Z179" i="2"/>
  <c r="Y179" i="2"/>
  <c r="AA155" i="2"/>
  <c r="Z155" i="2"/>
  <c r="AA131" i="2"/>
  <c r="Z131" i="2"/>
  <c r="Y131" i="2"/>
  <c r="AA107" i="2"/>
  <c r="Z107" i="2"/>
  <c r="Y107" i="2"/>
  <c r="AA67" i="2"/>
  <c r="Z67" i="2"/>
  <c r="Y67" i="2"/>
  <c r="AA26" i="2"/>
  <c r="Z26" i="2"/>
  <c r="Y26" i="2"/>
  <c r="R870" i="2"/>
  <c r="R830" i="2"/>
  <c r="R742" i="2"/>
  <c r="R734" i="2"/>
  <c r="R694" i="2"/>
  <c r="R614" i="2"/>
  <c r="R598" i="2"/>
  <c r="R566" i="2"/>
  <c r="R526" i="2"/>
  <c r="R470" i="2"/>
  <c r="R446" i="2"/>
  <c r="R430" i="2"/>
  <c r="R422" i="2"/>
  <c r="R252" i="2"/>
  <c r="R200" i="2"/>
  <c r="R156" i="2"/>
  <c r="R66" i="2"/>
  <c r="R48" i="2"/>
  <c r="Y867" i="2"/>
  <c r="Y845" i="2"/>
  <c r="Y781" i="2"/>
  <c r="Y675" i="2"/>
  <c r="Y475" i="2"/>
  <c r="Y420" i="2"/>
  <c r="Y363" i="2"/>
  <c r="Y306" i="2"/>
  <c r="Y194" i="2"/>
  <c r="Y132" i="2"/>
  <c r="Z797" i="2"/>
  <c r="Z645" i="2"/>
  <c r="Z428" i="2"/>
  <c r="AA697" i="2"/>
  <c r="AA870" i="2"/>
  <c r="Z870" i="2"/>
  <c r="Y870" i="2"/>
  <c r="AA773" i="2"/>
  <c r="Z773" i="2"/>
  <c r="AA725" i="2"/>
  <c r="Z725" i="2"/>
  <c r="AA653" i="2"/>
  <c r="Z653" i="2"/>
  <c r="AA637" i="2"/>
  <c r="Z637" i="2"/>
  <c r="AA605" i="2"/>
  <c r="Z605" i="2"/>
  <c r="AA573" i="2"/>
  <c r="Z573" i="2"/>
  <c r="AA525" i="2"/>
  <c r="Z525" i="2"/>
  <c r="Y525" i="2"/>
  <c r="AA485" i="2"/>
  <c r="Z485" i="2"/>
  <c r="Y485" i="2"/>
  <c r="AA445" i="2"/>
  <c r="Y445" i="2"/>
  <c r="Z445" i="2"/>
  <c r="AA405" i="2"/>
  <c r="Y405" i="2"/>
  <c r="Z405" i="2"/>
  <c r="AA365" i="2"/>
  <c r="Y365" i="2"/>
  <c r="Z365" i="2"/>
  <c r="AA333" i="2"/>
  <c r="Z333" i="2"/>
  <c r="Y333" i="2"/>
  <c r="AA301" i="2"/>
  <c r="Y301" i="2"/>
  <c r="Z301" i="2"/>
  <c r="AA261" i="2"/>
  <c r="Z261" i="2"/>
  <c r="Y261" i="2"/>
  <c r="AA221" i="2"/>
  <c r="Z221" i="2"/>
  <c r="Y221" i="2"/>
  <c r="AA181" i="2"/>
  <c r="Y181" i="2"/>
  <c r="AA141" i="2"/>
  <c r="Z141" i="2"/>
  <c r="Y141" i="2"/>
  <c r="AA101" i="2"/>
  <c r="Z101" i="2"/>
  <c r="Y101" i="2"/>
  <c r="AA60" i="2"/>
  <c r="Z60" i="2"/>
  <c r="Y60" i="2"/>
  <c r="AA36" i="2"/>
  <c r="Z36" i="2"/>
  <c r="Y36" i="2"/>
  <c r="Y709" i="2"/>
  <c r="Y645" i="2"/>
  <c r="Z581" i="2"/>
  <c r="AA884" i="2"/>
  <c r="Z884" i="2"/>
  <c r="Y884" i="2"/>
  <c r="AA860" i="2"/>
  <c r="Y860" i="2"/>
  <c r="AA836" i="2"/>
  <c r="Z836" i="2"/>
  <c r="Y836" i="2"/>
  <c r="AA803" i="2"/>
  <c r="Z803" i="2"/>
  <c r="AA771" i="2"/>
  <c r="Z771" i="2"/>
  <c r="AA747" i="2"/>
  <c r="Z747" i="2"/>
  <c r="AA707" i="2"/>
  <c r="Z707" i="2"/>
  <c r="AA667" i="2"/>
  <c r="Z667" i="2"/>
  <c r="AA635" i="2"/>
  <c r="Z635" i="2"/>
  <c r="Z611" i="2"/>
  <c r="AA611" i="2"/>
  <c r="AA579" i="2"/>
  <c r="Z579" i="2"/>
  <c r="AA539" i="2"/>
  <c r="Z539" i="2"/>
  <c r="AA515" i="2"/>
  <c r="Z515" i="2"/>
  <c r="Y515" i="2"/>
  <c r="AA483" i="2"/>
  <c r="Z483" i="2"/>
  <c r="Y483" i="2"/>
  <c r="AA459" i="2"/>
  <c r="Z459" i="2"/>
  <c r="Y459" i="2"/>
  <c r="AA435" i="2"/>
  <c r="Z435" i="2"/>
  <c r="Y435" i="2"/>
  <c r="AA403" i="2"/>
  <c r="Z403" i="2"/>
  <c r="Y403" i="2"/>
  <c r="AA371" i="2"/>
  <c r="Z371" i="2"/>
  <c r="Y371" i="2"/>
  <c r="AA331" i="2"/>
  <c r="Z331" i="2"/>
  <c r="Y331" i="2"/>
  <c r="AA243" i="2"/>
  <c r="Z243" i="2"/>
  <c r="Y243" i="2"/>
  <c r="AA888" i="2"/>
  <c r="Z888" i="2"/>
  <c r="Y888" i="2"/>
  <c r="Z880" i="2"/>
  <c r="AA880" i="2"/>
  <c r="Y880" i="2"/>
  <c r="AA872" i="2"/>
  <c r="Z872" i="2"/>
  <c r="Y872" i="2"/>
  <c r="AA864" i="2"/>
  <c r="Z864" i="2"/>
  <c r="Y864" i="2"/>
  <c r="AA856" i="2"/>
  <c r="Z856" i="2"/>
  <c r="Y856" i="2"/>
  <c r="Z848" i="2"/>
  <c r="Y848" i="2"/>
  <c r="AA848" i="2"/>
  <c r="AA840" i="2"/>
  <c r="Z840" i="2"/>
  <c r="Y840" i="2"/>
  <c r="Z832" i="2"/>
  <c r="AA832" i="2"/>
  <c r="Y832" i="2"/>
  <c r="AA823" i="2"/>
  <c r="Z823" i="2"/>
  <c r="AA807" i="2"/>
  <c r="Z807" i="2"/>
  <c r="Z799" i="2"/>
  <c r="AA799" i="2"/>
  <c r="AA791" i="2"/>
  <c r="Z791" i="2"/>
  <c r="AA783" i="2"/>
  <c r="Z783" i="2"/>
  <c r="AA775" i="2"/>
  <c r="Z775" i="2"/>
  <c r="AA767" i="2"/>
  <c r="Z767" i="2"/>
  <c r="AA759" i="2"/>
  <c r="Z759" i="2"/>
  <c r="AA751" i="2"/>
  <c r="Z751" i="2"/>
  <c r="Z743" i="2"/>
  <c r="AA743" i="2"/>
  <c r="AA735" i="2"/>
  <c r="Z735" i="2"/>
  <c r="AA727" i="2"/>
  <c r="Z727" i="2"/>
  <c r="AA719" i="2"/>
  <c r="Z719" i="2"/>
  <c r="AA711" i="2"/>
  <c r="Z711" i="2"/>
  <c r="Z703" i="2"/>
  <c r="AA703" i="2"/>
  <c r="AA695" i="2"/>
  <c r="Z695" i="2"/>
  <c r="AA687" i="2"/>
  <c r="Z687" i="2"/>
  <c r="Z679" i="2"/>
  <c r="AA679" i="2"/>
  <c r="AA671" i="2"/>
  <c r="Z671" i="2"/>
  <c r="AA663" i="2"/>
  <c r="Z663" i="2"/>
  <c r="AA655" i="2"/>
  <c r="Z655" i="2"/>
  <c r="AA647" i="2"/>
  <c r="Z647" i="2"/>
  <c r="AA639" i="2"/>
  <c r="Z639" i="2"/>
  <c r="AA631" i="2"/>
  <c r="Z631" i="2"/>
  <c r="AA623" i="2"/>
  <c r="Z623" i="2"/>
  <c r="AA615" i="2"/>
  <c r="Z615" i="2"/>
  <c r="AA607" i="2"/>
  <c r="Z607" i="2"/>
  <c r="AA599" i="2"/>
  <c r="Z599" i="2"/>
  <c r="Z591" i="2"/>
  <c r="AA591" i="2"/>
  <c r="AA583" i="2"/>
  <c r="Z583" i="2"/>
  <c r="Z575" i="2"/>
  <c r="AA575" i="2"/>
  <c r="AA567" i="2"/>
  <c r="Z567" i="2"/>
  <c r="AA559" i="2"/>
  <c r="Z559" i="2"/>
  <c r="Z551" i="2"/>
  <c r="AA551" i="2"/>
  <c r="AA543" i="2"/>
  <c r="Z543" i="2"/>
  <c r="AA535" i="2"/>
  <c r="Z535" i="2"/>
  <c r="Y535" i="2"/>
  <c r="Z527" i="2"/>
  <c r="AA527" i="2"/>
  <c r="Y527" i="2"/>
  <c r="AA519" i="2"/>
  <c r="Z519" i="2"/>
  <c r="Y519" i="2"/>
  <c r="AA511" i="2"/>
  <c r="Z511" i="2"/>
  <c r="Y511" i="2"/>
  <c r="AA503" i="2"/>
  <c r="Z503" i="2"/>
  <c r="Y503" i="2"/>
  <c r="AA495" i="2"/>
  <c r="Z495" i="2"/>
  <c r="Y495" i="2"/>
  <c r="Z487" i="2"/>
  <c r="AA487" i="2"/>
  <c r="Y487" i="2"/>
  <c r="AA479" i="2"/>
  <c r="Z479" i="2"/>
  <c r="Y479" i="2"/>
  <c r="AA471" i="2"/>
  <c r="Z471" i="2"/>
  <c r="Y471" i="2"/>
  <c r="AA463" i="2"/>
  <c r="Z463" i="2"/>
  <c r="Y463" i="2"/>
  <c r="AA455" i="2"/>
  <c r="Z455" i="2"/>
  <c r="Y455" i="2"/>
  <c r="Z447" i="2"/>
  <c r="AA447" i="2"/>
  <c r="Y447" i="2"/>
  <c r="AA439" i="2"/>
  <c r="Z439" i="2"/>
  <c r="Y439" i="2"/>
  <c r="AA431" i="2"/>
  <c r="Z431" i="2"/>
  <c r="Y431" i="2"/>
  <c r="Z423" i="2"/>
  <c r="AA423" i="2"/>
  <c r="Y423" i="2"/>
  <c r="AA415" i="2"/>
  <c r="Z415" i="2"/>
  <c r="Y415" i="2"/>
  <c r="AA407" i="2"/>
  <c r="Z407" i="2"/>
  <c r="Y407" i="2"/>
  <c r="Z399" i="2"/>
  <c r="Y399" i="2"/>
  <c r="AA391" i="2"/>
  <c r="Z391" i="2"/>
  <c r="Y391" i="2"/>
  <c r="Z383" i="2"/>
  <c r="AA383" i="2"/>
  <c r="Y383" i="2"/>
  <c r="AA375" i="2"/>
  <c r="Z375" i="2"/>
  <c r="Y375" i="2"/>
  <c r="AA367" i="2"/>
  <c r="Z367" i="2"/>
  <c r="Y367" i="2"/>
  <c r="Z359" i="2"/>
  <c r="AA359" i="2"/>
  <c r="Y359" i="2"/>
  <c r="AA351" i="2"/>
  <c r="Z351" i="2"/>
  <c r="Y351" i="2"/>
  <c r="AA343" i="2"/>
  <c r="Z343" i="2"/>
  <c r="Y343" i="2"/>
  <c r="Z335" i="2"/>
  <c r="AA335" i="2"/>
  <c r="Y335" i="2"/>
  <c r="AA327" i="2"/>
  <c r="Z327" i="2"/>
  <c r="Y327" i="2"/>
  <c r="Z319" i="2"/>
  <c r="AA319" i="2"/>
  <c r="Y319" i="2"/>
  <c r="AA311" i="2"/>
  <c r="Z311" i="2"/>
  <c r="Y311" i="2"/>
  <c r="AA303" i="2"/>
  <c r="Z303" i="2"/>
  <c r="Y303" i="2"/>
  <c r="Z295" i="2"/>
  <c r="AA295" i="2"/>
  <c r="Y295" i="2"/>
  <c r="AA287" i="2"/>
  <c r="Z287" i="2"/>
  <c r="Y287" i="2"/>
  <c r="AA279" i="2"/>
  <c r="Z279" i="2"/>
  <c r="Y279" i="2"/>
  <c r="Z271" i="2"/>
  <c r="Y271" i="2"/>
  <c r="AA271" i="2"/>
  <c r="AA263" i="2"/>
  <c r="Z263" i="2"/>
  <c r="Y263" i="2"/>
  <c r="Z255" i="2"/>
  <c r="AA255" i="2"/>
  <c r="Y255" i="2"/>
  <c r="AA247" i="2"/>
  <c r="Z247" i="2"/>
  <c r="Y247" i="2"/>
  <c r="AA239" i="2"/>
  <c r="Z239" i="2"/>
  <c r="Y239" i="2"/>
  <c r="AA231" i="2"/>
  <c r="Z231" i="2"/>
  <c r="Y231" i="2"/>
  <c r="AA223" i="2"/>
  <c r="Z223" i="2"/>
  <c r="Y223" i="2"/>
  <c r="AA215" i="2"/>
  <c r="Z215" i="2"/>
  <c r="Y215" i="2"/>
  <c r="AA207" i="2"/>
  <c r="Z207" i="2"/>
  <c r="Y207" i="2"/>
  <c r="AA199" i="2"/>
  <c r="Z199" i="2"/>
  <c r="Y199" i="2"/>
  <c r="AA191" i="2"/>
  <c r="Z191" i="2"/>
  <c r="Y191" i="2"/>
  <c r="AA183" i="2"/>
  <c r="Z183" i="2"/>
  <c r="Y183" i="2"/>
  <c r="AA175" i="2"/>
  <c r="Z175" i="2"/>
  <c r="Y175" i="2"/>
  <c r="AA167" i="2"/>
  <c r="Y167" i="2"/>
  <c r="Z167" i="2"/>
  <c r="AA159" i="2"/>
  <c r="Z159" i="2"/>
  <c r="Y159" i="2"/>
  <c r="AA151" i="2"/>
  <c r="Z151" i="2"/>
  <c r="Y151" i="2"/>
  <c r="AA143" i="2"/>
  <c r="Z143" i="2"/>
  <c r="Y143" i="2"/>
  <c r="AA135" i="2"/>
  <c r="Z135" i="2"/>
  <c r="Y135" i="2"/>
  <c r="AA127" i="2"/>
  <c r="Z127" i="2"/>
  <c r="Y127" i="2"/>
  <c r="AA119" i="2"/>
  <c r="Z119" i="2"/>
  <c r="Y119" i="2"/>
  <c r="AA111" i="2"/>
  <c r="Z111" i="2"/>
  <c r="Y111" i="2"/>
  <c r="Z103" i="2"/>
  <c r="AA103" i="2"/>
  <c r="Y103" i="2"/>
  <c r="AA95" i="2"/>
  <c r="Z95" i="2"/>
  <c r="Y95" i="2"/>
  <c r="AA87" i="2"/>
  <c r="Z87" i="2"/>
  <c r="Y87" i="2"/>
  <c r="AA79" i="2"/>
  <c r="Z79" i="2"/>
  <c r="Y79" i="2"/>
  <c r="AA71" i="2"/>
  <c r="Z71" i="2"/>
  <c r="Y71" i="2"/>
  <c r="AA62" i="2"/>
  <c r="Z62" i="2"/>
  <c r="Y62" i="2"/>
  <c r="AA54" i="2"/>
  <c r="Z54" i="2"/>
  <c r="Y54" i="2"/>
  <c r="AA46" i="2"/>
  <c r="Z46" i="2"/>
  <c r="Y46" i="2"/>
  <c r="AA38" i="2"/>
  <c r="Y38" i="2"/>
  <c r="Z38" i="2"/>
  <c r="AA30" i="2"/>
  <c r="Z30" i="2"/>
  <c r="Y30" i="2"/>
  <c r="AA22" i="2"/>
  <c r="Z22" i="2"/>
  <c r="Y22" i="2"/>
  <c r="AA14" i="2"/>
  <c r="Z14" i="2"/>
  <c r="Y14" i="2"/>
  <c r="AA6" i="2"/>
  <c r="Y6" i="2"/>
  <c r="Z6" i="2"/>
  <c r="R861" i="2"/>
  <c r="R741" i="2"/>
  <c r="R669" i="2"/>
  <c r="R645" i="2"/>
  <c r="R613" i="2"/>
  <c r="R565" i="2"/>
  <c r="R549" i="2"/>
  <c r="R533" i="2"/>
  <c r="R509" i="2"/>
  <c r="R477" i="2"/>
  <c r="R461" i="2"/>
  <c r="R453" i="2"/>
  <c r="R413" i="2"/>
  <c r="R337" i="2"/>
  <c r="R303" i="2"/>
  <c r="R276" i="2"/>
  <c r="R242" i="2"/>
  <c r="R216" i="2"/>
  <c r="R130" i="2"/>
  <c r="R84" i="2"/>
  <c r="Y885" i="2"/>
  <c r="Y843" i="2"/>
  <c r="Y821" i="2"/>
  <c r="Y799" i="2"/>
  <c r="Y757" i="2"/>
  <c r="Y735" i="2"/>
  <c r="Y715" i="2"/>
  <c r="Y693" i="2"/>
  <c r="Y671" i="2"/>
  <c r="Y651" i="2"/>
  <c r="Y629" i="2"/>
  <c r="Y607" i="2"/>
  <c r="Y587" i="2"/>
  <c r="Y565" i="2"/>
  <c r="Y543" i="2"/>
  <c r="Y516" i="2"/>
  <c r="Y468" i="2"/>
  <c r="Y356" i="2"/>
  <c r="Y299" i="2"/>
  <c r="Y242" i="2"/>
  <c r="Y187" i="2"/>
  <c r="Y130" i="2"/>
  <c r="Y33" i="2"/>
  <c r="Z795" i="2"/>
  <c r="Z628" i="2"/>
  <c r="Z364" i="2"/>
  <c r="AA399" i="2"/>
  <c r="AA63" i="2"/>
  <c r="Z63" i="2"/>
  <c r="AA854" i="2"/>
  <c r="Z854" i="2"/>
  <c r="Y854" i="2"/>
  <c r="AA829" i="2"/>
  <c r="Z829" i="2"/>
  <c r="AA813" i="2"/>
  <c r="Z813" i="2"/>
  <c r="AA717" i="2"/>
  <c r="Z717" i="2"/>
  <c r="AA677" i="2"/>
  <c r="Z677" i="2"/>
  <c r="AA589" i="2"/>
  <c r="Z589" i="2"/>
  <c r="AA557" i="2"/>
  <c r="Z557" i="2"/>
  <c r="AA501" i="2"/>
  <c r="Z501" i="2"/>
  <c r="Y501" i="2"/>
  <c r="AA461" i="2"/>
  <c r="Z461" i="2"/>
  <c r="Y461" i="2"/>
  <c r="AA429" i="2"/>
  <c r="Z429" i="2"/>
  <c r="Y429" i="2"/>
  <c r="AA389" i="2"/>
  <c r="Z389" i="2"/>
  <c r="Y389" i="2"/>
  <c r="AA357" i="2"/>
  <c r="Z357" i="2"/>
  <c r="Y357" i="2"/>
  <c r="AA317" i="2"/>
  <c r="Y317" i="2"/>
  <c r="AA277" i="2"/>
  <c r="Y277" i="2"/>
  <c r="Z277" i="2"/>
  <c r="AA237" i="2"/>
  <c r="Y237" i="2"/>
  <c r="Z237" i="2"/>
  <c r="AA205" i="2"/>
  <c r="Z205" i="2"/>
  <c r="Y205" i="2"/>
  <c r="AA165" i="2"/>
  <c r="Z165" i="2"/>
  <c r="Y165" i="2"/>
  <c r="AA125" i="2"/>
  <c r="Z125" i="2"/>
  <c r="Y125" i="2"/>
  <c r="AA77" i="2"/>
  <c r="Z77" i="2"/>
  <c r="Y77" i="2"/>
  <c r="AA44" i="2"/>
  <c r="Z44" i="2"/>
  <c r="Y44" i="2"/>
  <c r="AA12" i="2"/>
  <c r="Z12" i="2"/>
  <c r="Y12" i="2"/>
  <c r="AA892" i="2"/>
  <c r="Z892" i="2"/>
  <c r="Y892" i="2"/>
  <c r="AA779" i="2"/>
  <c r="Z779" i="2"/>
  <c r="AA739" i="2"/>
  <c r="Z739" i="2"/>
  <c r="AA699" i="2"/>
  <c r="Z699" i="2"/>
  <c r="AA659" i="2"/>
  <c r="Z659" i="2"/>
  <c r="AA627" i="2"/>
  <c r="Z627" i="2"/>
  <c r="AA595" i="2"/>
  <c r="Z595" i="2"/>
  <c r="AA547" i="2"/>
  <c r="Z547" i="2"/>
  <c r="Z507" i="2"/>
  <c r="AA507" i="2"/>
  <c r="Y507" i="2"/>
  <c r="AA467" i="2"/>
  <c r="Z467" i="2"/>
  <c r="Y467" i="2"/>
  <c r="Z443" i="2"/>
  <c r="AA443" i="2"/>
  <c r="AA411" i="2"/>
  <c r="Z411" i="2"/>
  <c r="Z379" i="2"/>
  <c r="AA379" i="2"/>
  <c r="AA347" i="2"/>
  <c r="Z347" i="2"/>
  <c r="AA315" i="2"/>
  <c r="Z315" i="2"/>
  <c r="AA291" i="2"/>
  <c r="Z291" i="2"/>
  <c r="Y291" i="2"/>
  <c r="AA267" i="2"/>
  <c r="Z267" i="2"/>
  <c r="Y267" i="2"/>
  <c r="AA251" i="2"/>
  <c r="Z251" i="2"/>
  <c r="AA219" i="2"/>
  <c r="Z219" i="2"/>
  <c r="AA195" i="2"/>
  <c r="Z195" i="2"/>
  <c r="Y195" i="2"/>
  <c r="AA171" i="2"/>
  <c r="Z171" i="2"/>
  <c r="Z163" i="2"/>
  <c r="AA163" i="2"/>
  <c r="Y163" i="2"/>
  <c r="Z139" i="2"/>
  <c r="AA139" i="2"/>
  <c r="Y139" i="2"/>
  <c r="AA115" i="2"/>
  <c r="Z115" i="2"/>
  <c r="Y115" i="2"/>
  <c r="AA91" i="2"/>
  <c r="Z91" i="2"/>
  <c r="Y91" i="2"/>
  <c r="Z75" i="2"/>
  <c r="AA75" i="2"/>
  <c r="Y75" i="2"/>
  <c r="AA58" i="2"/>
  <c r="Z58" i="2"/>
  <c r="Y58" i="2"/>
  <c r="AA42" i="2"/>
  <c r="Z42" i="2"/>
  <c r="Y42" i="2"/>
  <c r="AA34" i="2"/>
  <c r="Z34" i="2"/>
  <c r="Y34" i="2"/>
  <c r="AA10" i="2"/>
  <c r="Z10" i="2"/>
  <c r="Y10" i="2"/>
  <c r="Y811" i="2"/>
  <c r="Y661" i="2"/>
  <c r="Y531" i="2"/>
  <c r="Y155" i="2"/>
  <c r="AA889" i="2"/>
  <c r="Z889" i="2"/>
  <c r="Y889" i="2"/>
  <c r="Z881" i="2"/>
  <c r="AA881" i="2"/>
  <c r="Y881" i="2"/>
  <c r="AA873" i="2"/>
  <c r="Z873" i="2"/>
  <c r="Y873" i="2"/>
  <c r="AA865" i="2"/>
  <c r="Z865" i="2"/>
  <c r="Y865" i="2"/>
  <c r="AA857" i="2"/>
  <c r="Z857" i="2"/>
  <c r="Y857" i="2"/>
  <c r="Z849" i="2"/>
  <c r="AA849" i="2"/>
  <c r="Y849" i="2"/>
  <c r="AA841" i="2"/>
  <c r="Z841" i="2"/>
  <c r="Y841" i="2"/>
  <c r="Z833" i="2"/>
  <c r="AA833" i="2"/>
  <c r="Y833" i="2"/>
  <c r="AA824" i="2"/>
  <c r="Z824" i="2"/>
  <c r="Y824" i="2"/>
  <c r="AA816" i="2"/>
  <c r="Z816" i="2"/>
  <c r="Y816" i="2"/>
  <c r="AA808" i="2"/>
  <c r="Z808" i="2"/>
  <c r="Y808" i="2"/>
  <c r="Z800" i="2"/>
  <c r="AA800" i="2"/>
  <c r="Y800" i="2"/>
  <c r="AA792" i="2"/>
  <c r="Z792" i="2"/>
  <c r="Y792" i="2"/>
  <c r="AA784" i="2"/>
  <c r="Z784" i="2"/>
  <c r="Y784" i="2"/>
  <c r="AA776" i="2"/>
  <c r="Z776" i="2"/>
  <c r="Y776" i="2"/>
  <c r="AA768" i="2"/>
  <c r="Z768" i="2"/>
  <c r="Y768" i="2"/>
  <c r="Z760" i="2"/>
  <c r="AA760" i="2"/>
  <c r="Y760" i="2"/>
  <c r="AA752" i="2"/>
  <c r="Z752" i="2"/>
  <c r="Y752" i="2"/>
  <c r="Z744" i="2"/>
  <c r="AA744" i="2"/>
  <c r="Y744" i="2"/>
  <c r="AA736" i="2"/>
  <c r="Z736" i="2"/>
  <c r="Y736" i="2"/>
  <c r="AA728" i="2"/>
  <c r="Z728" i="2"/>
  <c r="Y728" i="2"/>
  <c r="AA720" i="2"/>
  <c r="Z720" i="2"/>
  <c r="Y720" i="2"/>
  <c r="AA712" i="2"/>
  <c r="Z712" i="2"/>
  <c r="Y712" i="2"/>
  <c r="AA704" i="2"/>
  <c r="Z704" i="2"/>
  <c r="Y704" i="2"/>
  <c r="Z696" i="2"/>
  <c r="Y696" i="2"/>
  <c r="AA696" i="2"/>
  <c r="AA688" i="2"/>
  <c r="Z688" i="2"/>
  <c r="Y688" i="2"/>
  <c r="AA680" i="2"/>
  <c r="Z680" i="2"/>
  <c r="Y680" i="2"/>
  <c r="AA672" i="2"/>
  <c r="Z672" i="2"/>
  <c r="Y672" i="2"/>
  <c r="AA664" i="2"/>
  <c r="Z664" i="2"/>
  <c r="Y664" i="2"/>
  <c r="AA656" i="2"/>
  <c r="Z656" i="2"/>
  <c r="Y656" i="2"/>
  <c r="AA648" i="2"/>
  <c r="Z648" i="2"/>
  <c r="Y648" i="2"/>
  <c r="AA640" i="2"/>
  <c r="Z640" i="2"/>
  <c r="Y640" i="2"/>
  <c r="AA632" i="2"/>
  <c r="Z632" i="2"/>
  <c r="Y632" i="2"/>
  <c r="AA624" i="2"/>
  <c r="Z624" i="2"/>
  <c r="Y624" i="2"/>
  <c r="AA616" i="2"/>
  <c r="Z616" i="2"/>
  <c r="Y616" i="2"/>
  <c r="AA608" i="2"/>
  <c r="Z608" i="2"/>
  <c r="Y608" i="2"/>
  <c r="AA600" i="2"/>
  <c r="Z600" i="2"/>
  <c r="Y600" i="2"/>
  <c r="AA592" i="2"/>
  <c r="Z592" i="2"/>
  <c r="Y592" i="2"/>
  <c r="AA584" i="2"/>
  <c r="Z584" i="2"/>
  <c r="Y584" i="2"/>
  <c r="AA576" i="2"/>
  <c r="Z576" i="2"/>
  <c r="Y576" i="2"/>
  <c r="AA568" i="2"/>
  <c r="Z568" i="2"/>
  <c r="Y568" i="2"/>
  <c r="AA560" i="2"/>
  <c r="Z560" i="2"/>
  <c r="Y560" i="2"/>
  <c r="AA552" i="2"/>
  <c r="Z552" i="2"/>
  <c r="Y552" i="2"/>
  <c r="AA544" i="2"/>
  <c r="Z544" i="2"/>
  <c r="Y544" i="2"/>
  <c r="AA536" i="2"/>
  <c r="Z536" i="2"/>
  <c r="Y536" i="2"/>
  <c r="AA528" i="2"/>
  <c r="Z528" i="2"/>
  <c r="AA520" i="2"/>
  <c r="Z520" i="2"/>
  <c r="AA512" i="2"/>
  <c r="Z512" i="2"/>
  <c r="Y512" i="2"/>
  <c r="AA504" i="2"/>
  <c r="Z504" i="2"/>
  <c r="Y504" i="2"/>
  <c r="AA496" i="2"/>
  <c r="Z496" i="2"/>
  <c r="Y496" i="2"/>
  <c r="AA488" i="2"/>
  <c r="Z488" i="2"/>
  <c r="Y488" i="2"/>
  <c r="AA480" i="2"/>
  <c r="Z480" i="2"/>
  <c r="Y480" i="2"/>
  <c r="AA472" i="2"/>
  <c r="Z472" i="2"/>
  <c r="Y472" i="2"/>
  <c r="AA464" i="2"/>
  <c r="Z464" i="2"/>
  <c r="Y464" i="2"/>
  <c r="AA456" i="2"/>
  <c r="Z456" i="2"/>
  <c r="Y456" i="2"/>
  <c r="AA448" i="2"/>
  <c r="Z448" i="2"/>
  <c r="Y448" i="2"/>
  <c r="AA440" i="2"/>
  <c r="Z440" i="2"/>
  <c r="Y440" i="2"/>
  <c r="AA432" i="2"/>
  <c r="Z432" i="2"/>
  <c r="Y432" i="2"/>
  <c r="AA424" i="2"/>
  <c r="Z424" i="2"/>
  <c r="Y424" i="2"/>
  <c r="AA416" i="2"/>
  <c r="Z416" i="2"/>
  <c r="Y416" i="2"/>
  <c r="AA408" i="2"/>
  <c r="Z408" i="2"/>
  <c r="Y408" i="2"/>
  <c r="AA400" i="2"/>
  <c r="Z400" i="2"/>
  <c r="Y400" i="2"/>
  <c r="AA392" i="2"/>
  <c r="Z392" i="2"/>
  <c r="Y392" i="2"/>
  <c r="AA384" i="2"/>
  <c r="Z384" i="2"/>
  <c r="Y384" i="2"/>
  <c r="AA376" i="2"/>
  <c r="Z376" i="2"/>
  <c r="Y376" i="2"/>
  <c r="AA368" i="2"/>
  <c r="Z368" i="2"/>
  <c r="Y368" i="2"/>
  <c r="AA360" i="2"/>
  <c r="Z360" i="2"/>
  <c r="Y360" i="2"/>
  <c r="AA352" i="2"/>
  <c r="Z352" i="2"/>
  <c r="Y352" i="2"/>
  <c r="AA344" i="2"/>
  <c r="Z344" i="2"/>
  <c r="Y344" i="2"/>
  <c r="AA336" i="2"/>
  <c r="Z336" i="2"/>
  <c r="Y336" i="2"/>
  <c r="AA328" i="2"/>
  <c r="Z328" i="2"/>
  <c r="Y328" i="2"/>
  <c r="AA320" i="2"/>
  <c r="Z320" i="2"/>
  <c r="Y320" i="2"/>
  <c r="AA312" i="2"/>
  <c r="Z312" i="2"/>
  <c r="Y312" i="2"/>
  <c r="AA304" i="2"/>
  <c r="Z304" i="2"/>
  <c r="Y304" i="2"/>
  <c r="AA296" i="2"/>
  <c r="Z296" i="2"/>
  <c r="Y296" i="2"/>
  <c r="AA288" i="2"/>
  <c r="Z288" i="2"/>
  <c r="Y288" i="2"/>
  <c r="AA280" i="2"/>
  <c r="Z280" i="2"/>
  <c r="Y280" i="2"/>
  <c r="AA272" i="2"/>
  <c r="Z272" i="2"/>
  <c r="Y272" i="2"/>
  <c r="AA264" i="2"/>
  <c r="Z264" i="2"/>
  <c r="Y264" i="2"/>
  <c r="AA256" i="2"/>
  <c r="Z256" i="2"/>
  <c r="Y256" i="2"/>
  <c r="AA248" i="2"/>
  <c r="Z248" i="2"/>
  <c r="Y248" i="2"/>
  <c r="AA240" i="2"/>
  <c r="Z240" i="2"/>
  <c r="Y240" i="2"/>
  <c r="AA232" i="2"/>
  <c r="Z232" i="2"/>
  <c r="Y232" i="2"/>
  <c r="AA224" i="2"/>
  <c r="Z224" i="2"/>
  <c r="Y224" i="2"/>
  <c r="AA216" i="2"/>
  <c r="Z216" i="2"/>
  <c r="Y216" i="2"/>
  <c r="AA208" i="2"/>
  <c r="Z208" i="2"/>
  <c r="Y208" i="2"/>
  <c r="AA200" i="2"/>
  <c r="Z200" i="2"/>
  <c r="Y200" i="2"/>
  <c r="AA192" i="2"/>
  <c r="Z192" i="2"/>
  <c r="Y192" i="2"/>
  <c r="AA184" i="2"/>
  <c r="Z184" i="2"/>
  <c r="Y184" i="2"/>
  <c r="AA176" i="2"/>
  <c r="Z176" i="2"/>
  <c r="Y176" i="2"/>
  <c r="AA168" i="2"/>
  <c r="Z168" i="2"/>
  <c r="Y168" i="2"/>
  <c r="AA160" i="2"/>
  <c r="Z160" i="2"/>
  <c r="Y160" i="2"/>
  <c r="AA152" i="2"/>
  <c r="Z152" i="2"/>
  <c r="Y152" i="2"/>
  <c r="AA144" i="2"/>
  <c r="Z144" i="2"/>
  <c r="Y144" i="2"/>
  <c r="AA136" i="2"/>
  <c r="Z136" i="2"/>
  <c r="Y136" i="2"/>
  <c r="AA128" i="2"/>
  <c r="Z128" i="2"/>
  <c r="Y128" i="2"/>
  <c r="AA120" i="2"/>
  <c r="Z120" i="2"/>
  <c r="Y120" i="2"/>
  <c r="AA112" i="2"/>
  <c r="Z112" i="2"/>
  <c r="Y112" i="2"/>
  <c r="AA104" i="2"/>
  <c r="Z104" i="2"/>
  <c r="Y104" i="2"/>
  <c r="AA96" i="2"/>
  <c r="Z96" i="2"/>
  <c r="Y96" i="2"/>
  <c r="AA88" i="2"/>
  <c r="Z88" i="2"/>
  <c r="Y88" i="2"/>
  <c r="AA80" i="2"/>
  <c r="Z80" i="2"/>
  <c r="AA72" i="2"/>
  <c r="Z72" i="2"/>
  <c r="Y72" i="2"/>
  <c r="AA64" i="2"/>
  <c r="Z64" i="2"/>
  <c r="Y64" i="2"/>
  <c r="AA55" i="2"/>
  <c r="Z55" i="2"/>
  <c r="Y55" i="2"/>
  <c r="AA47" i="2"/>
  <c r="Z47" i="2"/>
  <c r="Y47" i="2"/>
  <c r="AA39" i="2"/>
  <c r="Y39" i="2"/>
  <c r="Z39" i="2"/>
  <c r="AA31" i="2"/>
  <c r="Z31" i="2"/>
  <c r="AA23" i="2"/>
  <c r="Z23" i="2"/>
  <c r="Y23" i="2"/>
  <c r="AA15" i="2"/>
  <c r="Z15" i="2"/>
  <c r="Y15" i="2"/>
  <c r="AA7" i="2"/>
  <c r="Z7" i="2"/>
  <c r="Y7" i="2"/>
  <c r="AA887" i="2"/>
  <c r="Z887" i="2"/>
  <c r="Z879" i="2"/>
  <c r="AA879" i="2"/>
  <c r="AA871" i="2"/>
  <c r="Z871" i="2"/>
  <c r="AA863" i="2"/>
  <c r="Z863" i="2"/>
  <c r="AA855" i="2"/>
  <c r="Z855" i="2"/>
  <c r="Z847" i="2"/>
  <c r="AA847" i="2"/>
  <c r="AA839" i="2"/>
  <c r="Z839" i="2"/>
  <c r="AA830" i="2"/>
  <c r="Z830" i="2"/>
  <c r="Y830" i="2"/>
  <c r="AA822" i="2"/>
  <c r="Z822" i="2"/>
  <c r="Y822" i="2"/>
  <c r="AA814" i="2"/>
  <c r="Z814" i="2"/>
  <c r="Y814" i="2"/>
  <c r="AA806" i="2"/>
  <c r="Z806" i="2"/>
  <c r="Y806" i="2"/>
  <c r="AA798" i="2"/>
  <c r="Z798" i="2"/>
  <c r="Y798" i="2"/>
  <c r="AA790" i="2"/>
  <c r="Z790" i="2"/>
  <c r="Y790" i="2"/>
  <c r="AA782" i="2"/>
  <c r="Z782" i="2"/>
  <c r="Y782" i="2"/>
  <c r="AA774" i="2"/>
  <c r="Z774" i="2"/>
  <c r="Y774" i="2"/>
  <c r="AA766" i="2"/>
  <c r="Z766" i="2"/>
  <c r="Y766" i="2"/>
  <c r="AA758" i="2"/>
  <c r="Z758" i="2"/>
  <c r="Y758" i="2"/>
  <c r="AA750" i="2"/>
  <c r="Z750" i="2"/>
  <c r="Y750" i="2"/>
  <c r="AA742" i="2"/>
  <c r="Z742" i="2"/>
  <c r="Y742" i="2"/>
  <c r="AA734" i="2"/>
  <c r="Z734" i="2"/>
  <c r="Y734" i="2"/>
  <c r="AA726" i="2"/>
  <c r="Z726" i="2"/>
  <c r="Y726" i="2"/>
  <c r="AA718" i="2"/>
  <c r="Z718" i="2"/>
  <c r="Y718" i="2"/>
  <c r="AA710" i="2"/>
  <c r="Z710" i="2"/>
  <c r="Y710" i="2"/>
  <c r="AA702" i="2"/>
  <c r="Z702" i="2"/>
  <c r="Y702" i="2"/>
  <c r="AA694" i="2"/>
  <c r="Z694" i="2"/>
  <c r="Y694" i="2"/>
  <c r="AA686" i="2"/>
  <c r="Z686" i="2"/>
  <c r="Y686" i="2"/>
  <c r="AA678" i="2"/>
  <c r="Z678" i="2"/>
  <c r="Y678" i="2"/>
  <c r="AA670" i="2"/>
  <c r="Z670" i="2"/>
  <c r="Y670" i="2"/>
  <c r="AA662" i="2"/>
  <c r="Z662" i="2"/>
  <c r="Y662" i="2"/>
  <c r="AA654" i="2"/>
  <c r="Z654" i="2"/>
  <c r="Y654" i="2"/>
  <c r="AA646" i="2"/>
  <c r="Z646" i="2"/>
  <c r="Y646" i="2"/>
  <c r="AA638" i="2"/>
  <c r="Z638" i="2"/>
  <c r="Y638" i="2"/>
  <c r="AA630" i="2"/>
  <c r="Z630" i="2"/>
  <c r="Y630" i="2"/>
  <c r="AA622" i="2"/>
  <c r="Z622" i="2"/>
  <c r="Y622" i="2"/>
  <c r="AA614" i="2"/>
  <c r="Z614" i="2"/>
  <c r="Y614" i="2"/>
  <c r="AA606" i="2"/>
  <c r="Z606" i="2"/>
  <c r="Y606" i="2"/>
  <c r="AA598" i="2"/>
  <c r="Z598" i="2"/>
  <c r="Y598" i="2"/>
  <c r="AA590" i="2"/>
  <c r="Z590" i="2"/>
  <c r="Y590" i="2"/>
  <c r="AA582" i="2"/>
  <c r="Z582" i="2"/>
  <c r="Y582" i="2"/>
  <c r="AA574" i="2"/>
  <c r="Z574" i="2"/>
  <c r="Y574" i="2"/>
  <c r="AA566" i="2"/>
  <c r="Z566" i="2"/>
  <c r="Y566" i="2"/>
  <c r="AA558" i="2"/>
  <c r="Z558" i="2"/>
  <c r="Y558" i="2"/>
  <c r="AA550" i="2"/>
  <c r="Z550" i="2"/>
  <c r="Y550" i="2"/>
  <c r="AA542" i="2"/>
  <c r="Y542" i="2"/>
  <c r="AA534" i="2"/>
  <c r="Z534" i="2"/>
  <c r="Y534" i="2"/>
  <c r="AA526" i="2"/>
  <c r="Z526" i="2"/>
  <c r="Y526" i="2"/>
  <c r="AA518" i="2"/>
  <c r="Z518" i="2"/>
  <c r="Y518" i="2"/>
  <c r="AA510" i="2"/>
  <c r="Z510" i="2"/>
  <c r="Y510" i="2"/>
  <c r="AA502" i="2"/>
  <c r="Z502" i="2"/>
  <c r="Y502" i="2"/>
  <c r="AA494" i="2"/>
  <c r="Y494" i="2"/>
  <c r="Z494" i="2"/>
  <c r="AA486" i="2"/>
  <c r="Z486" i="2"/>
  <c r="Y486" i="2"/>
  <c r="AA478" i="2"/>
  <c r="Y478" i="2"/>
  <c r="Z478" i="2"/>
  <c r="AA470" i="2"/>
  <c r="Z470" i="2"/>
  <c r="Y470" i="2"/>
  <c r="AA462" i="2"/>
  <c r="Z462" i="2"/>
  <c r="Y462" i="2"/>
  <c r="AA454" i="2"/>
  <c r="Z454" i="2"/>
  <c r="Y454" i="2"/>
  <c r="AA446" i="2"/>
  <c r="Y446" i="2"/>
  <c r="Z446" i="2"/>
  <c r="AA438" i="2"/>
  <c r="Z438" i="2"/>
  <c r="Y438" i="2"/>
  <c r="AA430" i="2"/>
  <c r="Z430" i="2"/>
  <c r="Y430" i="2"/>
  <c r="AA422" i="2"/>
  <c r="Y422" i="2"/>
  <c r="Z422" i="2"/>
  <c r="AA414" i="2"/>
  <c r="Z414" i="2"/>
  <c r="Y414" i="2"/>
  <c r="AA406" i="2"/>
  <c r="Y406" i="2"/>
  <c r="Z406" i="2"/>
  <c r="AA398" i="2"/>
  <c r="Z398" i="2"/>
  <c r="Y398" i="2"/>
  <c r="AA390" i="2"/>
  <c r="Z390" i="2"/>
  <c r="Y390" i="2"/>
  <c r="AA382" i="2"/>
  <c r="Z382" i="2"/>
  <c r="Y382" i="2"/>
  <c r="AA374" i="2"/>
  <c r="Z374" i="2"/>
  <c r="Y374" i="2"/>
  <c r="AA366" i="2"/>
  <c r="Z366" i="2"/>
  <c r="Y366" i="2"/>
  <c r="AA358" i="2"/>
  <c r="Y358" i="2"/>
  <c r="Z358" i="2"/>
  <c r="AA350" i="2"/>
  <c r="Z350" i="2"/>
  <c r="Y350" i="2"/>
  <c r="AA342" i="2"/>
  <c r="Y342" i="2"/>
  <c r="Z342" i="2"/>
  <c r="AA334" i="2"/>
  <c r="Z334" i="2"/>
  <c r="Y334" i="2"/>
  <c r="AA326" i="2"/>
  <c r="Z326" i="2"/>
  <c r="Y326" i="2"/>
  <c r="AA318" i="2"/>
  <c r="Z318" i="2"/>
  <c r="Y318" i="2"/>
  <c r="AA310" i="2"/>
  <c r="Z310" i="2"/>
  <c r="Y310" i="2"/>
  <c r="AA302" i="2"/>
  <c r="Z302" i="2"/>
  <c r="Y302" i="2"/>
  <c r="AA294" i="2"/>
  <c r="Y294" i="2"/>
  <c r="Z294" i="2"/>
  <c r="AA286" i="2"/>
  <c r="Z286" i="2"/>
  <c r="Y286" i="2"/>
  <c r="AA278" i="2"/>
  <c r="Y278" i="2"/>
  <c r="Z278" i="2"/>
  <c r="AA270" i="2"/>
  <c r="Z270" i="2"/>
  <c r="Y270" i="2"/>
  <c r="AA262" i="2"/>
  <c r="Z262" i="2"/>
  <c r="Y262" i="2"/>
  <c r="AA254" i="2"/>
  <c r="Y254" i="2"/>
  <c r="Z254" i="2"/>
  <c r="AA246" i="2"/>
  <c r="Z246" i="2"/>
  <c r="Y246" i="2"/>
  <c r="AA238" i="2"/>
  <c r="Z238" i="2"/>
  <c r="Y238" i="2"/>
  <c r="AA230" i="2"/>
  <c r="Y230" i="2"/>
  <c r="Z230" i="2"/>
  <c r="AA222" i="2"/>
  <c r="Z222" i="2"/>
  <c r="Y222" i="2"/>
  <c r="AA214" i="2"/>
  <c r="Z214" i="2"/>
  <c r="Y214" i="2"/>
  <c r="AA206" i="2"/>
  <c r="Z206" i="2"/>
  <c r="Y206" i="2"/>
  <c r="AA198" i="2"/>
  <c r="Z198" i="2"/>
  <c r="Y198" i="2"/>
  <c r="AA190" i="2"/>
  <c r="Z190" i="2"/>
  <c r="Y190" i="2"/>
  <c r="AA182" i="2"/>
  <c r="Z182" i="2"/>
  <c r="Y182" i="2"/>
  <c r="AA174" i="2"/>
  <c r="Z174" i="2"/>
  <c r="Y174" i="2"/>
  <c r="AA166" i="2"/>
  <c r="Y166" i="2"/>
  <c r="AA158" i="2"/>
  <c r="Z158" i="2"/>
  <c r="Y158" i="2"/>
  <c r="AA150" i="2"/>
  <c r="Z150" i="2"/>
  <c r="Y150" i="2"/>
  <c r="AA142" i="2"/>
  <c r="Z142" i="2"/>
  <c r="Y142" i="2"/>
  <c r="AA134" i="2"/>
  <c r="Y134" i="2"/>
  <c r="Z134" i="2"/>
  <c r="AA126" i="2"/>
  <c r="Z126" i="2"/>
  <c r="Y126" i="2"/>
  <c r="AA118" i="2"/>
  <c r="Z118" i="2"/>
  <c r="Y118" i="2"/>
  <c r="AA110" i="2"/>
  <c r="Z110" i="2"/>
  <c r="Y110" i="2"/>
  <c r="AA102" i="2"/>
  <c r="Z102" i="2"/>
  <c r="Y102" i="2"/>
  <c r="AA94" i="2"/>
  <c r="Z94" i="2"/>
  <c r="Y94" i="2"/>
  <c r="AA86" i="2"/>
  <c r="Y86" i="2"/>
  <c r="Z86" i="2"/>
  <c r="AA78" i="2"/>
  <c r="Z78" i="2"/>
  <c r="Y78" i="2"/>
  <c r="AA70" i="2"/>
  <c r="Z70" i="2"/>
  <c r="Y70" i="2"/>
  <c r="AA61" i="2"/>
  <c r="Z61" i="2"/>
  <c r="Y61" i="2"/>
  <c r="AA53" i="2"/>
  <c r="Y53" i="2"/>
  <c r="AA45" i="2"/>
  <c r="Z45" i="2"/>
  <c r="Y45" i="2"/>
  <c r="AA37" i="2"/>
  <c r="Y37" i="2"/>
  <c r="Z37" i="2"/>
  <c r="AA29" i="2"/>
  <c r="Z29" i="2"/>
  <c r="Y29" i="2"/>
  <c r="AA21" i="2"/>
  <c r="Z21" i="2"/>
  <c r="Y21" i="2"/>
  <c r="AA13" i="2"/>
  <c r="Z13" i="2"/>
  <c r="Y13" i="2"/>
  <c r="AA5" i="2"/>
  <c r="Y5" i="2"/>
  <c r="Z5" i="2"/>
  <c r="R828" i="2"/>
  <c r="R780" i="2"/>
  <c r="R740" i="2"/>
  <c r="R676" i="2"/>
  <c r="R652" i="2"/>
  <c r="R604" i="2"/>
  <c r="R580" i="2"/>
  <c r="R540" i="2"/>
  <c r="R524" i="2"/>
  <c r="R492" i="2"/>
  <c r="R468" i="2"/>
  <c r="R412" i="2"/>
  <c r="R386" i="2"/>
  <c r="R370" i="2"/>
  <c r="R361" i="2"/>
  <c r="R353" i="2"/>
  <c r="R336" i="2"/>
  <c r="R258" i="2"/>
  <c r="Y883" i="2"/>
  <c r="Y861" i="2"/>
  <c r="Y839" i="2"/>
  <c r="Y819" i="2"/>
  <c r="Y797" i="2"/>
  <c r="Y775" i="2"/>
  <c r="Y755" i="2"/>
  <c r="Y733" i="2"/>
  <c r="Y711" i="2"/>
  <c r="Y691" i="2"/>
  <c r="Y669" i="2"/>
  <c r="Y647" i="2"/>
  <c r="Y627" i="2"/>
  <c r="Y605" i="2"/>
  <c r="Y583" i="2"/>
  <c r="Y563" i="2"/>
  <c r="Y541" i="2"/>
  <c r="Y508" i="2"/>
  <c r="Y466" i="2"/>
  <c r="Y404" i="2"/>
  <c r="Y347" i="2"/>
  <c r="Y292" i="2"/>
  <c r="Y235" i="2"/>
  <c r="Y178" i="2"/>
  <c r="Y123" i="2"/>
  <c r="Y31" i="2"/>
  <c r="Z756" i="2"/>
  <c r="Z621" i="2"/>
  <c r="Z317" i="2"/>
  <c r="O9" i="2" a="1"/>
  <c r="O9" i="2" s="1"/>
  <c r="S831" i="2"/>
  <c r="Z831" i="2" l="1"/>
  <c r="AA831" i="2"/>
  <c r="Y8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<sst xmlns="http://schemas.openxmlformats.org/spreadsheetml/2006/main" count="6681" uniqueCount="2512">
  <si>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</si>
  <si>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</si>
  <si>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</si>
  <si>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</si>
  <si>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</si>
  <si>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</si>
  <si>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</si>
  <si>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</si>
  <si>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</si>
  <si>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</si>
  <si>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</si>
  <si>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</si>
  <si>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</si>
  <si>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</si>
  <si>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</si>
  <si>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/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</si>
  <si>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</si>
  <si>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</si>
  <si>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</si>
  <si>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</si>
  <si>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</si>
  <si>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</si>
  <si>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</si>
  <si>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</si>
  <si>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</si>
  <si>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113803</t>
  </si>
  <si>
    <t>C123</t>
  </si>
  <si>
    <t>Allen, Mr. William Henry</t>
  </si>
  <si>
    <t>373450</t>
  </si>
  <si>
    <t>Moran, Mr. James</t>
  </si>
  <si>
    <t>330877</t>
  </si>
  <si>
    <t>Q</t>
  </si>
  <si>
    <t>McCarthy, Mr. Timothy J</t>
  </si>
  <si>
    <t>17463</t>
  </si>
  <si>
    <t>E46</t>
  </si>
  <si>
    <t>Palsson, Master. Gosta Leonard</t>
  </si>
  <si>
    <t>349909</t>
  </si>
  <si>
    <t>Johnson, Mrs. Oscar W (Elisabeth Vilhelmina Berg)</t>
  </si>
  <si>
    <t>347742</t>
  </si>
  <si>
    <t>Nasser, Mrs. Nicholas (Adele Achem)</t>
  </si>
  <si>
    <t>237736</t>
  </si>
  <si>
    <t>Sandstrom, Miss. Marguerite Rut</t>
  </si>
  <si>
    <t>PP 9549</t>
  </si>
  <si>
    <t>G6</t>
  </si>
  <si>
    <t>Bonnell, Miss. Elizabeth</t>
  </si>
  <si>
    <t>113783</t>
  </si>
  <si>
    <t>C103</t>
  </si>
  <si>
    <t>Saundercock, Mr. William Henry</t>
  </si>
  <si>
    <t>A/5. 2151</t>
  </si>
  <si>
    <t>Andersson, Mr. Anders Johan</t>
  </si>
  <si>
    <t>347082</t>
  </si>
  <si>
    <t>Vestrom, Miss. Hulda Amanda Adolfina</t>
  </si>
  <si>
    <t>350406</t>
  </si>
  <si>
    <t xml:space="preserve">Hewlett, Mrs. (Mary D Kingcome) </t>
  </si>
  <si>
    <t>248706</t>
  </si>
  <si>
    <t>Rice, Master. Eugene</t>
  </si>
  <si>
    <t>382652</t>
  </si>
  <si>
    <t>Williams, Mr. Charles Eugene</t>
  </si>
  <si>
    <t>244373</t>
  </si>
  <si>
    <t>Vander Planke, Mrs. Julius (Emelia Maria Vandemoortele)</t>
  </si>
  <si>
    <t>345763</t>
  </si>
  <si>
    <t>Masselmani, Mrs. Fatima</t>
  </si>
  <si>
    <t>2649</t>
  </si>
  <si>
    <t>Fynney, Mr. Joseph J</t>
  </si>
  <si>
    <t>239865</t>
  </si>
  <si>
    <t>Beesley, Mr. Lawrence</t>
  </si>
  <si>
    <t>248698</t>
  </si>
  <si>
    <t>D56</t>
  </si>
  <si>
    <t>McGowan, Miss. Anna "Annie"</t>
  </si>
  <si>
    <t>330923</t>
  </si>
  <si>
    <t>Sloper, Mr. William Thompson</t>
  </si>
  <si>
    <t>113788</t>
  </si>
  <si>
    <t>A6</t>
  </si>
  <si>
    <t>Palsson, Miss. Torborg Danira</t>
  </si>
  <si>
    <t>Asplund, Mrs. Carl Oscar (Selma Augusta Emilia Johansson)</t>
  </si>
  <si>
    <t>347077</t>
  </si>
  <si>
    <t>Emir, Mr. Farred Chehab</t>
  </si>
  <si>
    <t>2631</t>
  </si>
  <si>
    <t>Fortune, Mr. Charles Alexander</t>
  </si>
  <si>
    <t>19950</t>
  </si>
  <si>
    <t>C23 C25 C27</t>
  </si>
  <si>
    <t>O'Dwyer, Miss. Ellen "Nellie"</t>
  </si>
  <si>
    <t>330959</t>
  </si>
  <si>
    <t>Todoroff, Mr. Lalio</t>
  </si>
  <si>
    <t>349216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</si>
  <si>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</si>
  <si>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</si>
  <si>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</si>
  <si>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</si>
  <si>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</si>
  <si>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</si>
  <si>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335677</t>
  </si>
  <si>
    <t>Wheadon, Mr. Edward H</t>
  </si>
  <si>
    <t>C.A. 24579</t>
  </si>
  <si>
    <t>Meyer, Mr. Edgar Joseph</t>
  </si>
  <si>
    <t>PC 17604</t>
  </si>
  <si>
    <t>Holverson, Mr. Alexander Oskar</t>
  </si>
  <si>
    <t>113789</t>
  </si>
  <si>
    <t>Mamee, Mr. Hanna</t>
  </si>
  <si>
    <t>2677</t>
  </si>
  <si>
    <t>Cann, Mr. Ernest Charles</t>
  </si>
  <si>
    <t>A./5. 2152</t>
  </si>
  <si>
    <t>Vander Planke, Miss. Augusta Maria</t>
  </si>
  <si>
    <t>345764</t>
  </si>
  <si>
    <t>Nicola-Yarred, Miss. Jamila</t>
  </si>
  <si>
    <t>2651</t>
  </si>
  <si>
    <t>Ahlin, Mrs. Johan (Johanna Persdotter Larsson)</t>
  </si>
  <si>
    <t>7546</t>
  </si>
  <si>
    <t>Turpin, Mrs. William John Robert (Dorothy Ann Wonnacott)</t>
  </si>
  <si>
    <t>11668</t>
  </si>
  <si>
    <t>Kraeff, Mr. Theodor</t>
  </si>
  <si>
    <t>349253</t>
  </si>
  <si>
    <t>Laroche, Miss. Simonne Marie Anne Andree</t>
  </si>
  <si>
    <t>SC/Paris 2123</t>
  </si>
  <si>
    <t>Devaney, Miss. Margaret Delia</t>
  </si>
  <si>
    <t>330958</t>
  </si>
  <si>
    <t>Rogers, Mr. William John</t>
  </si>
  <si>
    <t>S.C./A.4. 23567</t>
  </si>
  <si>
    <t>Lennon, Mr. Denis</t>
  </si>
  <si>
    <t>370371</t>
  </si>
  <si>
    <t>O'Driscoll, Miss. Bridget</t>
  </si>
  <si>
    <t>14311</t>
  </si>
  <si>
    <t>Samaan, Mr. Youssef</t>
  </si>
  <si>
    <t>2662</t>
  </si>
  <si>
    <t>Arnold-Franchi, Mrs. Josef (Josefine Franchi)</t>
  </si>
  <si>
    <t>349237</t>
  </si>
  <si>
    <t>Panula, Master. Juha Niilo</t>
  </si>
  <si>
    <t>3101295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</si>
  <si>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</si>
  <si>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</si>
  <si>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</si>
  <si>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</si>
  <si>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</si>
  <si>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</si>
  <si>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2926</t>
  </si>
  <si>
    <t>Ostby, Mr. Engelhart Cornelius</t>
  </si>
  <si>
    <t>113509</t>
  </si>
  <si>
    <t>B30</t>
  </si>
  <si>
    <t>Woolner, Mr. Hugh</t>
  </si>
  <si>
    <t>19947</t>
  </si>
  <si>
    <t>C52</t>
  </si>
  <si>
    <t>Rugg, Miss. Emily</t>
  </si>
  <si>
    <t>C.A. 31026</t>
  </si>
  <si>
    <t>Novel, Mr. Mansouer</t>
  </si>
  <si>
    <t>2697</t>
  </si>
  <si>
    <t>West, Miss. Constance Mirium</t>
  </si>
  <si>
    <t>C.A. 34651</t>
  </si>
  <si>
    <t>Goodwin, Master. William Frederick</t>
  </si>
  <si>
    <t>CA 2144</t>
  </si>
  <si>
    <t>Sirayanian, Mr. Orsen</t>
  </si>
  <si>
    <t>2669</t>
  </si>
  <si>
    <t>Icard, Miss. Amelie</t>
  </si>
  <si>
    <t>113572</t>
  </si>
  <si>
    <t>B28</t>
  </si>
  <si>
    <t>Harris, Mr. Henry Birkhardt</t>
  </si>
  <si>
    <t>36973</t>
  </si>
  <si>
    <t>C83</t>
  </si>
  <si>
    <t>Skoog, Master. Harald</t>
  </si>
  <si>
    <t>347088</t>
  </si>
  <si>
    <t>Stewart, Mr. Albert A</t>
  </si>
  <si>
    <t>PC 17605</t>
  </si>
  <si>
    <t>Moubarek, Master. Gerios</t>
  </si>
  <si>
    <t>2661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</si>
  <si>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</si>
  <si>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</si>
  <si>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</si>
  <si>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</si>
  <si>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</si>
  <si>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</si>
  <si>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3101281</t>
  </si>
  <si>
    <t>Kink, Mr. Vincenz</t>
  </si>
  <si>
    <t>315151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</si>
  <si>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</si>
  <si>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</si>
  <si>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</si>
  <si>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</si>
  <si>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</si>
  <si>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</si>
  <si>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2680</t>
  </si>
  <si>
    <t>Bing, Mr. Lee</t>
  </si>
  <si>
    <t>1601</t>
  </si>
  <si>
    <t>Moen, Mr. Sigurd Hansen</t>
  </si>
  <si>
    <t>348123</t>
  </si>
  <si>
    <t>F G73</t>
  </si>
  <si>
    <t>Staneff, Mr. Ivan</t>
  </si>
  <si>
    <t>349208</t>
  </si>
  <si>
    <t>Moutal, Mr. Rahamin Haim</t>
  </si>
  <si>
    <t>374746</t>
  </si>
  <si>
    <t>Caldwell, Master. Alden Gates</t>
  </si>
  <si>
    <t>248738</t>
  </si>
  <si>
    <t>Dowdell, Miss. Elizabeth</t>
  </si>
  <si>
    <t>364516</t>
  </si>
  <si>
    <t>Waelens, Mr. Achille</t>
  </si>
  <si>
    <t>345767</t>
  </si>
  <si>
    <t>Sheerlinck, Mr. Jan Baptist</t>
  </si>
  <si>
    <t>345779</t>
  </si>
  <si>
    <t>McDermott, Miss. Brigdet Delia</t>
  </si>
  <si>
    <t>330932</t>
  </si>
  <si>
    <t>Carrau, Mr. Francisco M</t>
  </si>
  <si>
    <t>113059</t>
  </si>
  <si>
    <t>Ilett, Miss. Bertha</t>
  </si>
  <si>
    <t>SO/C 14885</t>
  </si>
  <si>
    <t>Backstrom, Mrs. Karl Alfred (Maria Mathilda Gustafsson)</t>
  </si>
  <si>
    <t>3101278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</si>
  <si>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</si>
  <si>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</si>
  <si>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</si>
  <si>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</si>
  <si>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</si>
  <si>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</si>
  <si>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343275</t>
  </si>
  <si>
    <t>Christmann, Mr. Emil</t>
  </si>
  <si>
    <t>343276</t>
  </si>
  <si>
    <t>Andreasson, Mr. Paul Edvin</t>
  </si>
  <si>
    <t>347466</t>
  </si>
  <si>
    <t>Chaffee, Mr. Herbert Fuller</t>
  </si>
  <si>
    <t>W.E.P. 5734</t>
  </si>
  <si>
    <t>E31</t>
  </si>
  <si>
    <t>Dean, Mr. Bertram Frank</t>
  </si>
  <si>
    <t>C.A. 2315</t>
  </si>
  <si>
    <t>Coxon, Mr. Daniel</t>
  </si>
  <si>
    <t>364500</t>
  </si>
  <si>
    <t>Shorney, Mr. Charles Joseph</t>
  </si>
  <si>
    <t>374910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</si>
  <si>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</si>
  <si>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</si>
  <si>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</si>
  <si>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</si>
  <si>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</si>
  <si>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</si>
  <si>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</si>
  <si>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231919</t>
  </si>
  <si>
    <t>Kantor, Mr. Sinai</t>
  </si>
  <si>
    <t>244367</t>
  </si>
  <si>
    <t>Petranec, Miss. Matilda</t>
  </si>
  <si>
    <t>349245</t>
  </si>
  <si>
    <t>Petroff, Mr. Pastcho ("Pentcho")</t>
  </si>
  <si>
    <t>349215</t>
  </si>
  <si>
    <t>White, Mr. Richard Frasar</t>
  </si>
  <si>
    <t>35281</t>
  </si>
  <si>
    <t>D26</t>
  </si>
  <si>
    <t>Johansson, Mr. Gustaf Joel</t>
  </si>
  <si>
    <t>7540</t>
  </si>
  <si>
    <t>Gustafsson, Mr. Anders Vilhelm</t>
  </si>
  <si>
    <t>3101276</t>
  </si>
  <si>
    <t>Mionoff, Mr. Stoytcho</t>
  </si>
  <si>
    <t>349207</t>
  </si>
  <si>
    <t>Salkjelsvik, Miss. Anna Kristine</t>
  </si>
  <si>
    <t>343120</t>
  </si>
  <si>
    <t>Moss, Mr. Albert Johan</t>
  </si>
  <si>
    <t>312991</t>
  </si>
  <si>
    <t>Rekic, Mr. Tido</t>
  </si>
  <si>
    <t>349249</t>
  </si>
  <si>
    <t>Moran, Miss. Bertha</t>
  </si>
  <si>
    <t>371110</t>
  </si>
  <si>
    <t>Porter, Mr. Walter Chamberlain</t>
  </si>
  <si>
    <t>110465</t>
  </si>
  <si>
    <t>C110</t>
  </si>
  <si>
    <t>Zabour, Miss. Hileni</t>
  </si>
  <si>
    <t>2665</t>
  </si>
  <si>
    <t>Barton, Mr. David John</t>
  </si>
  <si>
    <t>324669</t>
  </si>
  <si>
    <t>Jussila, Miss. Katriina</t>
  </si>
  <si>
    <t>4136</t>
  </si>
  <si>
    <t>Attalah, Miss. Malake</t>
  </si>
  <si>
    <t>2627</t>
  </si>
  <si>
    <t>Pekoniemi, Mr. Edvard</t>
  </si>
  <si>
    <t>STON/O 2. 3101294</t>
  </si>
  <si>
    <t>Connors, Mr. Patrick</t>
  </si>
  <si>
    <t>370369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</si>
  <si>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</si>
  <si>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</si>
  <si>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</si>
  <si>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</si>
  <si>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</si>
  <si>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</si>
  <si>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</si>
  <si>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</si>
  <si>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</si>
  <si>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</si>
  <si>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27267</t>
  </si>
  <si>
    <t>E101</t>
  </si>
  <si>
    <t>White, Mr. Percival Wayland</t>
  </si>
  <si>
    <t>Nicola-Yarred, Master. Elias</t>
  </si>
  <si>
    <t>McMahon, Mr. Martin</t>
  </si>
  <si>
    <t>370372</t>
  </si>
  <si>
    <t>Madsen, Mr. Fridtjof Arne</t>
  </si>
  <si>
    <t>C 17369</t>
  </si>
  <si>
    <t>Peter, Miss. Anna</t>
  </si>
  <si>
    <t>2668</t>
  </si>
  <si>
    <t>F E69</t>
  </si>
  <si>
    <t>Ekstrom, Mr. Johan</t>
  </si>
  <si>
    <t>347061</t>
  </si>
  <si>
    <t>Drazenoic, Mr. Jozef</t>
  </si>
  <si>
    <t>349241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</si>
  <si>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</si>
  <si>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</si>
  <si>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</si>
  <si>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</si>
  <si>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</si>
  <si>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228414</t>
  </si>
  <si>
    <t>Sobey, Mr. Samuel James Hayden</t>
  </si>
  <si>
    <t>C.A. 29178</t>
  </si>
  <si>
    <t>Richard, Mr. Emile</t>
  </si>
  <si>
    <t>SC/PARIS 2133</t>
  </si>
  <si>
    <t>Newsom, Miss. Helen Monypeny</t>
  </si>
  <si>
    <t>11752</t>
  </si>
  <si>
    <t>D47</t>
  </si>
  <si>
    <t>Futrelle, Mr. Jacques Heath</t>
  </si>
  <si>
    <t>Osen, Mr. Olaf Elon</t>
  </si>
  <si>
    <t>7534</t>
  </si>
  <si>
    <t>Giglio, Mr. Victor</t>
  </si>
  <si>
    <t>PC 17593</t>
  </si>
  <si>
    <t>B86</t>
  </si>
  <si>
    <t>Boulos, Mrs. Joseph (Sultana)</t>
  </si>
  <si>
    <t>2678</t>
  </si>
  <si>
    <t>Nysten, Miss. Anna Sofia</t>
  </si>
  <si>
    <t>347081</t>
  </si>
  <si>
    <t>Hakkarainen, Mrs. Pekka Pietari (Elin Matilda Dolck)</t>
  </si>
  <si>
    <t>STON/O2. 3101279</t>
  </si>
  <si>
    <t>Burke, Mr. Jeremiah</t>
  </si>
  <si>
    <t>365222</t>
  </si>
  <si>
    <t>Andrew, Mr. Edgardo Samuel</t>
  </si>
  <si>
    <t>231945</t>
  </si>
  <si>
    <t>Nicholls, Mr. Joseph Charles</t>
  </si>
  <si>
    <t>C.A. 33112</t>
  </si>
  <si>
    <t>Andersson, Mr. August Edvard ("Wennerstrom")</t>
  </si>
  <si>
    <t>350043</t>
  </si>
  <si>
    <t>Ford, Miss. Robina Maggie "Ruby"</t>
  </si>
  <si>
    <t>Navratil, Mr. Michel ("Louis M Hoffman")</t>
  </si>
  <si>
    <t>230080</t>
  </si>
  <si>
    <t>F2</t>
  </si>
  <si>
    <t>Byles, Rev. Thomas Roussel Davids</t>
  </si>
  <si>
    <t>244310</t>
  </si>
  <si>
    <t>Bateman, Rev. Robert James</t>
  </si>
  <si>
    <t>S.O.P. 1166</t>
  </si>
  <si>
    <t>Pears, Mrs. Thomas (Edith Wearne)</t>
  </si>
  <si>
    <t>113776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</si>
  <si>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</si>
  <si>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</si>
  <si>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</si>
  <si>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</si>
  <si>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</si>
  <si>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</si>
  <si>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</si>
  <si>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</si>
  <si>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</si>
  <si>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</si>
  <si>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35851</t>
  </si>
  <si>
    <t>Corn, Mr. Harry</t>
  </si>
  <si>
    <t>SOTON/OQ 392090</t>
  </si>
  <si>
    <t>Smiljanic, Mr. Mile</t>
  </si>
  <si>
    <t>315037</t>
  </si>
  <si>
    <t>Sage, Master. Thomas Henry</t>
  </si>
  <si>
    <t>CA. 2343</t>
  </si>
  <si>
    <t>Cribb, Mr. John Hatfield</t>
  </si>
  <si>
    <t>371362</t>
  </si>
  <si>
    <t>Watt, Mrs. James (Elizabeth "Bessie" Inglis Milne)</t>
  </si>
  <si>
    <t>C.A. 33595</t>
  </si>
  <si>
    <t>Bengtsson, Mr. John Viktor</t>
  </si>
  <si>
    <t>347068</t>
  </si>
  <si>
    <t>Calic, Mr. Jovo</t>
  </si>
  <si>
    <t>315093</t>
  </si>
  <si>
    <t>Panula, Master. Eino Viljami</t>
  </si>
  <si>
    <t>Goldsmith, Master. Frank John William "Frankie"</t>
  </si>
  <si>
    <t>363291</t>
  </si>
  <si>
    <t>Chibnall, Mrs. (Edith Martha Bowerman)</t>
  </si>
  <si>
    <t>113505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</si>
  <si>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</si>
  <si>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</si>
  <si>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</si>
  <si>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</si>
  <si>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</si>
  <si>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</si>
  <si>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111240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</si>
  <si>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</si>
  <si>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</si>
  <si>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</si>
  <si>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</si>
  <si>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</si>
  <si>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</si>
  <si>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17764</t>
  </si>
  <si>
    <t>A7</t>
  </si>
  <si>
    <t>Klasen, Mr. Klas Albin</t>
  </si>
  <si>
    <t>350404</t>
  </si>
  <si>
    <t>Lefebre, Master. Henry Forbes</t>
  </si>
  <si>
    <t>4133</t>
  </si>
  <si>
    <t>Isham, Miss. Ann Elizabeth</t>
  </si>
  <si>
    <t>PC 17595</t>
  </si>
  <si>
    <t>C49</t>
  </si>
  <si>
    <t>Hale, Mr. Reginald</t>
  </si>
  <si>
    <t>250653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</si>
  <si>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</si>
  <si>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</si>
  <si>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</si>
  <si>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</si>
  <si>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</si>
  <si>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</si>
  <si>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</si>
  <si>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230136</t>
  </si>
  <si>
    <t>F4</t>
  </si>
  <si>
    <t>Kink-Heilmann, Miss. Luise Gretchen</t>
  </si>
  <si>
    <t>315153</t>
  </si>
  <si>
    <t>Rood, Mr. Hugh Roscoe</t>
  </si>
  <si>
    <t>113767</t>
  </si>
  <si>
    <t>A32</t>
  </si>
  <si>
    <t>O'Brien, Mrs. Thomas (Johanna "Hannah" Godfrey)</t>
  </si>
  <si>
    <t>370365</t>
  </si>
  <si>
    <t>Romaine, Mr. Charles Hallace ("Mr C Rolmane")</t>
  </si>
  <si>
    <t>111428</t>
  </si>
  <si>
    <t>Bourke, Mr. John</t>
  </si>
  <si>
    <t>364849</t>
  </si>
  <si>
    <t>Turcin, Mr. Stjepan</t>
  </si>
  <si>
    <t>349247</t>
  </si>
  <si>
    <t>Pinsky, Mrs. (Rosa)</t>
  </si>
  <si>
    <t>234604</t>
  </si>
  <si>
    <t>Carbines, Mr. William</t>
  </si>
  <si>
    <t>28424</t>
  </si>
  <si>
    <t>Andersen-Jensen, Miss. Carla Christine Nielsine</t>
  </si>
  <si>
    <t>350046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</si>
  <si>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</si>
  <si>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</si>
  <si>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</si>
  <si>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</si>
  <si>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</si>
  <si>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</si>
  <si>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</si>
  <si>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368703</t>
  </si>
  <si>
    <t>Olsen, Mr. Karl Siegwart Andreas</t>
  </si>
  <si>
    <t>4579</t>
  </si>
  <si>
    <t>Madigan, Miss. Margaret "Maggie"</t>
  </si>
  <si>
    <t>370370</t>
  </si>
  <si>
    <t>Yrois, Miss. Henriette ("Mrs Harbeck")</t>
  </si>
  <si>
    <t>248747</t>
  </si>
  <si>
    <t>Vande Walle, Mr. Nestor Cyriel</t>
  </si>
  <si>
    <t>345770</t>
  </si>
  <si>
    <t>Sage, Mr. Frederick</t>
  </si>
  <si>
    <t>Johanson, Mr. Jakob Alfred</t>
  </si>
  <si>
    <t>3101264</t>
  </si>
  <si>
    <t>Youseff, Mr. Gerious</t>
  </si>
  <si>
    <t>2628</t>
  </si>
  <si>
    <t>Cohen, Mr. Gurshon "Gus"</t>
  </si>
  <si>
    <t>A/5 3540</t>
  </si>
  <si>
    <t>Strom, Miss. Telma Matilda</t>
  </si>
  <si>
    <t>347054</t>
  </si>
  <si>
    <t>Backstrom, Mr. Karl Alfred</t>
  </si>
  <si>
    <t>Albimona, Mr. Nassef Cassem</t>
  </si>
  <si>
    <t>2699</t>
  </si>
  <si>
    <t>Carr, Miss. Helen "Ellen"</t>
  </si>
  <si>
    <t>367231</t>
  </si>
  <si>
    <t>Blank, Mr. Henry</t>
  </si>
  <si>
    <t>112277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</si>
  <si>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</si>
  <si>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</si>
  <si>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</si>
  <si>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</si>
  <si>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</si>
  <si>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</si>
  <si>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</si>
  <si>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</si>
  <si>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250646</t>
  </si>
  <si>
    <t>Kiernan, Mr. Philip</t>
  </si>
  <si>
    <t>367229</t>
  </si>
  <si>
    <t>Newell, Miss. Madeleine</t>
  </si>
  <si>
    <t>35273</t>
  </si>
  <si>
    <t>D36</t>
  </si>
  <si>
    <t>Honkanen, Miss. Eliina</t>
  </si>
  <si>
    <t>STON/O2. 3101283</t>
  </si>
  <si>
    <t>Jacobsohn, Mr. Sidney Samuel</t>
  </si>
  <si>
    <t>243847</t>
  </si>
  <si>
    <t>Bazzani, Miss. Albina</t>
  </si>
  <si>
    <t>11813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</si>
  <si>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</si>
  <si>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</si>
  <si>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</si>
  <si>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</si>
  <si>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</si>
  <si>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</si>
  <si>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220367</t>
  </si>
  <si>
    <t>Green, Mr. George Henry</t>
  </si>
  <si>
    <t>21440</t>
  </si>
  <si>
    <t>Nenkoff, Mr. Christo</t>
  </si>
  <si>
    <t>349234</t>
  </si>
  <si>
    <t>Hoyt, Mr. Frederick Maxfield</t>
  </si>
  <si>
    <t>19943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</si>
  <si>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</si>
  <si>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</si>
  <si>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</si>
  <si>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</si>
  <si>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</si>
  <si>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</si>
  <si>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</si>
  <si>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</si>
  <si>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236171</t>
  </si>
  <si>
    <t>Lefebre, Miss. Mathilde</t>
  </si>
  <si>
    <t>Harris, Mrs. Henry Birkhardt (Irene Wallach)</t>
  </si>
  <si>
    <t>Larsson, Mr. Bengt Edvin</t>
  </si>
  <si>
    <t>347067</t>
  </si>
  <si>
    <t>Sjostedt, Mr. Ernst Adolf</t>
  </si>
  <si>
    <t>237442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</si>
  <si>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</si>
  <si>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</si>
  <si>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</si>
  <si>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</si>
  <si>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</si>
  <si>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</si>
  <si>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26707</t>
  </si>
  <si>
    <t>Collyer, Miss. Marjorie "Lottie"</t>
  </si>
  <si>
    <t>C.A. 31921</t>
  </si>
  <si>
    <t>Pengelly, Mr. Frederick William</t>
  </si>
  <si>
    <t>28665</t>
  </si>
  <si>
    <t>Hunt, Mr. George Henry</t>
  </si>
  <si>
    <t>SCO/W 1585</t>
  </si>
  <si>
    <t>Zabour, Miss. Thamine</t>
  </si>
  <si>
    <t>Murphy, Miss. Katherine "Kate"</t>
  </si>
  <si>
    <t>367230</t>
  </si>
  <si>
    <t>Coleridge, Mr. Reginald Charles</t>
  </si>
  <si>
    <t>W./C. 14263</t>
  </si>
  <si>
    <t>Maenpaa, Mr. Matti Alexanteri</t>
  </si>
  <si>
    <t>STON/O 2. 3101275</t>
  </si>
  <si>
    <t>Attalah, Mr. Sleiman</t>
  </si>
  <si>
    <t>2694</t>
  </si>
  <si>
    <t>Minahan, Dr. William Edward</t>
  </si>
  <si>
    <t>19928</t>
  </si>
  <si>
    <t>C78</t>
  </si>
  <si>
    <t>Lindahl, Miss. Agda Thorilda Viktoria</t>
  </si>
  <si>
    <t>347071</t>
  </si>
  <si>
    <t>Hamalainen, Mrs. William (Anna)</t>
  </si>
  <si>
    <t>250649</t>
  </si>
  <si>
    <t>Beckwith, Mr. Richard Leonard</t>
  </si>
  <si>
    <t>11751</t>
  </si>
  <si>
    <t>D35</t>
  </si>
  <si>
    <t>Carter, Rev. Ernest Courtenay</t>
  </si>
  <si>
    <t>244252</t>
  </si>
  <si>
    <t>Reed, Mr. James George</t>
  </si>
  <si>
    <t>362316</t>
  </si>
  <si>
    <t>Strom, Mrs. Wilhelm (Elna Matilda Persson)</t>
  </si>
  <si>
    <t>Stead, Mr. William Thomas</t>
  </si>
  <si>
    <t>113514</t>
  </si>
  <si>
    <t>C87</t>
  </si>
  <si>
    <t>Lobb, Mr. William Arthur</t>
  </si>
  <si>
    <t>A/5. 3336</t>
  </si>
  <si>
    <t>Rosblom, Mrs. Viktor (Helena Wilhelmina)</t>
  </si>
  <si>
    <t>370129</t>
  </si>
  <si>
    <t>Touma, Mrs. Darwis (Hanne Youssef Razi)</t>
  </si>
  <si>
    <t>2650</t>
  </si>
  <si>
    <t>Thorne, Mrs. Gertrude Maybelle</t>
  </si>
  <si>
    <t>PC 17585</t>
  </si>
  <si>
    <t>Cherry, Miss. Gladys</t>
  </si>
  <si>
    <t>110152</t>
  </si>
  <si>
    <t>B77</t>
  </si>
  <si>
    <t>Ward, Miss. Anna</t>
  </si>
  <si>
    <t>PC 17755</t>
  </si>
  <si>
    <t>Parrish, Mrs. (Lutie Davis)</t>
  </si>
  <si>
    <t>230433</t>
  </si>
  <si>
    <t>Smith, Mr. Thomas</t>
  </si>
  <si>
    <t>384461</t>
  </si>
  <si>
    <t>Asplund, Master. Edvin Rojj Felix</t>
  </si>
  <si>
    <t>Taussig, Mr. Emil</t>
  </si>
  <si>
    <t>110413</t>
  </si>
  <si>
    <t>E67</t>
  </si>
  <si>
    <t>Harrison, Mr. William</t>
  </si>
  <si>
    <t>112059</t>
  </si>
  <si>
    <t>B94</t>
  </si>
  <si>
    <t>Henry, Miss. Delia</t>
  </si>
  <si>
    <t>382649</t>
  </si>
  <si>
    <t>Reeves, Mr. David</t>
  </si>
  <si>
    <t>C.A. 17248</t>
  </si>
  <si>
    <t>Panula, Mr. Ernesti Arvid</t>
  </si>
  <si>
    <t>Persson, Mr. Ernst Ulrik</t>
  </si>
  <si>
    <t>347083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</si>
  <si>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</si>
  <si>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</si>
  <si>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</si>
  <si>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</si>
  <si>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</si>
  <si>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</si>
  <si>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</si>
  <si>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113798</t>
  </si>
  <si>
    <t>Tornquist, Mr. William Henry</t>
  </si>
  <si>
    <t>Mellinger, Mrs. (Elizabeth Anne Maidment)</t>
  </si>
  <si>
    <t>250644</t>
  </si>
  <si>
    <t>Natsch, Mr. Charles H</t>
  </si>
  <si>
    <t>PC 17596</t>
  </si>
  <si>
    <t>C118</t>
  </si>
  <si>
    <t>Healy, Miss. Hanora "Nora"</t>
  </si>
  <si>
    <t>370375</t>
  </si>
  <si>
    <t>Andrews, Miss. Kornelia Theodosia</t>
  </si>
  <si>
    <t>13502</t>
  </si>
  <si>
    <t>D7</t>
  </si>
  <si>
    <t>Lindblom, Miss. Augusta Charlotta</t>
  </si>
  <si>
    <t>347073</t>
  </si>
  <si>
    <t>Parkes, Mr. Francis "Frank"</t>
  </si>
  <si>
    <t>239853</t>
  </si>
  <si>
    <t>Rice, Master. Eric</t>
  </si>
  <si>
    <t>Abbott, Mrs. Stanton (Rosa Hunt)</t>
  </si>
  <si>
    <t>C.A. 2673</t>
  </si>
  <si>
    <t>Duane, Mr. Frank</t>
  </si>
  <si>
    <t>336439</t>
  </si>
  <si>
    <t>Olsson, Mr. Nils Johan Goransson</t>
  </si>
  <si>
    <t>347464</t>
  </si>
  <si>
    <t>de Pelsmaeker, Mr. Alfons</t>
  </si>
  <si>
    <t>345778</t>
  </si>
  <si>
    <t>Dorking, Mr. Edward Arthur</t>
  </si>
  <si>
    <t>A/5. 10482</t>
  </si>
  <si>
    <t>Smith, Mr. Richard William</t>
  </si>
  <si>
    <t>113056</t>
  </si>
  <si>
    <t>A19</t>
  </si>
  <si>
    <t>Stankovic, Mr. Ivan</t>
  </si>
  <si>
    <t>349239</t>
  </si>
  <si>
    <t>de Mulder, Mr. Theodore</t>
  </si>
  <si>
    <t>345774</t>
  </si>
  <si>
    <t>Naidenoff, Mr. Penko</t>
  </si>
  <si>
    <t>349206</t>
  </si>
  <si>
    <t>Hosono, Mr. Masabumi</t>
  </si>
  <si>
    <t>237798</t>
  </si>
  <si>
    <t>Connolly, Miss. Kate</t>
  </si>
  <si>
    <t>370373</t>
  </si>
  <si>
    <t>Barber, Miss. Ellen "Nellie"</t>
  </si>
  <si>
    <t>19877</t>
  </si>
  <si>
    <t>Bishop, Mrs. Dickinson H (Helen Walton)</t>
  </si>
  <si>
    <t>11967</t>
  </si>
  <si>
    <t>B49</t>
  </si>
  <si>
    <t>Levy, Mr. Rene Jacques</t>
  </si>
  <si>
    <t>SC/Paris 2163</t>
  </si>
  <si>
    <t>D</t>
  </si>
  <si>
    <t>Haas, Miss. Aloisia</t>
  </si>
  <si>
    <t>349236</t>
  </si>
  <si>
    <t>Mineff, Mr. Ivan</t>
  </si>
  <si>
    <t>349233</t>
  </si>
  <si>
    <t>Lewy, Mr. Ervin G</t>
  </si>
  <si>
    <t>PC 17612</t>
  </si>
  <si>
    <t>Hanna, Mr. Mansour</t>
  </si>
  <si>
    <t>2693</t>
  </si>
  <si>
    <t>Allison, Miss. Helen Loraine</t>
  </si>
  <si>
    <t>113781</t>
  </si>
  <si>
    <t>C22 C26</t>
  </si>
  <si>
    <t>Saalfeld, Mr. Adolphe</t>
  </si>
  <si>
    <t>19988</t>
  </si>
  <si>
    <t>C106</t>
  </si>
  <si>
    <t>Baxter, Mrs. James (Helene DeLaudeniere Chaput)</t>
  </si>
  <si>
    <t>Kelly, Miss. Anna Katherine "Annie Kate"</t>
  </si>
  <si>
    <t>9234</t>
  </si>
  <si>
    <t>McCoy, Mr. Bernard</t>
  </si>
  <si>
    <t>367226</t>
  </si>
  <si>
    <t>Johnson, Mr. William Cahoone Jr</t>
  </si>
  <si>
    <t>Keane, Miss. Nora A</t>
  </si>
  <si>
    <t>226593</t>
  </si>
  <si>
    <t>Williams, Mr. Howard Hugh "Harry"</t>
  </si>
  <si>
    <t>A/5 2466</t>
  </si>
  <si>
    <t>Allison, Master. Hudson Trevor</t>
  </si>
  <si>
    <t>Fleming, Miss. Margaret</t>
  </si>
  <si>
    <t>17421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</si>
  <si>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</si>
  <si>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</si>
  <si>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</si>
  <si>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</si>
  <si>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</si>
  <si>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</si>
  <si>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</si>
  <si>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</si>
  <si>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</si>
  <si>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11767</t>
  </si>
  <si>
    <t>C54</t>
  </si>
  <si>
    <t>Ryerson, Miss. Emily Borie</t>
  </si>
  <si>
    <t>PC 17608</t>
  </si>
  <si>
    <t>B57 B59 B63 B66</t>
  </si>
  <si>
    <t>Lahtinen, Mrs. William (Anna Sylfven)</t>
  </si>
  <si>
    <t>250651</t>
  </si>
  <si>
    <t>Hendekovic, Mr. Ignjac</t>
  </si>
  <si>
    <t>349243</t>
  </si>
  <si>
    <t>Hart, Mr. Benjamin</t>
  </si>
  <si>
    <t>F.C.C. 13529</t>
  </si>
  <si>
    <t>Nilsson, Miss. Helmina Josefina</t>
  </si>
  <si>
    <t>347470</t>
  </si>
  <si>
    <t>Kantor, Mrs. Sinai (Miriam Sternin)</t>
  </si>
  <si>
    <t>Moraweck, Dr. Ernest</t>
  </si>
  <si>
    <t>29011</t>
  </si>
  <si>
    <t>Wick, Miss. Mary Natalie</t>
  </si>
  <si>
    <t>36928</t>
  </si>
  <si>
    <t>C7</t>
  </si>
  <si>
    <t>Spedden, Mrs. Frederic Oakley (Margaretta Corning Stone)</t>
  </si>
  <si>
    <t>16966</t>
  </si>
  <si>
    <t>E34</t>
  </si>
  <si>
    <t>Dennis, Mr. Samuel</t>
  </si>
  <si>
    <t>A/5 21172</t>
  </si>
  <si>
    <t>Danoff, Mr. Yoto</t>
  </si>
  <si>
    <t>349219</t>
  </si>
  <si>
    <t>Slayter, Miss. Hilda Mary</t>
  </si>
  <si>
    <t>234818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</si>
  <si>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</si>
  <si>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</si>
  <si>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</si>
  <si>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</si>
  <si>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</si>
  <si>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345364</t>
  </si>
  <si>
    <t>Ball, Mrs. (Ada E Hall)</t>
  </si>
  <si>
    <t>28551</t>
  </si>
  <si>
    <t>Goldsmith, Mrs. Frank John (Emily Alice Brown)</t>
  </si>
  <si>
    <t>Hippach, Miss. Jean Gertrude</t>
  </si>
  <si>
    <t>111361</t>
  </si>
  <si>
    <t>B18</t>
  </si>
  <si>
    <t>McCoy, Miss. Agnes</t>
  </si>
  <si>
    <t>Partner, Mr. Austen</t>
  </si>
  <si>
    <t>113043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</si>
  <si>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</si>
  <si>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</si>
  <si>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</si>
  <si>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</si>
  <si>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</si>
  <si>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</si>
  <si>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</si>
  <si>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349225</t>
  </si>
  <si>
    <t>Pears, Mr. Thomas Clinton</t>
  </si>
  <si>
    <t>Burns, Miss. Elizabeth Margaret</t>
  </si>
  <si>
    <t>E40</t>
  </si>
  <si>
    <t>Dahl, Mr. Karl Edwart</t>
  </si>
  <si>
    <t>7598</t>
  </si>
  <si>
    <t>Blackwell, Mr. Stephen Weart</t>
  </si>
  <si>
    <t>113784</t>
  </si>
  <si>
    <t>T</t>
  </si>
  <si>
    <t>Navratil, Master. Edmond Roger</t>
  </si>
  <si>
    <t>Fortune, Miss. Alice Elizabeth</t>
  </si>
  <si>
    <t>Collander, Mr. Erik Gustaf</t>
  </si>
  <si>
    <t>248740</t>
  </si>
  <si>
    <t>Sedgwick, Mr. Charles Frederick Waddington</t>
  </si>
  <si>
    <t>244361</t>
  </si>
  <si>
    <t>Fox, Mr. Stanley Hubert</t>
  </si>
  <si>
    <t>229236</t>
  </si>
  <si>
    <t>Brown, Miss. Amelia "Mildred"</t>
  </si>
  <si>
    <t>248733</t>
  </si>
  <si>
    <t>Smith, Miss. Marion Elsie</t>
  </si>
  <si>
    <t>31418</t>
  </si>
  <si>
    <t>Davison, Mrs. Thomas Henry (Mary E Finck)</t>
  </si>
  <si>
    <t>386525</t>
  </si>
  <si>
    <t>Coutts, Master. William Loch "William"</t>
  </si>
  <si>
    <t>C.A. 37671</t>
  </si>
  <si>
    <t>Dimic, Mr. Jovan</t>
  </si>
  <si>
    <t>315088</t>
  </si>
  <si>
    <t>Odahl, Mr. Nils Martin</t>
  </si>
  <si>
    <t>7267</t>
  </si>
  <si>
    <t>Williams-Lambert, Mr. Fletcher Fellows</t>
  </si>
  <si>
    <t>113510</t>
  </si>
  <si>
    <t>C128</t>
  </si>
  <si>
    <t>Elias, Mr. Tannous</t>
  </si>
  <si>
    <t>2695</t>
  </si>
  <si>
    <t>Arnold-Franchi, Mr. Josef</t>
  </si>
  <si>
    <t>Yousif, Mr. Wazli</t>
  </si>
  <si>
    <t>2647</t>
  </si>
  <si>
    <t>Vanden Steen, Mr. Leo Peter</t>
  </si>
  <si>
    <t>345783</t>
  </si>
  <si>
    <t>Bowerman, Miss. Elsie Edith</t>
  </si>
  <si>
    <t>Funk, Miss. Annie Clemmer</t>
  </si>
  <si>
    <t>237671</t>
  </si>
  <si>
    <t>McGovern, Miss. Mary</t>
  </si>
  <si>
    <t>330931</t>
  </si>
  <si>
    <t>Mockler, Miss. Helen Mary "Ellie"</t>
  </si>
  <si>
    <t>330980</t>
  </si>
  <si>
    <t>Skoog, Mr. Wilhelm</t>
  </si>
  <si>
    <t>del Carlo, Mr. Sebastiano</t>
  </si>
  <si>
    <t>SC/PARIS 2167</t>
  </si>
  <si>
    <t>Barbara, Mrs. (Catherine David)</t>
  </si>
  <si>
    <t>2691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</si>
  <si>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</si>
  <si>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</si>
  <si>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</si>
  <si>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</si>
  <si>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</si>
  <si>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</si>
  <si>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110813</t>
  </si>
  <si>
    <t>D37</t>
  </si>
  <si>
    <t>Moussa, Mrs. (Mantoura Boulos)</t>
  </si>
  <si>
    <t>2626</t>
  </si>
  <si>
    <t>Jermyn, Miss. Annie</t>
  </si>
  <si>
    <t>14313</t>
  </si>
  <si>
    <t>Aubart, Mme. Leontine Pauline</t>
  </si>
  <si>
    <t>PC 17477</t>
  </si>
  <si>
    <t>B35</t>
  </si>
  <si>
    <t>Harder, Mr. George Achilles</t>
  </si>
  <si>
    <t>11765</t>
  </si>
  <si>
    <t>E50</t>
  </si>
  <si>
    <t>Wiklund, Mr. Jakob Alfred</t>
  </si>
  <si>
    <t>3101267</t>
  </si>
  <si>
    <t>Beavan, Mr. William Thomas</t>
  </si>
  <si>
    <t>323951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</si>
  <si>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</si>
  <si>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</si>
  <si>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</si>
  <si>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</si>
  <si>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</si>
  <si>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</si>
  <si>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113503</t>
  </si>
  <si>
    <t>C82</t>
  </si>
  <si>
    <t>Betros, Mr. Tannous</t>
  </si>
  <si>
    <t>2648</t>
  </si>
  <si>
    <t>Gustafsson, Mr. Karl Gideon</t>
  </si>
  <si>
    <t>347069</t>
  </si>
  <si>
    <t>Bidois, Miss. Rosalie</t>
  </si>
  <si>
    <t>PC 17757</t>
  </si>
  <si>
    <t>Nakid, Miss. Maria ("Mary")</t>
  </si>
  <si>
    <t>2653</t>
  </si>
  <si>
    <t>Tikkanen, Mr. Juho</t>
  </si>
  <si>
    <t>STON/O 2. 3101293</t>
  </si>
  <si>
    <t>Holverson, Mrs. Alexander Oskar (Mary Aline Towner)</t>
  </si>
  <si>
    <t>Plotcharsky, Mr. Vasil</t>
  </si>
  <si>
    <t>349227</t>
  </si>
  <si>
    <t>Davies, Mr. Charles Henry</t>
  </si>
  <si>
    <t>Goodwin, Master. Sidney Leonard</t>
  </si>
  <si>
    <t>Buss, Miss. Kate</t>
  </si>
  <si>
    <t>27849</t>
  </si>
  <si>
    <t>Sadlier, Mr. Matthew</t>
  </si>
  <si>
    <t>367655</t>
  </si>
  <si>
    <t>Lehmann, Miss. Bertha</t>
  </si>
  <si>
    <t>SC 1748</t>
  </si>
  <si>
    <t>Carter, Mr. William Ernest</t>
  </si>
  <si>
    <t>113760</t>
  </si>
  <si>
    <t>B96 B98</t>
  </si>
  <si>
    <t>Jansson, Mr. Carl Olof</t>
  </si>
  <si>
    <t>350034</t>
  </si>
  <si>
    <t>Gustafsson, Mr. Johan Birger</t>
  </si>
  <si>
    <t>3101277</t>
  </si>
  <si>
    <t>Newell, Miss. Marjorie</t>
  </si>
  <si>
    <t>Sandstrom, Mrs. Hjalmar (Agnes Charlotta Bengtsson)</t>
  </si>
  <si>
    <t>Johansson, Mr. Erik</t>
  </si>
  <si>
    <t>350052</t>
  </si>
  <si>
    <t>Olsson, Miss. Elina</t>
  </si>
  <si>
    <t>350407</t>
  </si>
  <si>
    <t>McKane, Mr. Peter David</t>
  </si>
  <si>
    <t>28403</t>
  </si>
  <si>
    <t>Pain, Dr. Alfred</t>
  </si>
  <si>
    <t>244278</t>
  </si>
  <si>
    <t>Trout, Mrs. William H (Jessie L)</t>
  </si>
  <si>
    <t>240929</t>
  </si>
  <si>
    <t>Niskanen, Mr. Juha</t>
  </si>
  <si>
    <t>STON/O 2. 3101289</t>
  </si>
  <si>
    <t>Adams, Mr. John</t>
  </si>
  <si>
    <t>341826</t>
  </si>
  <si>
    <t>Jussila, Miss. Mari Aina</t>
  </si>
  <si>
    <t>4137</t>
  </si>
  <si>
    <t>Hakkarainen, Mr. Pekka Pietari</t>
  </si>
  <si>
    <t>Oreskovic, Miss. Marija</t>
  </si>
  <si>
    <t>315096</t>
  </si>
  <si>
    <t>Gale, Mr. Shadrach</t>
  </si>
  <si>
    <t>28664</t>
  </si>
  <si>
    <t>Widegren, Mr. Carl/Charles Peter</t>
  </si>
  <si>
    <t>347064</t>
  </si>
  <si>
    <t>Richards, Master. William Rowe</t>
  </si>
  <si>
    <t>29106</t>
  </si>
  <si>
    <t>Birkeland, Mr. Hans Martin Monsen</t>
  </si>
  <si>
    <t>312992</t>
  </si>
  <si>
    <t>Lefebre, Miss. Ida</t>
  </si>
  <si>
    <t>Sdycoff, Mr. Todor</t>
  </si>
  <si>
    <t>349222</t>
  </si>
  <si>
    <t>Hart, Mr. Henry</t>
  </si>
  <si>
    <t>394140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</si>
  <si>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</si>
  <si>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</si>
  <si>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</si>
  <si>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</si>
  <si>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</si>
  <si>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343095</t>
  </si>
  <si>
    <t>Drew, Mrs. James Vivian (Lulu Thorne Christian)</t>
  </si>
  <si>
    <t>28220</t>
  </si>
  <si>
    <t>Silven, Miss. Lyyli Karoliina</t>
  </si>
  <si>
    <t>250652</t>
  </si>
  <si>
    <t>Matthews, Mr. William John</t>
  </si>
  <si>
    <t>28228</t>
  </si>
  <si>
    <t>Van Impe, Miss. Catharina</t>
  </si>
  <si>
    <t>345773</t>
  </si>
  <si>
    <t>Gheorgheff, Mr. Stanio</t>
  </si>
  <si>
    <t>349254</t>
  </si>
  <si>
    <t>Charters, Mr. David</t>
  </si>
  <si>
    <t>A/5. 13032</t>
  </si>
  <si>
    <t>Zimmerman, Mr. Leo</t>
  </si>
  <si>
    <t>315082</t>
  </si>
  <si>
    <t>Danbom, Mrs. Ernst Gilbert (Anna Sigrid Maria Brogren)</t>
  </si>
  <si>
    <t>347080</t>
  </si>
  <si>
    <t>Rosblom, Mr. Viktor Richard</t>
  </si>
  <si>
    <t>Wiseman, Mr. Phillippe</t>
  </si>
  <si>
    <t>A/4. 34244</t>
  </si>
  <si>
    <t>Clarke, Mrs. Charles V (Ada Maria Winfield)</t>
  </si>
  <si>
    <t>2003</t>
  </si>
  <si>
    <t>Phillips, Miss. Kate Florence ("Mrs Kate Louise Phillips Marshall")</t>
  </si>
  <si>
    <t>250655</t>
  </si>
  <si>
    <t>Flynn, Mr. James</t>
  </si>
  <si>
    <t>364851</t>
  </si>
  <si>
    <t>Pickard, Mr. Berk (Berk Trembisky)</t>
  </si>
  <si>
    <t>SOTON/O.Q. 392078</t>
  </si>
  <si>
    <t>E10</t>
  </si>
  <si>
    <t>Bjornstrom-Steffansson, Mr. Mauritz Hakan</t>
  </si>
  <si>
    <t>110564</t>
  </si>
  <si>
    <t>Thorneycroft, Mrs. Percival (Florence Kate White)</t>
  </si>
  <si>
    <t>376564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</si>
  <si>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</si>
  <si>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</si>
  <si>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</si>
  <si>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</si>
  <si>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</si>
  <si>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13507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</si>
  <si>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</si>
  <si>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</si>
  <si>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</si>
  <si>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</si>
  <si>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</si>
  <si>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</si>
  <si>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</si>
  <si>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</si>
  <si>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</si>
  <si>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345769</t>
  </si>
  <si>
    <t>Petterson, Mr. Johan Emil</t>
  </si>
  <si>
    <t>347076</t>
  </si>
  <si>
    <t>Reynaldo, Ms. Encarnacion</t>
  </si>
  <si>
    <t>230434</t>
  </si>
  <si>
    <t>Johannesen-Bratthammer, Mr. Bernt</t>
  </si>
  <si>
    <t>65306</t>
  </si>
  <si>
    <t>Dodge, Master. Washington</t>
  </si>
  <si>
    <t>33638</t>
  </si>
  <si>
    <t>A34</t>
  </si>
  <si>
    <t>Mellinger, Miss. Madeleine Violet</t>
  </si>
  <si>
    <t>Seward, Mr. Frederic Kimber</t>
  </si>
  <si>
    <t>113794</t>
  </si>
  <si>
    <t>Baclini, Miss. Marie Catherine</t>
  </si>
  <si>
    <t>2666</t>
  </si>
  <si>
    <t>Peuchen, Major. Arthur Godfrey</t>
  </si>
  <si>
    <t>113786</t>
  </si>
  <si>
    <t>C104</t>
  </si>
  <si>
    <t>West, Mr. Edwy Arthur</t>
  </si>
  <si>
    <t>Hagland, Mr. Ingvald Olai Olsen</t>
  </si>
  <si>
    <t>65303</t>
  </si>
  <si>
    <t>Foreman, Mr. Benjamin Laventall</t>
  </si>
  <si>
    <t>113051</t>
  </si>
  <si>
    <t>C111</t>
  </si>
  <si>
    <t>Goldenberg, Mr. Samuel L</t>
  </si>
  <si>
    <t>17453</t>
  </si>
  <si>
    <t>C92</t>
  </si>
  <si>
    <t>Peduzzi, Mr. Joseph</t>
  </si>
  <si>
    <t>A/5 2817</t>
  </si>
  <si>
    <t>Jalsevac, Mr. Ivan</t>
  </si>
  <si>
    <t>349240</t>
  </si>
  <si>
    <t>Millet, Mr. Francis Davis</t>
  </si>
  <si>
    <t>13509</t>
  </si>
  <si>
    <t>E38</t>
  </si>
  <si>
    <t>Kenyon, Mrs. Frederick R (Marion)</t>
  </si>
  <si>
    <t>17464</t>
  </si>
  <si>
    <t>D21</t>
  </si>
  <si>
    <t>Toomey, Miss. Ellen</t>
  </si>
  <si>
    <t>F.C.C. 13531</t>
  </si>
  <si>
    <t>O'Connor, Mr. Maurice</t>
  </si>
  <si>
    <t>371060</t>
  </si>
  <si>
    <t>Anderson, Mr. Harry</t>
  </si>
  <si>
    <t>19952</t>
  </si>
  <si>
    <t>E12</t>
  </si>
  <si>
    <t>Morley, Mr. William</t>
  </si>
  <si>
    <t>364506</t>
  </si>
  <si>
    <t>Gee, Mr. Arthur H</t>
  </si>
  <si>
    <t>111320</t>
  </si>
  <si>
    <t>E63</t>
  </si>
  <si>
    <t>Milling, Mr. Jacob Christian</t>
  </si>
  <si>
    <t>234360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</si>
  <si>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</si>
  <si>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</si>
  <si>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</si>
  <si>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</si>
  <si>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</si>
  <si>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</si>
  <si>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113792</t>
  </si>
  <si>
    <t>Scanlan, Mr. James</t>
  </si>
  <si>
    <t>36209</t>
  </si>
  <si>
    <t>Baclini, Miss. Helene Barbara</t>
  </si>
  <si>
    <t>Keefe, Mr. Arthur</t>
  </si>
  <si>
    <t>323592</t>
  </si>
  <si>
    <t>Cacic, Mr. Luka</t>
  </si>
  <si>
    <t>315089</t>
  </si>
  <si>
    <t>West, Mrs. Edwy Arthur (Ada Mary Worth)</t>
  </si>
  <si>
    <t>Jerwan, Mrs. Amin S (Marie Marthe Thuillard)</t>
  </si>
  <si>
    <t>SC/AH Basle 541</t>
  </si>
  <si>
    <t>Strandberg, Miss. Ida Sofia</t>
  </si>
  <si>
    <t>7553</t>
  </si>
  <si>
    <t>Clifford, Mr. George Quincy</t>
  </si>
  <si>
    <t>A14</t>
  </si>
  <si>
    <t>Renouf, Mr. Peter Henry</t>
  </si>
  <si>
    <t>31027</t>
  </si>
  <si>
    <t>Braund, Mr. Lewis Richard</t>
  </si>
  <si>
    <t>3460</t>
  </si>
  <si>
    <t>Karlsson, Mr. Nils August</t>
  </si>
  <si>
    <t>350060</t>
  </si>
  <si>
    <t>Hirvonen, Miss. Hildur E</t>
  </si>
  <si>
    <t>3101298</t>
  </si>
  <si>
    <t>Goodwin, Master. Harold Victor</t>
  </si>
  <si>
    <t>Frost, Mr. Anthony Wood "Archie"</t>
  </si>
  <si>
    <t>239854</t>
  </si>
  <si>
    <t>Rouse, Mr. Richard Henry</t>
  </si>
  <si>
    <t>A/5 3594</t>
  </si>
  <si>
    <t>Turkula, Mrs. (Hedwig)</t>
  </si>
  <si>
    <t>4134</t>
  </si>
  <si>
    <t>Bishop, Mr. Dickinson H</t>
  </si>
  <si>
    <t>Lefebre, Miss. Jeannie</t>
  </si>
  <si>
    <t>Hoyt, Mrs. Frederick Maxfield (Jane Anne Forby)</t>
  </si>
  <si>
    <t>Kent, Mr. Edward Austin</t>
  </si>
  <si>
    <t>11771</t>
  </si>
  <si>
    <t>B37</t>
  </si>
  <si>
    <t>Somerton, Mr. Francis William</t>
  </si>
  <si>
    <t>A.5. 18509</t>
  </si>
  <si>
    <t>Coutts, Master. Eden Leslie "Neville"</t>
  </si>
  <si>
    <t>Hagland, Mr. Konrad Mathias Reiersen</t>
  </si>
  <si>
    <t>65304</t>
  </si>
  <si>
    <t>Windelov, Mr. Einar</t>
  </si>
  <si>
    <t>SOTON/OQ 3101317</t>
  </si>
  <si>
    <t>Molson, Mr. Harry Markland</t>
  </si>
  <si>
    <t>113787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</si>
  <si>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</si>
  <si>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</si>
  <si>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</si>
  <si>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</si>
  <si>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</si>
  <si>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</si>
  <si>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</si>
  <si>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36947</t>
  </si>
  <si>
    <t>D20</t>
  </si>
  <si>
    <t>Shellard, Mr. Frederick William</t>
  </si>
  <si>
    <t>C.A. 6212</t>
  </si>
  <si>
    <t>Allison, Mrs. Hudson J C (Bessie Waldo Daniels)</t>
  </si>
  <si>
    <t>Svensson, Mr. Olof</t>
  </si>
  <si>
    <t>350035</t>
  </si>
  <si>
    <t>Calic, Mr. Petar</t>
  </si>
  <si>
    <t>315086</t>
  </si>
  <si>
    <t>Canavan, Miss. Mary</t>
  </si>
  <si>
    <t>364846</t>
  </si>
  <si>
    <t>O'Sullivan, Miss. Bridget Mary</t>
  </si>
  <si>
    <t>330909</t>
  </si>
  <si>
    <t>Laitinen, Miss. Kristina Sofia</t>
  </si>
  <si>
    <t>4135</t>
  </si>
  <si>
    <t>Maioni, Miss. Roberta</t>
  </si>
  <si>
    <t>B79</t>
  </si>
  <si>
    <t>Penasco y Castellana, Mr. Victor de Satode</t>
  </si>
  <si>
    <t>Quick, Mrs. Frederick Charles (Jane Richards)</t>
  </si>
  <si>
    <t>26360</t>
  </si>
  <si>
    <t>Bradley, Mr. George ("George Arthur Brayton")</t>
  </si>
  <si>
    <t>111427</t>
  </si>
  <si>
    <t>Olsen, Mr. Henry Margido</t>
  </si>
  <si>
    <t>C 4001</t>
  </si>
  <si>
    <t>Lang, Mr. Fang</t>
  </si>
  <si>
    <t>Daly, Mr. Eugene Patrick</t>
  </si>
  <si>
    <t>382651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</si>
  <si>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</si>
  <si>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</si>
  <si>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</si>
  <si>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</si>
  <si>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</si>
  <si>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</si>
  <si>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</si>
  <si>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</si>
  <si>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349209</t>
  </si>
  <si>
    <t>Walker, Mr. William Anderson</t>
  </si>
  <si>
    <t>36967</t>
  </si>
  <si>
    <t>D46</t>
  </si>
  <si>
    <t>Lemore, Mrs. (Amelia Milley)</t>
  </si>
  <si>
    <t>C.A. 34260</t>
  </si>
  <si>
    <t>Ryan, Mr. Patrick</t>
  </si>
  <si>
    <t>Angle, Mrs. William A (Florence "Mary" Agnes Hughes)</t>
  </si>
  <si>
    <t>226875</t>
  </si>
  <si>
    <t>Pavlovic, Mr. Stefo</t>
  </si>
  <si>
    <t>349242</t>
  </si>
  <si>
    <t>Perreault, Miss. Anne</t>
  </si>
  <si>
    <t>12749</t>
  </si>
  <si>
    <t>B73</t>
  </si>
  <si>
    <t>Vovk, Mr. Janko</t>
  </si>
  <si>
    <t>349252</t>
  </si>
  <si>
    <t>Lahoud, Mr. Sarkis</t>
  </si>
  <si>
    <t>2624</t>
  </si>
  <si>
    <t>Hippach, Mrs. Louis Albert (Ida Sophia Fischer)</t>
  </si>
  <si>
    <t>Kassem, Mr. Fared</t>
  </si>
  <si>
    <t>2700</t>
  </si>
  <si>
    <t>Farrell, Mr. James</t>
  </si>
  <si>
    <t>367232</t>
  </si>
  <si>
    <t>Ridsdale, Miss. Lucy</t>
  </si>
  <si>
    <t>W./C. 14258</t>
  </si>
  <si>
    <t>Farthing, Mr. John</t>
  </si>
  <si>
    <t>PC 17483</t>
  </si>
  <si>
    <t>C95</t>
  </si>
  <si>
    <t>Salonen, Mr. Johan Werner</t>
  </si>
  <si>
    <t>3101296</t>
  </si>
  <si>
    <t>Hocking, Mr. Richard George</t>
  </si>
  <si>
    <t>29104</t>
  </si>
  <si>
    <t>Quick, Miss. Phyllis May</t>
  </si>
  <si>
    <t>Toufik, Mr. Nakli</t>
  </si>
  <si>
    <t>2641</t>
  </si>
  <si>
    <t>Elias, Mr. Joseph Jr</t>
  </si>
  <si>
    <t>2690</t>
  </si>
  <si>
    <t>Peter, Mrs. Catherine (Catherine Rizk)</t>
  </si>
  <si>
    <t>Cacic, Miss. Marija</t>
  </si>
  <si>
    <t>315084</t>
  </si>
  <si>
    <t>Hart, Miss. Eva Miriam</t>
  </si>
  <si>
    <t>Butt, Major. Archibald Willingham</t>
  </si>
  <si>
    <t>113050</t>
  </si>
  <si>
    <t>B38</t>
  </si>
  <si>
    <t>LeRoy, Miss. Bertha</t>
  </si>
  <si>
    <t>PC 17761</t>
  </si>
  <si>
    <t>Risien, Mr. Samuel Beard</t>
  </si>
  <si>
    <t>364498</t>
  </si>
  <si>
    <t>Frolicher, Miss. Hedwig Margaritha</t>
  </si>
  <si>
    <t>13568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</si>
  <si>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</si>
  <si>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</si>
  <si>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</si>
  <si>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</si>
  <si>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</si>
  <si>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</si>
  <si>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</si>
  <si>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2908</t>
  </si>
  <si>
    <t>Douglas, Mr. Walter Donald</t>
  </si>
  <si>
    <t>C86</t>
  </si>
  <si>
    <t>Nicholson, Mr. Arthur Ernest</t>
  </si>
  <si>
    <t>693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</si>
  <si>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</si>
  <si>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</si>
  <si>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</si>
  <si>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</si>
  <si>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</si>
  <si>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</si>
  <si>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</si>
  <si>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</si>
  <si>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244358</t>
  </si>
  <si>
    <t>O'Brien, Mr. Timothy</t>
  </si>
  <si>
    <t>330979</t>
  </si>
  <si>
    <t>Leeni, Mr. Fahim ("Philip Zenni")</t>
  </si>
  <si>
    <t>2620</t>
  </si>
  <si>
    <t>Ohman, Miss. Velin</t>
  </si>
  <si>
    <t>347085</t>
  </si>
  <si>
    <t>Wright, Mr. George</t>
  </si>
  <si>
    <t>113807</t>
  </si>
  <si>
    <t>Duff Gordon, Lady. (Lucille Christiana Sutherland) ("Mrs Morgan")</t>
  </si>
  <si>
    <t>11755</t>
  </si>
  <si>
    <t>A16</t>
  </si>
  <si>
    <t>Robbins, Mr. Victor</t>
  </si>
  <si>
    <t>Taussig, Mrs. Emil (Tillie Mandelbaum)</t>
  </si>
  <si>
    <t>de Messemaeker, Mrs. Guillaume Joseph (Emma)</t>
  </si>
  <si>
    <t>345572</t>
  </si>
  <si>
    <t>Morrow, Mr. Thomas Rowan</t>
  </si>
  <si>
    <t>372622</t>
  </si>
  <si>
    <t>Sivic, Mr. Husein</t>
  </si>
  <si>
    <t>349251</t>
  </si>
  <si>
    <t>Norman, Mr. Robert Douglas</t>
  </si>
  <si>
    <t>218629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</si>
  <si>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</si>
  <si>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</si>
  <si>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</si>
  <si>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</si>
  <si>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</si>
  <si>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</si>
  <si>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</si>
  <si>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349205</t>
  </si>
  <si>
    <t>Palsson, Mrs. Nils (Alma Cornelia Berglund)</t>
  </si>
  <si>
    <t>Doharr, Mr. Tannous</t>
  </si>
  <si>
    <t>2686</t>
  </si>
  <si>
    <t>Jonsson, Mr. Carl</t>
  </si>
  <si>
    <t>350417</t>
  </si>
  <si>
    <t>Harris, Mr. George</t>
  </si>
  <si>
    <t>S.W./PP 752</t>
  </si>
  <si>
    <t>Appleton, Mrs. Edward Dale (Charlotte Lamson)</t>
  </si>
  <si>
    <t>11769</t>
  </si>
  <si>
    <t>C101</t>
  </si>
  <si>
    <t>Flynn, Mr. John Irwin ("Irving")</t>
  </si>
  <si>
    <t>PC 17474</t>
  </si>
  <si>
    <t>Kelly, Miss. Mary</t>
  </si>
  <si>
    <t>14312</t>
  </si>
  <si>
    <t>Rush, Mr. Alfred George John</t>
  </si>
  <si>
    <t>A/4. 20589</t>
  </si>
  <si>
    <t>Patchett, Mr. George</t>
  </si>
  <si>
    <t>358585</t>
  </si>
  <si>
    <t>Garside, Miss. Ethel</t>
  </si>
  <si>
    <t>243880</t>
  </si>
  <si>
    <t>Silvey, Mrs. William Baird (Alice Munger)</t>
  </si>
  <si>
    <t>Caram, Mrs. Joseph (Maria Elias)</t>
  </si>
  <si>
    <t>2689</t>
  </si>
  <si>
    <t>Jussila, Mr. Eiriik</t>
  </si>
  <si>
    <t>STON/O 2. 3101286</t>
  </si>
  <si>
    <t>Christy, Miss. Julie Rachel</t>
  </si>
  <si>
    <t>237789</t>
  </si>
  <si>
    <t>Thayer, Mrs. John Borland (Marian Longstreth Morris)</t>
  </si>
  <si>
    <t>C68</t>
  </si>
  <si>
    <t>Downton, Mr. William James</t>
  </si>
  <si>
    <t>Ross, Mr. John Hugo</t>
  </si>
  <si>
    <t>13049</t>
  </si>
  <si>
    <t>A10</t>
  </si>
  <si>
    <t>Paulner, Mr. Uscher</t>
  </si>
  <si>
    <t>3411</t>
  </si>
  <si>
    <t>Taussig, Miss. Ruth</t>
  </si>
  <si>
    <t>E68</t>
  </si>
  <si>
    <t>Jarvis, Mr. John Denzil</t>
  </si>
  <si>
    <t>237565</t>
  </si>
  <si>
    <t>Frolicher-Stehli, Mr. Maxmillian</t>
  </si>
  <si>
    <t>13567</t>
  </si>
  <si>
    <t>B41</t>
  </si>
  <si>
    <t>Gilinski, Mr. Eliezer</t>
  </si>
  <si>
    <t>14973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</si>
  <si>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</si>
  <si>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</si>
  <si>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</si>
  <si>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</si>
  <si>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</si>
  <si>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</si>
  <si>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</si>
  <si>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</si>
  <si>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364848</t>
  </si>
  <si>
    <t>Chapman, Mr. John Henry</t>
  </si>
  <si>
    <t>SC/AH 29037</t>
  </si>
  <si>
    <t>Van Impe, Mr. Jean Baptiste</t>
  </si>
  <si>
    <t>Leitch, Miss. Jessie Wills</t>
  </si>
  <si>
    <t>248727</t>
  </si>
  <si>
    <t>Johnson, Mr. Alfred</t>
  </si>
  <si>
    <t>Boulos, Mr. Hanna</t>
  </si>
  <si>
    <t>2664</t>
  </si>
  <si>
    <t>Duff Gordon, Sir. Cosmo Edmund ("Mr Morgan")</t>
  </si>
  <si>
    <t>A20</t>
  </si>
  <si>
    <t>Jacobsohn, Mrs. Sidney Samuel (Amy Frances Christy)</t>
  </si>
  <si>
    <t>Slabenoff, Mr. Petco</t>
  </si>
  <si>
    <t>349214</t>
  </si>
  <si>
    <t>Harrington, Mr. Charles H</t>
  </si>
  <si>
    <t>113796</t>
  </si>
  <si>
    <t>Torber, Mr. Ernst William</t>
  </si>
  <si>
    <t>364511</t>
  </si>
  <si>
    <t>Homer, Mr. Harry ("Mr E Haven")</t>
  </si>
  <si>
    <t>111426</t>
  </si>
  <si>
    <t>Lindell, Mr. Edvard Bengtsson</t>
  </si>
  <si>
    <t>349910</t>
  </si>
  <si>
    <t>Karaic, Mr. Milan</t>
  </si>
  <si>
    <t>349246</t>
  </si>
  <si>
    <t>Daniel, Mr. Robert Williams</t>
  </si>
  <si>
    <t>113804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</si>
  <si>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</si>
  <si>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</si>
  <si>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</si>
  <si>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</si>
  <si>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</si>
  <si>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</si>
  <si>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</si>
  <si>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370377</t>
  </si>
  <si>
    <t>Brocklebank, Mr. William Alfred</t>
  </si>
  <si>
    <t>364512</t>
  </si>
  <si>
    <t>Herman, Miss. Alice</t>
  </si>
  <si>
    <t>220845</t>
  </si>
  <si>
    <t>Danbom, Mr. Ernst Gilbert</t>
  </si>
  <si>
    <t>Lobb, Mrs. William Arthur (Cordelia K Stanlick)</t>
  </si>
  <si>
    <t>Becker, Miss. Marion Louise</t>
  </si>
  <si>
    <t>Gavey, Mr. Lawrence</t>
  </si>
  <si>
    <t>31028</t>
  </si>
  <si>
    <t>Yasbeck, Mr. Antoni</t>
  </si>
  <si>
    <t>2659</t>
  </si>
  <si>
    <t>Kimball, Mr. Edwin Nelson Jr</t>
  </si>
  <si>
    <t>11753</t>
  </si>
  <si>
    <t>D19</t>
  </si>
  <si>
    <t>Nakid, Mr. Sahid</t>
  </si>
  <si>
    <t>Hansen, Mr. Henry Damsgaard</t>
  </si>
  <si>
    <t>350029</t>
  </si>
  <si>
    <t>Bowen, Mr. David John "Dai"</t>
  </si>
  <si>
    <t>54636</t>
  </si>
  <si>
    <t>Sutton, Mr. Frederick</t>
  </si>
  <si>
    <t>36963</t>
  </si>
  <si>
    <t>D50</t>
  </si>
  <si>
    <t>Kirkland, Rev. Charles Leonard</t>
  </si>
  <si>
    <t>219533</t>
  </si>
  <si>
    <t>Longley, Miss. Gretchen Fiske</t>
  </si>
  <si>
    <t>D9</t>
  </si>
  <si>
    <t>Bostandyeff, Mr. Guentcho</t>
  </si>
  <si>
    <t>349224</t>
  </si>
  <si>
    <t>O'Connell, Mr. Patrick D</t>
  </si>
  <si>
    <t>334912</t>
  </si>
  <si>
    <t>Barkworth, Mr. Algernon Henry Wilson</t>
  </si>
  <si>
    <t>27042</t>
  </si>
  <si>
    <t>A23</t>
  </si>
  <si>
    <t>Lundahl, Mr. Johan Svensson</t>
  </si>
  <si>
    <t>347743</t>
  </si>
  <si>
    <t>Stahelin-Maeglin, Dr. Max</t>
  </si>
  <si>
    <t>13214</t>
  </si>
  <si>
    <t>B50</t>
  </si>
  <si>
    <t>Parr, Mr. William Henry Marsh</t>
  </si>
  <si>
    <t>112052</t>
  </si>
  <si>
    <t>Skoog, Miss. Mabel</t>
  </si>
  <si>
    <t>Davis, Miss. Mary</t>
  </si>
  <si>
    <t>237668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</si>
  <si>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</si>
  <si>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</si>
  <si>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</si>
  <si>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</si>
  <si>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</si>
  <si>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</si>
  <si>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350050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</si>
  <si>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</si>
  <si>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</si>
  <si>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</si>
  <si>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</si>
  <si>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</si>
  <si>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</si>
  <si>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349231</t>
  </si>
  <si>
    <t>Simonius-Blumer, Col. Oberst Alfons</t>
  </si>
  <si>
    <t>13213</t>
  </si>
  <si>
    <t>A26</t>
  </si>
  <si>
    <t>Willey, Mr. Edward</t>
  </si>
  <si>
    <t>S.O./P.P. 751</t>
  </si>
  <si>
    <t>Stanley, Miss. Amy Zillah Elsie</t>
  </si>
  <si>
    <t>CA. 2314</t>
  </si>
  <si>
    <t>Mitkoff, Mr. Mito</t>
  </si>
  <si>
    <t>349221</t>
  </si>
  <si>
    <t>Doling, Miss. Elsie</t>
  </si>
  <si>
    <t>Kalvik, Mr. Johannes Halvorsen</t>
  </si>
  <si>
    <t>8475</t>
  </si>
  <si>
    <t>O'Leary, Miss. Hanora "Norah"</t>
  </si>
  <si>
    <t>330919</t>
  </si>
  <si>
    <t>Hegarty, Miss. Hanora "Nora"</t>
  </si>
  <si>
    <t>365226</t>
  </si>
  <si>
    <t>Hickman, Mr. Leonard Mark</t>
  </si>
  <si>
    <t>Radeff, Mr. Alexander</t>
  </si>
  <si>
    <t>349223</t>
  </si>
  <si>
    <t>Bourke, Mrs. John (Catherine)</t>
  </si>
  <si>
    <t>Eitemiller, Mr. George Floyd</t>
  </si>
  <si>
    <t>29751</t>
  </si>
  <si>
    <t>Newell, Mr. Arthur Webster</t>
  </si>
  <si>
    <t>D48</t>
  </si>
  <si>
    <t>Frauenthal, Dr. Henry William</t>
  </si>
  <si>
    <t>Badt, Mr. Mohamed</t>
  </si>
  <si>
    <t>2623</t>
  </si>
  <si>
    <t>Colley, Mr. Edward Pomeroy</t>
  </si>
  <si>
    <t>5727</t>
  </si>
  <si>
    <t>E58</t>
  </si>
  <si>
    <t>Coleff, Mr. Peju</t>
  </si>
  <si>
    <t>349210</t>
  </si>
  <si>
    <t>Lindqvist, Mr. Eino William</t>
  </si>
  <si>
    <t>STON/O 2. 3101285</t>
  </si>
  <si>
    <t>Hickman, Mr. Lewis</t>
  </si>
  <si>
    <t>Butler, Mr. Reginald Fenton</t>
  </si>
  <si>
    <t>234686</t>
  </si>
  <si>
    <t>Rommetvedt, Mr. Knud Paust</t>
  </si>
  <si>
    <t>312993</t>
  </si>
  <si>
    <t>Cook, Mr. Jacob</t>
  </si>
  <si>
    <t>A/5 3536</t>
  </si>
  <si>
    <t>Taylor, Mrs. Elmer Zebley (Juliet Cummins Wright)</t>
  </si>
  <si>
    <t>19996</t>
  </si>
  <si>
    <t>C126</t>
  </si>
  <si>
    <t>Brown, Mrs. Thomas William Solomon (Elizabeth Catherine Ford)</t>
  </si>
  <si>
    <t>29750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</si>
  <si>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</si>
  <si>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</si>
  <si>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</si>
  <si>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</si>
  <si>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</si>
  <si>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</si>
  <si>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244270</t>
  </si>
  <si>
    <t>Watson, Mr. Ennis Hastings</t>
  </si>
  <si>
    <t>239856</t>
  </si>
  <si>
    <t>Edvardsson, Mr. Gustaf Hjalmar</t>
  </si>
  <si>
    <t>349912</t>
  </si>
  <si>
    <t>Sawyer, Mr. Frederick Charles</t>
  </si>
  <si>
    <t>342826</t>
  </si>
  <si>
    <t>Turja, Miss. Anna Sofia</t>
  </si>
  <si>
    <t>4138</t>
  </si>
  <si>
    <t>Goodwin, Mrs. Frederick (Augusta Tyler)</t>
  </si>
  <si>
    <t>Cardeza, Mr. Thomas Drake Martinez</t>
  </si>
  <si>
    <t>B51 B53 B55</t>
  </si>
  <si>
    <t>Peters, Miss. Katie</t>
  </si>
  <si>
    <t>330935</t>
  </si>
  <si>
    <t>Hassab, Mr. Hammad</t>
  </si>
  <si>
    <t>D49</t>
  </si>
  <si>
    <t>Olsvigen, Mr. Thor Anderson</t>
  </si>
  <si>
    <t>6563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</si>
  <si>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</si>
  <si>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</si>
  <si>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</si>
  <si>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</si>
  <si>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</si>
  <si>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349228</t>
  </si>
  <si>
    <t>Fischer, Mr. Eberhard Thelander</t>
  </si>
  <si>
    <t>350036</t>
  </si>
  <si>
    <t>Madill, Miss. Georgette Alexandra</t>
  </si>
  <si>
    <t>24160</t>
  </si>
  <si>
    <t>B5</t>
  </si>
  <si>
    <t>Dick, Mr. Albert Adrian</t>
  </si>
  <si>
    <t>17474</t>
  </si>
  <si>
    <t>B20</t>
  </si>
  <si>
    <t>Karun, Miss. Manca</t>
  </si>
  <si>
    <t>349256</t>
  </si>
  <si>
    <t>Lam, Mr. Ali</t>
  </si>
  <si>
    <t>Saad, Mr. Khalil</t>
  </si>
  <si>
    <t>2672</t>
  </si>
  <si>
    <t>Weir, Col. John</t>
  </si>
  <si>
    <t>113800</t>
  </si>
  <si>
    <t>Chapman, Mr. Charles Henry</t>
  </si>
  <si>
    <t>248731</t>
  </si>
  <si>
    <t>Kelly, Mr. James</t>
  </si>
  <si>
    <t>363592</t>
  </si>
  <si>
    <t>Mullens, Miss. Katherine "Katie"</t>
  </si>
  <si>
    <t>35852</t>
  </si>
  <si>
    <t>Thayer, Mr. John Borland</t>
  </si>
  <si>
    <t>Humblen, Mr. Adolf Mathias Nicolai Olsen</t>
  </si>
  <si>
    <t>348121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</si>
  <si>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</si>
  <si>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</si>
  <si>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</si>
  <si>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</si>
  <si>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</si>
  <si>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</si>
  <si>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</si>
  <si>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</si>
  <si>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36864</t>
  </si>
  <si>
    <t>Hansen, Mr. Henrik Juul</t>
  </si>
  <si>
    <t>350025</t>
  </si>
  <si>
    <t>Morley, Mr. Henry Samuel ("Mr Henry Marshall")</t>
  </si>
  <si>
    <t>Kelly, Mrs. Florence "Fannie"</t>
  </si>
  <si>
    <t>223596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</si>
  <si>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</si>
  <si>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</si>
  <si>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</si>
  <si>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</si>
  <si>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</si>
  <si>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</si>
  <si>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</si>
  <si>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</si>
  <si>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113028</t>
  </si>
  <si>
    <t>Taylor, Mr. Elmer Zebley</t>
  </si>
  <si>
    <t>Larsson, Mr. August Viktor</t>
  </si>
  <si>
    <t>7545</t>
  </si>
  <si>
    <t>Greenberg, Mr. Samuel</t>
  </si>
  <si>
    <t>250647</t>
  </si>
  <si>
    <t>Soholt, Mr. Peter Andreas Lauritz Andersen</t>
  </si>
  <si>
    <t>348124</t>
  </si>
  <si>
    <t>Endres, Miss. Caroline Louise</t>
  </si>
  <si>
    <t>C45</t>
  </si>
  <si>
    <t>Troutt, Miss. Edwina Celia "Winnie"</t>
  </si>
  <si>
    <t>34218</t>
  </si>
  <si>
    <t>McEvoy, Mr. Michael</t>
  </si>
  <si>
    <t>36568</t>
  </si>
  <si>
    <t>Johnson, Mr. Malkolm Joackim</t>
  </si>
  <si>
    <t>347062</t>
  </si>
  <si>
    <t>Harper, Miss. Annie Jessie "Nina"</t>
  </si>
  <si>
    <t>Jensen, Mr. Svend Lauritz</t>
  </si>
  <si>
    <t>350048</t>
  </si>
  <si>
    <t>Gillespie, Mr. William Henry</t>
  </si>
  <si>
    <t>12233</t>
  </si>
  <si>
    <t>Hodges, Mr. Henry Price</t>
  </si>
  <si>
    <t>250643</t>
  </si>
  <si>
    <t>Chambers, Mr. Norman Campbell</t>
  </si>
  <si>
    <t>113806</t>
  </si>
  <si>
    <t>E8</t>
  </si>
  <si>
    <t>Oreskovic, Mr. Luka</t>
  </si>
  <si>
    <t>315094</t>
  </si>
  <si>
    <t>Renouf, Mrs. Peter Henry (Lillian Jefferys)</t>
  </si>
  <si>
    <t>Mannion, Miss. Margareth</t>
  </si>
  <si>
    <t>36866</t>
  </si>
  <si>
    <t>Bryhl, Mr. Kurt Arnold Gottfrid</t>
  </si>
  <si>
    <t>236853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</si>
  <si>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</si>
  <si>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</si>
  <si>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</si>
  <si>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</si>
  <si>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</si>
  <si>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239855</t>
  </si>
  <si>
    <t>Berriman, Mr. William John</t>
  </si>
  <si>
    <t>28425</t>
  </si>
  <si>
    <t>Troupiansky, Mr. Moses Aaron</t>
  </si>
  <si>
    <t>233639</t>
  </si>
  <si>
    <t>Williams, Mr. Leslie</t>
  </si>
  <si>
    <t>Ford, Mrs. Edward (Margaret Ann Watson)</t>
  </si>
  <si>
    <t>Lesurer, Mr. Gustave J</t>
  </si>
  <si>
    <t>B101</t>
  </si>
  <si>
    <t>Ivanoff, Mr. Kanio</t>
  </si>
  <si>
    <t>349201</t>
  </si>
  <si>
    <t>Nankoff, Mr. Minko</t>
  </si>
  <si>
    <t>349218</t>
  </si>
  <si>
    <t>Hawksford, Mr. Walter James</t>
  </si>
  <si>
    <t>16988</t>
  </si>
  <si>
    <t>D45</t>
  </si>
  <si>
    <t>Cavendish, Mr. Tyrell William</t>
  </si>
  <si>
    <t>C46</t>
  </si>
  <si>
    <t>Ryerson, Miss. Susan Parker "Suzette"</t>
  </si>
  <si>
    <t>McNamee, Mr. Neal</t>
  </si>
  <si>
    <t>376566</t>
  </si>
  <si>
    <t>Stranden, Mr. Juho</t>
  </si>
  <si>
    <t>STON/O 2. 3101288</t>
  </si>
  <si>
    <t>Crosby, Capt. Edward Gifford</t>
  </si>
  <si>
    <t>Abbott, Mr. Rossmore Edward</t>
  </si>
  <si>
    <t>Sinkkonen, Miss. Anna</t>
  </si>
  <si>
    <t>250648</t>
  </si>
  <si>
    <t>Marvin, Mr. Daniel Warner</t>
  </si>
  <si>
    <t>113773</t>
  </si>
  <si>
    <t>D30</t>
  </si>
  <si>
    <t>Connaghton, Mr. Michael</t>
  </si>
  <si>
    <t>335097</t>
  </si>
  <si>
    <t>Wells, Miss. Joan</t>
  </si>
  <si>
    <t>29103</t>
  </si>
  <si>
    <t>Moor, Master. Meier</t>
  </si>
  <si>
    <t>392096</t>
  </si>
  <si>
    <t>E121</t>
  </si>
  <si>
    <t>Vande Velde, Mr. Johannes Joseph</t>
  </si>
  <si>
    <t>345780</t>
  </si>
  <si>
    <t>Jonkoff, Mr. Lalio</t>
  </si>
  <si>
    <t>349204</t>
  </si>
  <si>
    <t>Herman, Mrs. Samuel (Jane Laver)</t>
  </si>
  <si>
    <t>Hamalainen, Master. Viljo</t>
  </si>
  <si>
    <t>Carlsson, Mr. August Sigfrid</t>
  </si>
  <si>
    <t>350042</t>
  </si>
  <si>
    <t>Bailey, Mr. Percy Andrew</t>
  </si>
  <si>
    <t>29108</t>
  </si>
  <si>
    <t>Theobald, Mr. Thomas Leonard</t>
  </si>
  <si>
    <t>363294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</si>
  <si>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</si>
  <si>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</si>
  <si>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</si>
  <si>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</si>
  <si>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</si>
  <si>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2663</t>
  </si>
  <si>
    <t>Carter, Mrs. William Ernest (Lucile Polk)</t>
  </si>
  <si>
    <t>Eklund, Mr. Hans Linus</t>
  </si>
  <si>
    <t>347074</t>
  </si>
  <si>
    <t>Hogeboom, Mrs. John C (Anna Andrews)</t>
  </si>
  <si>
    <t>D11</t>
  </si>
  <si>
    <t>Brewe, Dr. Arthur Jackson</t>
  </si>
  <si>
    <t>112379</t>
  </si>
  <si>
    <t>Mangan, Miss. Mary</t>
  </si>
  <si>
    <t>364850</t>
  </si>
  <si>
    <t>Moran, Mr. Daniel J</t>
  </si>
  <si>
    <t>Gronnestad, Mr. Daniel Danielsen</t>
  </si>
  <si>
    <t>8471</t>
  </si>
  <si>
    <t>Lievens, Mr. Rene Aime</t>
  </si>
  <si>
    <t>345781</t>
  </si>
  <si>
    <t>Jensen, Mr. Niels Peder</t>
  </si>
  <si>
    <t>350047</t>
  </si>
  <si>
    <t>Mack, Mrs. (Mary)</t>
  </si>
  <si>
    <t>S.O./P.P. 3</t>
  </si>
  <si>
    <t>E77</t>
  </si>
  <si>
    <t>Elias, Mr. Dibo</t>
  </si>
  <si>
    <t>2674</t>
  </si>
  <si>
    <t>Hocking, Mrs. Elizabeth (Eliza Needs)</t>
  </si>
  <si>
    <t>29105</t>
  </si>
  <si>
    <t>Myhrman, Mr. Pehr Fabian Oliver Malkolm</t>
  </si>
  <si>
    <t>347078</t>
  </si>
  <si>
    <t>Tobin, Mr. Roger</t>
  </si>
  <si>
    <t>383121</t>
  </si>
  <si>
    <t>F38</t>
  </si>
  <si>
    <t>Emanuel, Miss. Virginia Ethel</t>
  </si>
  <si>
    <t>Kilgannon, Mr. Thomas J</t>
  </si>
  <si>
    <t>36865</t>
  </si>
  <si>
    <t>Robert, Mrs. Edward Scott (Elisabeth Walton McMillan)</t>
  </si>
  <si>
    <t>B3</t>
  </si>
  <si>
    <t>Ayoub, Miss. Banoura</t>
  </si>
  <si>
    <t>2687</t>
  </si>
  <si>
    <t>Dick, Mrs. Albert Adrian (Vera Gillespie)</t>
  </si>
  <si>
    <t>Long, Mr. Milton Clyde</t>
  </si>
  <si>
    <t>113501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</si>
  <si>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</si>
  <si>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</si>
  <si>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</si>
  <si>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</si>
  <si>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</si>
  <si>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</si>
  <si>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374887</t>
  </si>
  <si>
    <t>Sjoblom, Miss. Anna Sofia</t>
  </si>
  <si>
    <t>3101265</t>
  </si>
  <si>
    <t>Rice, Master. George Hugh</t>
  </si>
  <si>
    <t>Dean, Master. Bertram Vere</t>
  </si>
  <si>
    <t>Guggenheim, Mr. Benjamin</t>
  </si>
  <si>
    <t>B82 B84</t>
  </si>
  <si>
    <t>Keane, Mr. Andrew "Andy"</t>
  </si>
  <si>
    <t>12460</t>
  </si>
  <si>
    <t>Gaskell, Mr. Alfred</t>
  </si>
  <si>
    <t>Sage, Miss. Stella Anna</t>
  </si>
  <si>
    <t>Hoyt, Mr. William Fisher</t>
  </si>
  <si>
    <t>PC 17600</t>
  </si>
  <si>
    <t>Dantcheff, Mr. Ristiu</t>
  </si>
  <si>
    <t>349203</t>
  </si>
  <si>
    <t>Otter, Mr. Richard</t>
  </si>
  <si>
    <t>28213</t>
  </si>
  <si>
    <t>Leader, Dr. Alice (Farnham)</t>
  </si>
  <si>
    <t>17465</t>
  </si>
  <si>
    <t>D17</t>
  </si>
  <si>
    <t>Osman, Mrs. Mara</t>
  </si>
  <si>
    <t>349244</t>
  </si>
  <si>
    <t>Ibrahim Shawah, Mr. Yousseff</t>
  </si>
  <si>
    <t>2685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</si>
  <si>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</si>
  <si>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</si>
  <si>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</si>
  <si>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</si>
  <si>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</si>
  <si>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2625</t>
  </si>
  <si>
    <t>Hedman, Mr. Oskar Arvid</t>
  </si>
  <si>
    <t>347089</t>
  </si>
  <si>
    <t>Johansson, Mr. Karl Johan</t>
  </si>
  <si>
    <t>347063</t>
  </si>
  <si>
    <t>Andrews, Mr. Thomas Jr</t>
  </si>
  <si>
    <t>112050</t>
  </si>
  <si>
    <t>A36</t>
  </si>
  <si>
    <t>Pettersson, Miss. Ellen Natalia</t>
  </si>
  <si>
    <t>347087</t>
  </si>
  <si>
    <t>Meyer, Mr. August</t>
  </si>
  <si>
    <t>248723</t>
  </si>
  <si>
    <t>Chambers, Mrs. Norman Campbell (Bertha Griggs)</t>
  </si>
  <si>
    <t>Alexander, Mr. William</t>
  </si>
  <si>
    <t>3474</t>
  </si>
  <si>
    <t>Lester, Mr. James</t>
  </si>
  <si>
    <t>Slemen, Mr. Richard James</t>
  </si>
  <si>
    <t>28206</t>
  </si>
  <si>
    <t>Andersson, Miss. Ebba Iris Alfrida</t>
  </si>
  <si>
    <t>Tomlin, Mr. Ernest Portage</t>
  </si>
  <si>
    <t>364499</t>
  </si>
  <si>
    <t>Fry, Mr. Richard</t>
  </si>
  <si>
    <t>112058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</si>
  <si>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</si>
  <si>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</si>
  <si>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</si>
  <si>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</si>
  <si>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</si>
  <si>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</si>
  <si>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</si>
  <si>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</si>
  <si>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</si>
  <si>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</si>
  <si>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</si>
  <si>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315098</t>
  </si>
  <si>
    <t>Reuchlin, Jonkheer. John George</t>
  </si>
  <si>
    <t>19972</t>
  </si>
  <si>
    <t>Moor, Mrs. (Beila)</t>
  </si>
  <si>
    <t>Panula, Master. Urho Abraham</t>
  </si>
  <si>
    <t>Flynn, Mr. John</t>
  </si>
  <si>
    <t>368323</t>
  </si>
  <si>
    <t>Lam, Mr. Len</t>
  </si>
  <si>
    <t>Mallet, Master. Andre</t>
  </si>
  <si>
    <t>McCormack, Mr. Thomas Joseph</t>
  </si>
  <si>
    <t>367228</t>
  </si>
  <si>
    <t>Stone, Mrs. George Nelson (Martha Evelyn)</t>
  </si>
  <si>
    <t>Yasbeck, Mrs. Antoni (Selini Alexander)</t>
  </si>
  <si>
    <t>Richards, Master. George Sibley</t>
  </si>
  <si>
    <t>Saad, Mr. Amin</t>
  </si>
  <si>
    <t>2671</t>
  </si>
  <si>
    <t>Augustsson, Mr. Albert</t>
  </si>
  <si>
    <t>347468</t>
  </si>
  <si>
    <t>Allum, Mr. Owen George</t>
  </si>
  <si>
    <t>2223</t>
  </si>
  <si>
    <t>Compton, Miss. Sara Rebecca</t>
  </si>
  <si>
    <t>PC 17756</t>
  </si>
  <si>
    <t>E49</t>
  </si>
  <si>
    <t>Pasic, Mr. Jakob</t>
  </si>
  <si>
    <t>315097</t>
  </si>
  <si>
    <t>Sirota, Mr. Maurice</t>
  </si>
  <si>
    <t>392092</t>
  </si>
  <si>
    <t>Chip, Mr. Chang</t>
  </si>
  <si>
    <t>Marechal, Mr. Pierre</t>
  </si>
  <si>
    <t>11774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</si>
  <si>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</si>
  <si>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</si>
  <si>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</si>
  <si>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</si>
  <si>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</si>
  <si>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</si>
  <si>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2683</t>
  </si>
  <si>
    <t>Culumovic, Mr. Jeso</t>
  </si>
  <si>
    <t>315090</t>
  </si>
  <si>
    <t>Abbing, Mr. Anthony</t>
  </si>
  <si>
    <t>C.A. 5547</t>
  </si>
  <si>
    <t>Sage, Mr. Douglas Bullen</t>
  </si>
  <si>
    <t>Markoff, Mr. Marin</t>
  </si>
  <si>
    <t>349213</t>
  </si>
  <si>
    <t>Harper, Rev. John</t>
  </si>
  <si>
    <t>Goldenberg, Mrs. Samuel L (Edwiga Grabowska)</t>
  </si>
  <si>
    <t>Andersson, Master. Sigvard Harald Elias</t>
  </si>
  <si>
    <t>Svensson, Mr. Johan</t>
  </si>
  <si>
    <t>347060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</si>
  <si>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</si>
  <si>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</si>
  <si>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</si>
  <si>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</si>
  <si>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</si>
  <si>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</si>
  <si>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392091</t>
  </si>
  <si>
    <t>Wick, Mrs. George Dennick (Mary Hitchcock)</t>
  </si>
  <si>
    <t xml:space="preserve">Daly, Mr. Peter Denis </t>
  </si>
  <si>
    <t>113055</t>
  </si>
  <si>
    <t>E17</t>
  </si>
  <si>
    <t>Baclini, Mrs. Solomon (Latifa Qurban)</t>
  </si>
  <si>
    <t>Razi, Mr. Raihed</t>
  </si>
  <si>
    <t>2629</t>
  </si>
  <si>
    <t>Hansen, Mr. Claus Peter</t>
  </si>
  <si>
    <t>350026</t>
  </si>
  <si>
    <t>Giles, Mr. Frederick Edward</t>
  </si>
  <si>
    <t>28134</t>
  </si>
  <si>
    <t>Swift, Mrs. Frederick Joel (Margaret Welles Barron)</t>
  </si>
  <si>
    <t>17466</t>
  </si>
  <si>
    <t>Sage, Miss. Dorothy Edith "Dolly"</t>
  </si>
  <si>
    <t>Gill, Mr. John William</t>
  </si>
  <si>
    <t>233866</t>
  </si>
  <si>
    <t>Bystrom, Mrs. (Karolina)</t>
  </si>
  <si>
    <t>236852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</si>
  <si>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</si>
  <si>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</si>
  <si>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</si>
  <si>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</si>
  <si>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</si>
  <si>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</si>
  <si>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345777</t>
  </si>
  <si>
    <t>Johnson, Master. Harold Theodor</t>
  </si>
  <si>
    <t>Balkic, Mr. Cerin</t>
  </si>
  <si>
    <t>349248</t>
  </si>
  <si>
    <t>Beckwith, Mrs. Richard Leonard (Sallie Monypeny)</t>
  </si>
  <si>
    <t>Carlsson, Mr. Frans Olof</t>
  </si>
  <si>
    <t>695</t>
  </si>
  <si>
    <t>Vander Cruyssen, Mr. Victor</t>
  </si>
  <si>
    <t>345765</t>
  </si>
  <si>
    <t>Abelson, Mrs. Samuel (Hannah Wizosky)</t>
  </si>
  <si>
    <t>Najib, Miss. Adele Kiamie "Jane"</t>
  </si>
  <si>
    <t>2667</t>
  </si>
  <si>
    <t>Gustafsson, Mr. Alfred Ossian</t>
  </si>
  <si>
    <t>Petroff, Mr. Nedelio</t>
  </si>
  <si>
    <t>349212</t>
  </si>
  <si>
    <t>Laleff, Mr. Kristo</t>
  </si>
  <si>
    <t>349217</t>
  </si>
  <si>
    <t>Potter, Mrs. Thomas Jr (Lily Alexenia Wilson)</t>
  </si>
  <si>
    <t>C50</t>
  </si>
  <si>
    <t>Shelley, Mrs. William (Imanita Parrish Hall)</t>
  </si>
  <si>
    <t>Markun, Mr. Johann</t>
  </si>
  <si>
    <t>349257</t>
  </si>
  <si>
    <t>Dahlberg, Miss. Gerda Ulrika</t>
  </si>
  <si>
    <t>7552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</si>
  <si>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</si>
  <si>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</si>
  <si>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</si>
  <si>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</si>
  <si>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</si>
  <si>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</si>
  <si>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211536</t>
  </si>
  <si>
    <t>Graham, Miss. Margaret Edith</t>
  </si>
  <si>
    <t>112053</t>
  </si>
  <si>
    <t>B42</t>
  </si>
  <si>
    <t>Johnston, Miss. Catherine Helen "Carrie"</t>
  </si>
  <si>
    <t>Behr, Mr. Karl Howell</t>
  </si>
  <si>
    <t>111369</t>
  </si>
  <si>
    <t>C148</t>
  </si>
  <si>
    <t>Dooley, Mr. Patrick</t>
  </si>
  <si>
    <t>370376</t>
  </si>
  <si>
    <t>欠損値の数</t>
    <rPh sb="0" eb="3">
      <t>ケッソンチ</t>
    </rPh>
    <rPh sb="4" eb="5">
      <t>カズ</t>
    </rPh>
    <phoneticPr fontId="1"/>
  </si>
  <si>
    <t>Age</t>
    <phoneticPr fontId="1"/>
  </si>
  <si>
    <t>Cabin</t>
    <phoneticPr fontId="1"/>
  </si>
  <si>
    <t>Fare</t>
    <phoneticPr fontId="1"/>
  </si>
  <si>
    <t>Enbarked</t>
    <phoneticPr fontId="1"/>
  </si>
  <si>
    <t>330911</t>
  </si>
  <si>
    <t>Wilkes, Mrs. James (Ellen Needs)</t>
  </si>
  <si>
    <t>363272</t>
  </si>
  <si>
    <t>Myles, Mr. Thomas Francis</t>
  </si>
  <si>
    <t>240276</t>
  </si>
  <si>
    <t>Wirz, Mr. Albert</t>
  </si>
  <si>
    <t>315154</t>
  </si>
  <si>
    <t>Hirvonen, Mrs. Alexander (Helga E Lindqvist)</t>
  </si>
  <si>
    <t>Svensson, Mr. Johan Cervin</t>
  </si>
  <si>
    <t>7538</t>
  </si>
  <si>
    <t>330972</t>
  </si>
  <si>
    <t>Caldwell, Mr. Albert Francis</t>
  </si>
  <si>
    <t>Abrahim, Mrs. Joseph (Sophie Halaut Easu)</t>
  </si>
  <si>
    <t>2657</t>
  </si>
  <si>
    <t>Davies, Mr. John Samuel</t>
  </si>
  <si>
    <t>Ilieff, Mr. Ylio</t>
  </si>
  <si>
    <t>349220</t>
  </si>
  <si>
    <t>Jones, Mr. Charles Cresson</t>
  </si>
  <si>
    <t>694</t>
  </si>
  <si>
    <t>Snyder, Mrs. John Pillsbury (Nelle Stevenson)</t>
  </si>
  <si>
    <t>21228</t>
  </si>
  <si>
    <t>B45</t>
  </si>
  <si>
    <t>Howard, Mr. Benjamin</t>
  </si>
  <si>
    <t>24065</t>
  </si>
  <si>
    <t>Chaffee, Mrs. Herbert Fuller (Carrie Constance Toogood)</t>
  </si>
  <si>
    <t>del Carlo, Mrs. Sebastiano (Argenia Genovesi)</t>
  </si>
  <si>
    <t>Keane, Mr. Daniel</t>
  </si>
  <si>
    <t>233734</t>
  </si>
  <si>
    <t>Assaf, Mr. Gerios</t>
  </si>
  <si>
    <t>2692</t>
  </si>
  <si>
    <t>Ilmakangas, Miss. Ida Livija</t>
  </si>
  <si>
    <t>STON/O2. 3101270</t>
  </si>
  <si>
    <t>Assaf Khalil, Mrs. Mariana (Miriam")"</t>
  </si>
  <si>
    <t>2696</t>
  </si>
  <si>
    <t>Rothschild, Mr. Martin</t>
  </si>
  <si>
    <t>Olsen, Master. Artur Karl</t>
  </si>
  <si>
    <t>C 17368</t>
  </si>
  <si>
    <t>Flegenheim, Mrs. Alfred (Antoinette)</t>
  </si>
  <si>
    <t>PC 17598</t>
  </si>
  <si>
    <t>Williams, Mr. Richard Norris II</t>
  </si>
  <si>
    <t>Ryerson, Mrs. Arthur Larned (Emily Maria Borie)</t>
  </si>
  <si>
    <t>Robins, Mr. Alexander A</t>
  </si>
  <si>
    <t>Ostby, Miss. Helene Ragnhild</t>
  </si>
  <si>
    <t>B36</t>
  </si>
  <si>
    <t>Daher, Mr. Shedid</t>
  </si>
  <si>
    <t>2698</t>
  </si>
  <si>
    <t>Brady, Mr. John Bertram</t>
  </si>
  <si>
    <t>113054</t>
  </si>
  <si>
    <t>A21</t>
  </si>
  <si>
    <t>Samaan, Mr. Elias</t>
  </si>
  <si>
    <t>Louch, Mr. Charles Alexander</t>
  </si>
  <si>
    <t>Jefferys, Mr. Clifford Thomas</t>
  </si>
  <si>
    <t>C.A. 31029</t>
  </si>
  <si>
    <t>Dean, Mrs. Bertram (Eva Georgetta Light)</t>
  </si>
  <si>
    <t>Johnston, Mrs. Andrew G (Elizabeth Lily" Watson)"</t>
  </si>
  <si>
    <t>Mock, Mr. Philipp Edmund</t>
  </si>
  <si>
    <t>13236</t>
  </si>
  <si>
    <t>Katavelas, Mr. Vassilios (Catavelas Vassilios")"</t>
  </si>
  <si>
    <t>2682</t>
  </si>
  <si>
    <t>Roth, Miss. Sarah A</t>
  </si>
  <si>
    <t>342712</t>
  </si>
  <si>
    <t>Cacic, Miss. Manda</t>
  </si>
  <si>
    <t>315087</t>
  </si>
  <si>
    <t>Sap, Mr. Julius</t>
  </si>
  <si>
    <t>345768</t>
  </si>
  <si>
    <t>Hee, Mr. Ling</t>
  </si>
  <si>
    <t>Karun, Mr. Franz</t>
  </si>
  <si>
    <t>Franklin, Mr. Thomas Parham</t>
  </si>
  <si>
    <t>113778</t>
  </si>
  <si>
    <t>D34</t>
  </si>
  <si>
    <t>Goldsmith, Mr. Nathan</t>
  </si>
  <si>
    <t>SOTON/O.Q. 3101263</t>
  </si>
  <si>
    <t>Corbett, Mrs. Walter H (Irene Colvin)</t>
  </si>
  <si>
    <t>237249</t>
  </si>
  <si>
    <t>Kimball, Mrs. Edwin Nelson Jr (Gertrude Parsons)</t>
  </si>
  <si>
    <t>Peltomaki, Mr. Nikolai Johannes</t>
  </si>
  <si>
    <t>STON/O 2. 3101291</t>
  </si>
  <si>
    <t>Chevre, Mr. Paul Romaine</t>
  </si>
  <si>
    <t>PC 17594</t>
  </si>
  <si>
    <t>A9</t>
  </si>
  <si>
    <t>Shaughnessy, Mr. Patrick</t>
  </si>
  <si>
    <t>370374</t>
  </si>
  <si>
    <t>Bucknell, Mrs. William Robert (Emma Eliza Ward)</t>
  </si>
  <si>
    <t>Coutts, Mrs. William (Winnie Minnie" Treanor)"</t>
  </si>
  <si>
    <t>Smith, Mr. Lucien Philip</t>
  </si>
  <si>
    <t>13695</t>
  </si>
  <si>
    <t>C31</t>
  </si>
  <si>
    <t>Pulbaum, Mr. Franz</t>
  </si>
  <si>
    <t>SC/PARIS 2168</t>
  </si>
  <si>
    <t>Hocking, Miss. Ellen Nellie""</t>
  </si>
  <si>
    <t>Fortune, Miss. Ethel Flora</t>
  </si>
  <si>
    <t>Mangiavacchi, Mr. Serafino Emilio</t>
  </si>
  <si>
    <t>SC/A.3 2861</t>
  </si>
  <si>
    <t>Rice, Master. Albert</t>
  </si>
  <si>
    <t>Cor, Mr. Bartol</t>
  </si>
  <si>
    <t>349230</t>
  </si>
  <si>
    <t>Abelseth, Mr. Olaus Jorgensen</t>
  </si>
  <si>
    <t>348122</t>
  </si>
  <si>
    <t>Davison, Mr. Thomas Henry</t>
  </si>
  <si>
    <t>Chaudanson, Miss. Victorine</t>
  </si>
  <si>
    <t>B61</t>
  </si>
  <si>
    <t>Dika, Mr. Mirko</t>
  </si>
  <si>
    <t>349232</t>
  </si>
  <si>
    <t>McCrae, Mr. Arthur Gordon</t>
  </si>
  <si>
    <t>237216</t>
  </si>
  <si>
    <t>Bjorklund, Mr. Ernst Herbert</t>
  </si>
  <si>
    <t>347090</t>
  </si>
  <si>
    <t>Bradley, Miss. Bridget Delia</t>
  </si>
  <si>
    <t>334914</t>
  </si>
  <si>
    <t>Ryerson, Master. John Borie</t>
  </si>
  <si>
    <t>Corey, Mrs. Percy C (Mary Phyllis Elizabeth Miller)</t>
  </si>
  <si>
    <t>F.C.C. 13534</t>
  </si>
  <si>
    <t>Burns, Miss. Mary Delia</t>
  </si>
  <si>
    <t>330963</t>
  </si>
  <si>
    <t>Moore, Mr. Clarence Bloomfield</t>
  </si>
  <si>
    <t>Tucker, Mr. Gilbert Milligan Jr</t>
  </si>
  <si>
    <t>2543</t>
  </si>
  <si>
    <t>C53</t>
  </si>
  <si>
    <t>Fortune, Mrs. Mark (Mary McDougald)</t>
  </si>
  <si>
    <t>Mulvihill, Miss. Bertha E</t>
  </si>
  <si>
    <t>382653</t>
  </si>
  <si>
    <t>Minkoff, Mr. Lazar</t>
  </si>
  <si>
    <t>349211</t>
  </si>
  <si>
    <t>Nieminen, Miss. Manta Josefina</t>
  </si>
  <si>
    <t>3101297</t>
  </si>
  <si>
    <t>Ovies y Rodriguez, Mr. Servando</t>
  </si>
  <si>
    <t>PC 17562</t>
  </si>
  <si>
    <t>D43</t>
  </si>
  <si>
    <t>Geiger, Miss. Amalie</t>
  </si>
  <si>
    <t>C130</t>
  </si>
  <si>
    <t>Keeping, Mr. Edwin</t>
  </si>
  <si>
    <t>C132</t>
  </si>
  <si>
    <t>Miles, Mr. Frank</t>
  </si>
  <si>
    <t>359306</t>
  </si>
  <si>
    <t>Cornell, Mrs. Robert Clifford (Malvina Helen Lamson)</t>
  </si>
  <si>
    <t>11770</t>
  </si>
  <si>
    <t>Aldworth, Mr. Charles Augustus</t>
  </si>
  <si>
    <t>248744</t>
  </si>
  <si>
    <t>Doyle, Miss. Elizabeth</t>
  </si>
  <si>
    <t>368702</t>
  </si>
  <si>
    <t>Boulos, Master. Akar</t>
  </si>
  <si>
    <t>Straus, Mr. Isidor</t>
  </si>
  <si>
    <t>C55 C57</t>
  </si>
  <si>
    <t>Case, Mr. Howard Brown</t>
  </si>
  <si>
    <t>19924</t>
  </si>
  <si>
    <t>Demetri, Mr. Marinko</t>
  </si>
  <si>
    <t>349238</t>
  </si>
  <si>
    <t>Lamb, Mr. John Joseph</t>
  </si>
  <si>
    <t>240261</t>
  </si>
  <si>
    <t>Khalil, Mr. Betros</t>
  </si>
  <si>
    <t>2660</t>
  </si>
  <si>
    <t>Barry, Miss. Julia</t>
  </si>
  <si>
    <t>330844</t>
  </si>
  <si>
    <t>Badman, Miss. Emily Louisa</t>
  </si>
  <si>
    <t>A/4 31416</t>
  </si>
  <si>
    <t>O'Donoghue, Ms. Bridget</t>
  </si>
  <si>
    <t>364856</t>
  </si>
  <si>
    <t>Wells, Master. Ralph Lester</t>
  </si>
  <si>
    <t>Dyker, Mrs. Adolf Fredrik (Anna Elisabeth Judith Andersson)</t>
  </si>
  <si>
    <t>347072</t>
  </si>
  <si>
    <t>Pedersen, Mr. Olaf</t>
  </si>
  <si>
    <t>345498</t>
  </si>
  <si>
    <t>Davidson, Mrs. Thornton (Orian Hays)</t>
  </si>
  <si>
    <t>Guest, Mr. Robert</t>
  </si>
  <si>
    <t>376563</t>
  </si>
  <si>
    <t>Birnbaum, Mr. Jakob</t>
  </si>
  <si>
    <t>13905</t>
  </si>
  <si>
    <t>Tenglin, Mr. Gunnar Isidor</t>
  </si>
  <si>
    <t>350033</t>
  </si>
  <si>
    <t>Cavendish, Mrs. Tyrell William (Julia Florence Siegel)</t>
  </si>
  <si>
    <t>Makinen, Mr. Kalle Edvard</t>
  </si>
  <si>
    <t>STON/O 2. 3101268</t>
  </si>
  <si>
    <t>Braf, Miss. Elin Ester Maria</t>
  </si>
  <si>
    <t>347471</t>
  </si>
  <si>
    <t>Nancarrow, Mr. William Henry</t>
  </si>
  <si>
    <t>A./5. 3338</t>
  </si>
  <si>
    <t>Stengel, Mrs. Charles Emil Henry (Annie May Morris)</t>
  </si>
  <si>
    <t>11778</t>
  </si>
  <si>
    <t>C116</t>
  </si>
  <si>
    <t>Weisz, Mr. Leopold</t>
  </si>
  <si>
    <t>Foley, Mr. William</t>
  </si>
  <si>
    <t>365235</t>
  </si>
  <si>
    <t>Johansson Palmquist, Mr. Oskar Leander</t>
  </si>
  <si>
    <t>347070</t>
  </si>
  <si>
    <t>Thomas, Mrs. Alexander (Thamine Thelma")"</t>
  </si>
  <si>
    <t>Holthen, Mr. Johan Martin</t>
  </si>
  <si>
    <t>Buckley, Mr. Daniel</t>
  </si>
  <si>
    <t>330920</t>
  </si>
  <si>
    <t>Ryan, Mr. Edward</t>
  </si>
  <si>
    <t>383162</t>
  </si>
  <si>
    <t>Willer, Mr. Aaron (Abi Weller")"</t>
  </si>
  <si>
    <t>3410</t>
  </si>
  <si>
    <t>Swane, Mr. George</t>
  </si>
  <si>
    <t>248734</t>
  </si>
  <si>
    <t>F</t>
  </si>
  <si>
    <t>Stanton, Mr. Samuel Ward</t>
  </si>
  <si>
    <t>237734</t>
  </si>
  <si>
    <t>Shine, Miss. Ellen Natalia</t>
  </si>
  <si>
    <t>330968</t>
  </si>
  <si>
    <t>Evans, Miss. Edith Corse</t>
  </si>
  <si>
    <t>PC 17531</t>
  </si>
  <si>
    <t>A29</t>
  </si>
  <si>
    <t>Buckley, Miss. Katherine</t>
  </si>
  <si>
    <t>329944</t>
  </si>
  <si>
    <t>Straus, Mrs. Isidor (Rosalie Ida Blun)</t>
  </si>
  <si>
    <t>Chronopoulos, Mr. Demetrios</t>
  </si>
  <si>
    <t>Thomas, Mr. John</t>
  </si>
  <si>
    <t>2681</t>
  </si>
  <si>
    <t>Sandstrom, Miss. Beatrice Irene</t>
  </si>
  <si>
    <t>Beattie, Mr. Thomson</t>
  </si>
  <si>
    <t>13050</t>
  </si>
  <si>
    <t>C6</t>
  </si>
  <si>
    <t>Chapman, Mrs. John Henry (Sara Elizabeth Lawry)</t>
  </si>
  <si>
    <t>Watt, Miss. Bertha J</t>
  </si>
  <si>
    <t>Kiernan, Mr. John</t>
  </si>
  <si>
    <t>367227</t>
  </si>
  <si>
    <t>Schabert, Mrs. Paul (Emma Mock)</t>
  </si>
  <si>
    <t>C28</t>
  </si>
  <si>
    <t>Carver, Mr. Alfred John</t>
  </si>
  <si>
    <t>392095</t>
  </si>
  <si>
    <t>Kennedy, Mr. John</t>
  </si>
  <si>
    <t>368783</t>
  </si>
  <si>
    <t>Cribb, Miss. Laura Alice</t>
  </si>
  <si>
    <t>Brobeck, Mr. Karl Rudolf</t>
  </si>
  <si>
    <t>350045</t>
  </si>
  <si>
    <t>McCoy, Miss. Alicia</t>
  </si>
  <si>
    <t>Bowenur, Mr. Solomon</t>
  </si>
  <si>
    <t>211535</t>
  </si>
  <si>
    <t>Petersen, Mr. Marius</t>
  </si>
  <si>
    <t>342441</t>
  </si>
  <si>
    <t>Spinner, Mr. Henry John</t>
  </si>
  <si>
    <t>STON/OQ. 369943</t>
  </si>
  <si>
    <t>Gracie, Col. Archibald IV</t>
  </si>
  <si>
    <t>113780</t>
  </si>
  <si>
    <t>C51</t>
  </si>
  <si>
    <t>Lefebre, Mrs. Frank (Frances)</t>
  </si>
  <si>
    <t>Thomas, Mr. Charles P</t>
  </si>
  <si>
    <t>2621</t>
  </si>
  <si>
    <t>Dintcheff, Mr. Valtcho</t>
  </si>
  <si>
    <t>349226</t>
  </si>
  <si>
    <t>Carlsson, Mr. Carl Robert</t>
  </si>
  <si>
    <t>350409</t>
  </si>
  <si>
    <t>Zakarian, Mr. Mapriededer</t>
  </si>
  <si>
    <t>2656</t>
  </si>
  <si>
    <t>Schmidt, Mr. August</t>
  </si>
  <si>
    <t>248659</t>
  </si>
  <si>
    <t>Drapkin, Miss. Jennie</t>
  </si>
  <si>
    <t>SOTON/OQ 392083</t>
  </si>
  <si>
    <t>Goodwin, Mr. Charles Frederick</t>
  </si>
  <si>
    <t>Goodwin, Miss. Jessie Allis</t>
  </si>
  <si>
    <t>Daniels, Miss. Sarah</t>
  </si>
  <si>
    <t>Ryerson, Mr. Arthur Larned</t>
  </si>
  <si>
    <t>Beauchamp, Mr. Henry James</t>
  </si>
  <si>
    <t>Lindeberg-Lind, Mr. Erik Gustaf (Mr Edward Lingrey")"</t>
  </si>
  <si>
    <t>17475</t>
  </si>
  <si>
    <t>Vander Planke, Mr. Julius</t>
  </si>
  <si>
    <t>Hilliard, Mr. Herbert Henry</t>
  </si>
  <si>
    <t>Davies, Mr. Evan</t>
  </si>
  <si>
    <t>SC/A4 23568</t>
  </si>
  <si>
    <t>Crafton, Mr. John Bertram</t>
  </si>
  <si>
    <t>113791</t>
  </si>
  <si>
    <t>Lahtinen, Rev. William</t>
  </si>
  <si>
    <t>Earnshaw, Mrs. Boulton (Olive Potter)</t>
  </si>
  <si>
    <t>Matinoff, Mr. Nicola</t>
  </si>
  <si>
    <t>349255</t>
  </si>
  <si>
    <t>Storey, Mr. Thomas</t>
  </si>
  <si>
    <t>3701</t>
  </si>
  <si>
    <t>Klasen, Mrs. (Hulda Kristina Eugenia Lofqvist)</t>
  </si>
  <si>
    <t>350405</t>
  </si>
  <si>
    <t>Asplund, Master. Filip Oscar</t>
  </si>
  <si>
    <t>Duquemin, Mr. Joseph</t>
  </si>
  <si>
    <t>S.O./P.P. 752</t>
  </si>
  <si>
    <t>Bird, Miss. Ellen</t>
  </si>
  <si>
    <t>C97</t>
  </si>
  <si>
    <t>Lundin, Miss. Olga Elida</t>
  </si>
  <si>
    <t>347469</t>
  </si>
  <si>
    <t>Borebank, Mr. John James</t>
  </si>
  <si>
    <t>110489</t>
  </si>
  <si>
    <t>D22</t>
  </si>
  <si>
    <t>Peacock, Mrs. Benjamin (Edith Nile)</t>
  </si>
  <si>
    <t>SOTON/O.Q. 3101315</t>
  </si>
  <si>
    <t>Smyth, Miss. Julia</t>
  </si>
  <si>
    <t>335432</t>
  </si>
  <si>
    <t>Touma, Master. Georges Youssef</t>
  </si>
  <si>
    <t>Wright, Miss. Marion</t>
  </si>
  <si>
    <t>220844</t>
  </si>
  <si>
    <t>Pearce, Mr. Ernest</t>
  </si>
  <si>
    <t>343271</t>
  </si>
  <si>
    <t>Peruschitz, Rev. Joseph Maria</t>
  </si>
  <si>
    <t>237393</t>
  </si>
  <si>
    <t>Kink-Heilmann, Mrs. Anton (Luise Heilmann)</t>
  </si>
  <si>
    <t>Brandeis, Mr. Emil</t>
  </si>
  <si>
    <t>PC 17591</t>
  </si>
  <si>
    <t>B10</t>
  </si>
  <si>
    <t>Ford, Mr. Edward Watson</t>
  </si>
  <si>
    <t>Cassebeer, Mrs. Henry Arthur Jr (Eleanor Genevieve Fosdick)</t>
  </si>
  <si>
    <t>17770</t>
  </si>
  <si>
    <t>Hellstrom, Miss. Hilda Maria</t>
  </si>
  <si>
    <t>7548</t>
  </si>
  <si>
    <t>Lithman, Mr. Simon</t>
  </si>
  <si>
    <t>S.O./P.P. 251</t>
  </si>
  <si>
    <t>Zakarian, Mr. Ortin</t>
  </si>
  <si>
    <t>2670</t>
  </si>
  <si>
    <t>Dyker, Mr. Adolf Fredrik</t>
  </si>
  <si>
    <t>Torfa, Mr. Assad</t>
  </si>
  <si>
    <t>2673</t>
  </si>
  <si>
    <t>Asplund, Mr. Carl Oscar Vilhelm Gustafsson</t>
  </si>
  <si>
    <t>Brown, Miss. Edith Eileen</t>
  </si>
  <si>
    <t>Sincock, Miss. Maude</t>
  </si>
  <si>
    <t>Stengel, Mr. Charles Emil Henry</t>
  </si>
  <si>
    <t>Becker, Mrs. Allen Oliver (Nellie E Baumgardner)</t>
  </si>
  <si>
    <t>Compton, Mrs. Alexander Taylor (Mary Eliza Ingersoll)</t>
  </si>
  <si>
    <t>E45</t>
  </si>
  <si>
    <t>McCrie, Mr. James Matthew</t>
  </si>
  <si>
    <t>233478</t>
  </si>
  <si>
    <t>Compton, Mr. Alexander Taylor Jr</t>
  </si>
  <si>
    <t>E52</t>
  </si>
  <si>
    <t>Marvin, Mrs. Daniel Warner (Mary Graham Carmichael Farquarson)</t>
  </si>
  <si>
    <t>Lane, Mr. Patrick</t>
  </si>
  <si>
    <t>7935</t>
  </si>
  <si>
    <t>Douglas, Mrs. Frederick Charles (Mary Helene Baxter)</t>
  </si>
  <si>
    <t>Maybery, Mr. Frank Hubert</t>
  </si>
  <si>
    <t>239059</t>
  </si>
  <si>
    <t>Phillips, Miss. Alice Frances Louisa</t>
  </si>
  <si>
    <t>S.O./P.P. 2</t>
  </si>
  <si>
    <t>Davies, Mr. Joseph</t>
  </si>
  <si>
    <t>A/4 48873</t>
  </si>
  <si>
    <t>Sage, Miss. Ada</t>
  </si>
  <si>
    <t>Veal, Mr. James</t>
  </si>
  <si>
    <t>28221</t>
  </si>
  <si>
    <t>Angle, Mr. William A</t>
  </si>
  <si>
    <t>Salomon, Mr. Abraham L</t>
  </si>
  <si>
    <t>111163</t>
  </si>
  <si>
    <t>van Billiard, Master. Walter John</t>
  </si>
  <si>
    <t>Lingane, Mr. John</t>
  </si>
  <si>
    <t>235509</t>
  </si>
  <si>
    <t>Drew, Master. Marshall Brines</t>
  </si>
  <si>
    <t>Karlsson, Mr. Julius Konrad Eugen</t>
  </si>
  <si>
    <t>347465</t>
  </si>
  <si>
    <t>Spedden, Master. Robert Douglas</t>
  </si>
  <si>
    <t>Nilsson, Miss. Berta Olivia</t>
  </si>
  <si>
    <t>347066</t>
  </si>
  <si>
    <t>Baimbrigge, Mr. Charles Robert</t>
  </si>
  <si>
    <t>C.A. 31030</t>
  </si>
  <si>
    <t>Rasmussen, Mrs. (Lena Jacobsen Solvang)</t>
  </si>
  <si>
    <t>65305</t>
  </si>
  <si>
    <t>Murphy, Miss. Nora</t>
  </si>
  <si>
    <t>Danbom, Master. Gilbert Sigvard Emanuel</t>
  </si>
  <si>
    <t>Astor, Col. John Jacob</t>
  </si>
  <si>
    <t>Quick, Miss. Winifred Vera</t>
  </si>
  <si>
    <t>Andrew, Mr. Frank Thomas</t>
  </si>
  <si>
    <t>C.A. 34050</t>
  </si>
  <si>
    <t>Omont, Mr. Alfred Fernand</t>
  </si>
  <si>
    <t>F.C. 12998</t>
  </si>
  <si>
    <t>McGowan, Miss. Katherine</t>
  </si>
  <si>
    <t>9232</t>
  </si>
  <si>
    <t>Collett, Mr. Sidney C Stuart</t>
  </si>
  <si>
    <t>28034</t>
  </si>
  <si>
    <t>Rosenbaum, Miss. Edith Louise</t>
  </si>
  <si>
    <t>PC 17613</t>
  </si>
  <si>
    <t>A11</t>
  </si>
  <si>
    <t>Delalic, Mr. Redjo</t>
  </si>
  <si>
    <t>349250</t>
  </si>
  <si>
    <t>Andersen, Mr. Albert Karvin</t>
  </si>
  <si>
    <t>Finoli, Mr. Luigi</t>
  </si>
  <si>
    <t>SOTON/O.Q. 3101308</t>
  </si>
  <si>
    <t>Deacon, Mr. Percy William</t>
  </si>
  <si>
    <t>Howard, Mrs. Benjamin (Ellen Truelove Arman)</t>
  </si>
  <si>
    <t>Andersson, Miss. Ida Augusta Margareta</t>
  </si>
  <si>
    <t>347091</t>
  </si>
  <si>
    <t>Head, Mr. Christopher</t>
  </si>
  <si>
    <t>113038</t>
  </si>
  <si>
    <t>B11</t>
  </si>
  <si>
    <t>Mahon, Miss. Bridget Delia</t>
  </si>
  <si>
    <t>330924</t>
  </si>
  <si>
    <t>Wick, Mr. George Dennick</t>
  </si>
  <si>
    <t>Widener, Mrs. George Dunton (Eleanor Elkins)</t>
  </si>
  <si>
    <t>C80</t>
  </si>
  <si>
    <t>Thomson, Mr. Alexander Morrison</t>
  </si>
  <si>
    <t>32302</t>
  </si>
  <si>
    <t>Duran y More, Miss. Florentina</t>
  </si>
  <si>
    <t>SC/PARIS 2148</t>
  </si>
  <si>
    <t>Reynolds, Mr. Harold J</t>
  </si>
  <si>
    <t>342684</t>
  </si>
  <si>
    <t>Cook, Mrs. (Selena Rogers)</t>
  </si>
  <si>
    <t>W./C. 14266</t>
  </si>
  <si>
    <t>Karlsson, Mr. Einar Gervasius</t>
  </si>
  <si>
    <t>350053</t>
  </si>
  <si>
    <t>Candee, Mrs. Edward (Helen Churchill Hungerford)</t>
  </si>
  <si>
    <t>PC 17606</t>
  </si>
  <si>
    <t>Moubarek, Mrs. George (Omine Amenia" Alexander)"</t>
  </si>
  <si>
    <t>Asplund, Mr. Johan Charles</t>
  </si>
  <si>
    <t>350054</t>
  </si>
  <si>
    <t>McNeill, Miss. Bridget</t>
  </si>
  <si>
    <t>370368</t>
  </si>
  <si>
    <t>Everett, Mr. Thomas James</t>
  </si>
  <si>
    <t>Hocking, Mr. Samuel James Metcalfe</t>
  </si>
  <si>
    <t>242963</t>
  </si>
  <si>
    <t>Sweet, Mr. George Frederick</t>
  </si>
  <si>
    <t>Willard, Miss. Constance</t>
  </si>
  <si>
    <t>113795</t>
  </si>
  <si>
    <t>Wiklund, Mr. Karl Johan</t>
  </si>
  <si>
    <t>3101266</t>
  </si>
  <si>
    <t>Linehan, Mr. Michael</t>
  </si>
  <si>
    <t>330971</t>
  </si>
  <si>
    <t>Cumings, Mr. John Bradley</t>
  </si>
  <si>
    <t>Vendel, Mr. Olof Edvin</t>
  </si>
  <si>
    <t>350416</t>
  </si>
  <si>
    <t>Warren, Mr. Frank Manley</t>
  </si>
  <si>
    <t>Baccos, Mr. Raffull</t>
  </si>
  <si>
    <t>2679</t>
  </si>
  <si>
    <t>Hiltunen, Miss. Marta</t>
  </si>
  <si>
    <t>250650</t>
  </si>
  <si>
    <t>Douglas, Mrs. Walter Donald (Mahala Dutton)</t>
  </si>
  <si>
    <t>Lindstrom, Mrs. Carl Johan (Sigrid Posse)</t>
  </si>
  <si>
    <t>112377</t>
  </si>
  <si>
    <t>Christy, Mrs. (Alice Frances)</t>
  </si>
  <si>
    <t>Spedden, Mr. Frederic Oakley</t>
  </si>
  <si>
    <t>Hyman, Mr. Abraham</t>
  </si>
  <si>
    <t>3470</t>
  </si>
  <si>
    <t>Johnston, Master. William Arthur Willie""</t>
  </si>
  <si>
    <t>Kenyon, Mr. Frederick R</t>
  </si>
  <si>
    <t>Karnes, Mrs. J Frank (Claire Bennett)</t>
  </si>
  <si>
    <t>Drew, Mr. James Vivian</t>
  </si>
  <si>
    <t>Hold, Mrs. Stephen (Annie Margaret Hill)</t>
  </si>
  <si>
    <t>Khalil, Mrs. Betros (Zahie Maria" Elias)"</t>
  </si>
  <si>
    <t>West, Miss. Barbara J</t>
  </si>
  <si>
    <t>Abrahamsson, Mr. Abraham August Johannes</t>
  </si>
  <si>
    <t>SOTON/O2 3101284</t>
  </si>
  <si>
    <t>Clark, Mr. Walter Miller</t>
  </si>
  <si>
    <t>13508</t>
  </si>
  <si>
    <t>C89</t>
  </si>
  <si>
    <t>Salander, Mr. Karl Johan</t>
  </si>
  <si>
    <t>7266</t>
  </si>
  <si>
    <t>Wenzel, Mr. Linhart</t>
  </si>
  <si>
    <t>345775</t>
  </si>
  <si>
    <t>MacKay, Mr. George William</t>
  </si>
  <si>
    <t>C.A. 42795</t>
  </si>
  <si>
    <t>Mahon, Mr. John</t>
  </si>
  <si>
    <t>AQ/4 3130</t>
  </si>
  <si>
    <t>Niklasson, Mr. Samuel</t>
  </si>
  <si>
    <t>363611</t>
  </si>
  <si>
    <t>Bentham, Miss. Lilian W</t>
  </si>
  <si>
    <t>28404</t>
  </si>
  <si>
    <t>Midtsjo, Mr. Karl Albert</t>
  </si>
  <si>
    <t>345501</t>
  </si>
  <si>
    <t>de Messemaeker, Mr. Guillaume Joseph</t>
  </si>
  <si>
    <t>Nilsson, Mr. August Ferdinand</t>
  </si>
  <si>
    <t>350410</t>
  </si>
  <si>
    <t>Wells, Mrs. Arthur Henry (Addie" Dart Trevaskis)"</t>
  </si>
  <si>
    <t>Klasen, Miss. Gertrud Emilia</t>
  </si>
  <si>
    <t>Portaluppi, Mr. Emilio Ilario Giuseppe</t>
  </si>
  <si>
    <t>C.A. 34644</t>
  </si>
  <si>
    <t>Lyntakoff, Mr. Stanko</t>
  </si>
  <si>
    <t>349235</t>
  </si>
  <si>
    <t>Chisholm, Mr. Roderick Robert Crispin</t>
  </si>
  <si>
    <t>112051</t>
  </si>
  <si>
    <t>Warren, Mr. Charles William</t>
  </si>
  <si>
    <t>C.A. 49867</t>
  </si>
  <si>
    <t>Howard, Miss. May Elizabeth</t>
  </si>
  <si>
    <t>A. 2. 39186</t>
  </si>
  <si>
    <t>Pokrnic, Mr. Mate</t>
  </si>
  <si>
    <t>315095</t>
  </si>
  <si>
    <t>McCaffry, Mr. Thomas Francis</t>
  </si>
  <si>
    <t>Fox, Mr. Patrick</t>
  </si>
  <si>
    <t>368573</t>
  </si>
  <si>
    <t>Clark, Mrs. Walter Miller (Virginia McDowell)</t>
  </si>
  <si>
    <t>Lennon, Miss. Mary</t>
  </si>
  <si>
    <t>Saade, Mr. Jean Nassr</t>
  </si>
  <si>
    <t>2676</t>
  </si>
  <si>
    <t xml:space="preserve">Bryhl, Miss. Dagmar Jenny Ingeborg </t>
  </si>
  <si>
    <t>Parker, Mr. Clifford Richard</t>
  </si>
  <si>
    <t>SC 14888</t>
  </si>
  <si>
    <t>Faunthorpe, Mr. Harry</t>
  </si>
  <si>
    <t>Ware, Mr. John James</t>
  </si>
  <si>
    <t>CA 31352</t>
  </si>
  <si>
    <t>Oxenham, Mr. Percy Thomas</t>
  </si>
  <si>
    <t>W./C. 14260</t>
  </si>
  <si>
    <t>Oreskovic, Miss. Jelka</t>
  </si>
  <si>
    <t>315085</t>
  </si>
  <si>
    <t>Peacock, Master. Alfred Edward</t>
  </si>
  <si>
    <t>Fleming, Miss. Honora</t>
  </si>
  <si>
    <t>364859</t>
  </si>
  <si>
    <t>Touma, Miss. Maria Youssef</t>
  </si>
  <si>
    <t>Rosblom, Miss. Salli Helena</t>
  </si>
  <si>
    <t>Dennis, Mr. William</t>
  </si>
  <si>
    <t>A/5 21175</t>
  </si>
  <si>
    <t>Franklin, Mr. Charles (Charles Fardon)</t>
  </si>
  <si>
    <t>SOTON/O.Q. 3101314</t>
  </si>
  <si>
    <t>Snyder, Mr. John Pillsbury</t>
  </si>
  <si>
    <t>Mardirosian, Mr. Sarkis</t>
  </si>
  <si>
    <t>2655</t>
  </si>
  <si>
    <t>F E46</t>
  </si>
  <si>
    <t>Ford, Mr. Arthur</t>
  </si>
  <si>
    <t>A/5 1478</t>
  </si>
  <si>
    <t>Rheims, Mr. George Alexander Lucien</t>
  </si>
  <si>
    <t>PC 17607</t>
  </si>
  <si>
    <t>Daly, Miss. Margaret Marcella Maggie""</t>
  </si>
  <si>
    <t>382650</t>
  </si>
  <si>
    <t>Nasr, Mr. Mustafa</t>
  </si>
  <si>
    <t>2652</t>
  </si>
  <si>
    <t>Dodge, Dr. Washington</t>
  </si>
  <si>
    <t>Wittevrongel, Mr. Camille</t>
  </si>
  <si>
    <t>345771</t>
  </si>
  <si>
    <t>Angheloff, Mr. Minko</t>
  </si>
  <si>
    <t>349202</t>
  </si>
  <si>
    <t>Laroche, Miss. Louise</t>
  </si>
  <si>
    <t>Samaan, Mr. Hanna</t>
  </si>
  <si>
    <t>Loring, Mr. Joseph Holland</t>
  </si>
  <si>
    <t>113801</t>
  </si>
  <si>
    <t>Johansson, Mr. Nils</t>
  </si>
  <si>
    <t>347467</t>
  </si>
  <si>
    <t>Olsson, Mr. Oscar Wilhelm</t>
  </si>
  <si>
    <t>347079</t>
  </si>
  <si>
    <t>Malachard, Mr. Noel</t>
  </si>
  <si>
    <t>237735</t>
  </si>
  <si>
    <t>Phillips, Mr. Escott Robert</t>
  </si>
  <si>
    <t>Pokrnic, Mr. Tome</t>
  </si>
  <si>
    <t>315092</t>
  </si>
  <si>
    <t>McCarthy, Miss. Catherine Katie""</t>
  </si>
  <si>
    <t>383123</t>
  </si>
  <si>
    <t>Crosby, Mrs. Edward Gifford (Catherine Elizabeth Halstead)</t>
  </si>
  <si>
    <t>112901</t>
  </si>
  <si>
    <t>B26</t>
  </si>
  <si>
    <t>Allison, Mr. Hudson Joshua Creighton</t>
  </si>
  <si>
    <t>Aks, Master. Philip Frank</t>
  </si>
  <si>
    <t>Hays, Mr. Charles Melville</t>
  </si>
  <si>
    <t>Hansen, Mrs. Claus Peter (Jennie L Howard)</t>
  </si>
  <si>
    <t>Cacic, Mr. Jego Grga</t>
  </si>
  <si>
    <t>315091</t>
  </si>
  <si>
    <t>Vartanian, Mr. David</t>
  </si>
  <si>
    <t>2658</t>
  </si>
  <si>
    <t>Sadowitz, Mr. Harry</t>
  </si>
  <si>
    <t>LP 1588</t>
  </si>
  <si>
    <t>Carr, Miss. Jeannie</t>
  </si>
  <si>
    <t>368364</t>
  </si>
  <si>
    <t>White, Mrs. John Stuart (Ella Holmes)</t>
  </si>
  <si>
    <t>Hagardon, Miss. Kate</t>
  </si>
  <si>
    <t>AQ/3. 30631</t>
  </si>
  <si>
    <t>Spencer, Mr. William Augustus</t>
  </si>
  <si>
    <t>Rogers, Mr. Reginald Harry</t>
  </si>
  <si>
    <t>28004</t>
  </si>
  <si>
    <t>Jonsson, Mr. Nils Hilding</t>
  </si>
  <si>
    <t>350408</t>
  </si>
  <si>
    <t>Jefferys, Mr. Ernest Wilfred</t>
  </si>
  <si>
    <t>Andersson, Mr. Johan Samuel</t>
  </si>
  <si>
    <t>347075</t>
  </si>
  <si>
    <t>Krekorian, Mr. Neshan</t>
  </si>
  <si>
    <t>2654</t>
  </si>
  <si>
    <t>F E57</t>
  </si>
  <si>
    <t>Nesson, Mr. Israel</t>
  </si>
  <si>
    <t>244368</t>
  </si>
  <si>
    <t>Rowe, Mr. Alfred G</t>
  </si>
  <si>
    <t>113790</t>
  </si>
  <si>
    <t>Kreuchen, Miss. Emilie</t>
  </si>
  <si>
    <t>Assam, Mr. Ali</t>
  </si>
  <si>
    <t>SOTON/O.Q. 3101309</t>
  </si>
  <si>
    <t>Becker, Miss. Ruth Elizabeth</t>
  </si>
  <si>
    <t>Rosenshine, Mr. George (Mr George Thorne")"</t>
  </si>
  <si>
    <t>Clarke, Mr. Charles Valentine</t>
  </si>
  <si>
    <t>Enander, Mr. Ingvar</t>
  </si>
  <si>
    <t>236854</t>
  </si>
  <si>
    <t xml:space="preserve">Davies, Mrs. John Morgan (Elizabeth Agnes Mary White) </t>
  </si>
  <si>
    <t>Dulles, Mr. William Crothers</t>
  </si>
  <si>
    <t>PC 17580</t>
  </si>
  <si>
    <t>A18</t>
  </si>
  <si>
    <t>Thomas, Mr. Tannous</t>
  </si>
  <si>
    <t>2684</t>
  </si>
  <si>
    <t>Nakid, Mrs. Said (Waika Mary" Mowad)"</t>
  </si>
  <si>
    <t>Cor, Mr. Ivan</t>
  </si>
  <si>
    <t>349229</t>
  </si>
  <si>
    <t>Maguire, Mr. John Edward</t>
  </si>
  <si>
    <t>110469</t>
  </si>
  <si>
    <t>de Brito, Mr. Jose Joaquim</t>
  </si>
  <si>
    <t>244360</t>
  </si>
  <si>
    <t>Elias, Mr. Joseph</t>
  </si>
  <si>
    <t>2675</t>
  </si>
  <si>
    <t>Denbury, Mr. Herbert</t>
  </si>
  <si>
    <t>Betros, Master. Seman</t>
  </si>
  <si>
    <t>2622</t>
  </si>
  <si>
    <t>Fillbrook, Mr. Joseph Charles</t>
  </si>
  <si>
    <t>C.A. 15185</t>
  </si>
  <si>
    <t>Lundstrom, Mr. Thure Edvin</t>
  </si>
  <si>
    <t>350403</t>
  </si>
  <si>
    <t>Sage, Mr. John George</t>
  </si>
  <si>
    <t>Cardeza, Mrs. James Warburton Martinez (Charlotte Wardle Drake)</t>
  </si>
  <si>
    <t>van Billiard, Master. James William</t>
  </si>
  <si>
    <t>Abelseth, Miss. Karen Marie</t>
  </si>
  <si>
    <t>348125</t>
  </si>
  <si>
    <t>Botsford, Mr. William Hull</t>
  </si>
  <si>
    <t>237670</t>
  </si>
  <si>
    <t>Whabee, Mrs. George Joseph (Shawneene Abi-Saab)</t>
  </si>
  <si>
    <t>2688</t>
  </si>
  <si>
    <t>Giles, Mr. Ralph</t>
  </si>
  <si>
    <t>248726</t>
  </si>
  <si>
    <t>Walcroft, Miss. Nellie</t>
  </si>
  <si>
    <t>Greenfield, Mrs. Leo David (Blanche Strouse)</t>
  </si>
  <si>
    <t>Stokes, Mr. Philip Joseph</t>
  </si>
  <si>
    <t>F.C.C. 13540</t>
  </si>
  <si>
    <t>Dibden, Mr. William</t>
  </si>
  <si>
    <t>Herman, Mr. Samuel</t>
  </si>
  <si>
    <t>Dean, Miss. Elizabeth Gladys Millvina""</t>
  </si>
  <si>
    <t>Julian, Mr. Henry Forbes</t>
  </si>
  <si>
    <t>113044</t>
  </si>
  <si>
    <t>E60</t>
  </si>
  <si>
    <t>Brown, Mrs. John Murray (Caroline Lane Lamson)</t>
  </si>
  <si>
    <t>Lockyer, Mr. Edward</t>
  </si>
  <si>
    <t>1222</t>
  </si>
  <si>
    <t>O'Keefe, Mr. Patrick</t>
  </si>
  <si>
    <t>368402</t>
  </si>
  <si>
    <t>Lindell, Mrs. Edvard Bengtsson (Elin Gerda Persson)</t>
  </si>
  <si>
    <t>Sage, Master. William Henry</t>
  </si>
  <si>
    <t>Mallet, Mrs. Albert (Antoinette Magnin)</t>
  </si>
  <si>
    <t>Ware, Mrs. John James (Florence Louise Long)</t>
  </si>
  <si>
    <t>Strilic, Mr. Ivan</t>
  </si>
  <si>
    <t>315083</t>
  </si>
  <si>
    <t>Harder, Mrs. George Achilles (Dorothy Annan)</t>
  </si>
  <si>
    <t>Sage, Mrs. John (Annie Bullen)</t>
  </si>
  <si>
    <t>Caram, Mr. Joseph</t>
  </si>
  <si>
    <t>Riihivouri, Miss. Susanna Juhantytar Sanni""</t>
  </si>
  <si>
    <t>Gibson, Mrs. Leonard (Pauline C Boeson)</t>
  </si>
  <si>
    <t>112378</t>
  </si>
  <si>
    <t>Pallas y Castello, Mr. Emilio</t>
  </si>
  <si>
    <t>SC/PARIS 2147</t>
  </si>
  <si>
    <t>Giles, Mr. Edgar</t>
  </si>
  <si>
    <t>28133</t>
  </si>
  <si>
    <t>Wilson, Miss. Helen Alice</t>
  </si>
  <si>
    <t>E39 E41</t>
  </si>
  <si>
    <t>Ismay, Mr. Joseph Bruce</t>
  </si>
  <si>
    <t>B52 B54 B56</t>
  </si>
  <si>
    <t>Harbeck, Mr. William H</t>
  </si>
  <si>
    <t>248746</t>
  </si>
  <si>
    <t>Dodge, Mrs. Washington (Ruth Vidaver)</t>
  </si>
  <si>
    <t>Bowen, Miss. Grace Scott</t>
  </si>
  <si>
    <t>Kink, Miss. Maria</t>
  </si>
  <si>
    <t>315152</t>
  </si>
  <si>
    <t>Cotterill, Mr. Henry Harry""</t>
  </si>
  <si>
    <t>29107</t>
  </si>
  <si>
    <t>Hipkins, Mr. William Edward</t>
  </si>
  <si>
    <t>680</t>
  </si>
  <si>
    <t>C39</t>
  </si>
  <si>
    <t>Asplund, Master. Carl Edgar</t>
  </si>
  <si>
    <t>O'Connor, Mr. Patrick</t>
  </si>
  <si>
    <t>366713</t>
  </si>
  <si>
    <t>Foley, Mr. Joseph</t>
  </si>
  <si>
    <t>330910</t>
  </si>
  <si>
    <t>Risien, Mrs. Samuel (Emma)</t>
  </si>
  <si>
    <t>McNamee, Mrs. Neal (Eileen O'Leary)</t>
  </si>
  <si>
    <t>Wheeler, Mr. Edwin Frederick""</t>
  </si>
  <si>
    <t>SC/PARIS 2159</t>
  </si>
  <si>
    <t>Herman, Miss. Kate</t>
  </si>
  <si>
    <t>Aronsson, Mr. Ernst Axel Algot</t>
  </si>
  <si>
    <t>349911</t>
  </si>
  <si>
    <t>Ashby, Mr. John</t>
  </si>
  <si>
    <t>244346</t>
  </si>
  <si>
    <t>Canavan, Mr. Patrick</t>
  </si>
  <si>
    <t>364858</t>
  </si>
  <si>
    <t>Palsson, Master. Paul Folke</t>
  </si>
  <si>
    <t>Payne, Mr. Vivian Ponsonby</t>
  </si>
  <si>
    <t>B24</t>
  </si>
  <si>
    <t>Lines, Mrs. Ernest H (Elizabeth Lindsey James)</t>
  </si>
  <si>
    <t>Abbott, Master. Eugene Joseph</t>
  </si>
  <si>
    <t>Gilbert, Mr. William</t>
  </si>
  <si>
    <t>C.A. 30769</t>
  </si>
  <si>
    <t>Kink-Heilmann, Mr. Anton</t>
  </si>
  <si>
    <t>Smith, Mrs. Lucien Philip (Mary Eloise Hughes)</t>
  </si>
  <si>
    <t>Colbert, Mr. Patrick</t>
  </si>
  <si>
    <t>371109</t>
  </si>
  <si>
    <t>Frolicher-Stehli, Mrs. Maxmillian (Margaretha Emerentia Stehli)</t>
  </si>
  <si>
    <t>Larsson-Rondberg, Mr. Edvard A</t>
  </si>
  <si>
    <t>347065</t>
  </si>
  <si>
    <t>Conlon, Mr. Thomas Henry</t>
  </si>
  <si>
    <t>21332</t>
  </si>
  <si>
    <t>Bonnell, Miss. Caroline</t>
  </si>
  <si>
    <t>Gale, Mr. Harry</t>
  </si>
  <si>
    <t>Gibson, Miss. Dorothy Winifred</t>
  </si>
  <si>
    <t>Carrau, Mr. Jose Pedro</t>
  </si>
  <si>
    <t>Frauenthal, Mr. Isaac Gerald</t>
  </si>
  <si>
    <t>17765</t>
  </si>
  <si>
    <t>D40</t>
  </si>
  <si>
    <t>Nourney, Mr. Alfred (Baron von Drachstedt")"</t>
  </si>
  <si>
    <t>SC/PARIS 2166</t>
  </si>
  <si>
    <t>D38</t>
  </si>
  <si>
    <t>Ware, Mr. William Jeffery</t>
  </si>
  <si>
    <t>28666</t>
  </si>
  <si>
    <t>Widener, Mr. George Dunton</t>
  </si>
  <si>
    <t>Riordan, Miss. Johanna Hannah""</t>
  </si>
  <si>
    <t>334915</t>
  </si>
  <si>
    <t>Peacock, Miss. Treasteall</t>
  </si>
  <si>
    <t>Naughton, Miss. Hannah</t>
  </si>
  <si>
    <t>365237</t>
  </si>
  <si>
    <t>Minahan, Mrs. William Edward (Lillian E Thorpe)</t>
  </si>
  <si>
    <t>Henriksson, Miss. Jenny Lovisa</t>
  </si>
  <si>
    <t>347086</t>
  </si>
  <si>
    <t>Spector, Mr. Woolf</t>
  </si>
  <si>
    <t>A.5. 3236</t>
  </si>
  <si>
    <t>Oliva y Ocana, Dona. Fermina</t>
  </si>
  <si>
    <t>C105</t>
  </si>
  <si>
    <t>Saether, Mr. Simon Sivertsen</t>
  </si>
  <si>
    <t>SOTON/O.Q. 3101262</t>
  </si>
  <si>
    <t>Ware, Mr. Frederick</t>
  </si>
  <si>
    <t>359309</t>
  </si>
  <si>
    <t>Peter, Master. Michael J</t>
  </si>
  <si>
    <t>Embarkedの各属性数</t>
    <rPh sb="9" eb="10">
      <t>カク</t>
    </rPh>
    <rPh sb="10" eb="12">
      <t>ゾクセイ</t>
    </rPh>
    <rPh sb="12" eb="13">
      <t>カズ</t>
    </rPh>
    <phoneticPr fontId="1"/>
  </si>
  <si>
    <t>AgeとFareの平均値</t>
    <rPh sb="9" eb="11">
      <t>ヘイキン</t>
    </rPh>
    <rPh sb="11" eb="12">
      <t>チ</t>
    </rPh>
    <phoneticPr fontId="1"/>
  </si>
  <si>
    <t>AgeとFareの中央値</t>
    <rPh sb="9" eb="11">
      <t>チュウオウ</t>
    </rPh>
    <rPh sb="11" eb="12">
      <t>チ</t>
    </rPh>
    <phoneticPr fontId="1"/>
  </si>
  <si>
    <t>データ加工の方針</t>
    <rPh sb="3" eb="5">
      <t>カコウ</t>
    </rPh>
    <rPh sb="6" eb="8">
      <t>ホウシン</t>
    </rPh>
    <phoneticPr fontId="1"/>
  </si>
  <si>
    <t>欠損値補填</t>
    <rPh sb="0" eb="5">
      <t>ケッソンチホテン</t>
    </rPh>
    <phoneticPr fontId="1"/>
  </si>
  <si>
    <t>Age(補填後)</t>
    <rPh sb="4" eb="6">
      <t>ホテン</t>
    </rPh>
    <rPh sb="6" eb="7">
      <t>ゴ</t>
    </rPh>
    <phoneticPr fontId="1"/>
  </si>
  <si>
    <t>Embarked(補填後)</t>
    <rPh sb="9" eb="11">
      <t>ホテン</t>
    </rPh>
    <rPh sb="11" eb="12">
      <t>ゴ</t>
    </rPh>
    <phoneticPr fontId="1"/>
  </si>
  <si>
    <t>Embarked_S</t>
  </si>
  <si>
    <t>Embarked_S</t>
    <phoneticPr fontId="1"/>
  </si>
  <si>
    <t>Embarked_Q</t>
  </si>
  <si>
    <t>Embarked_Q</t>
    <phoneticPr fontId="1"/>
  </si>
  <si>
    <t>Embarked_C</t>
  </si>
  <si>
    <t>Embarked_C</t>
    <phoneticPr fontId="1"/>
  </si>
  <si>
    <t>Pclass_1</t>
  </si>
  <si>
    <t>Pclass_1</t>
    <phoneticPr fontId="1"/>
  </si>
  <si>
    <t>Pclass_2</t>
  </si>
  <si>
    <t>Pclass_3</t>
  </si>
  <si>
    <t>ダミー変数化</t>
    <rPh sb="3" eb="6">
      <t>ヘンスウカ</t>
    </rPh>
    <phoneticPr fontId="1"/>
  </si>
  <si>
    <t>①下記のカテゴリは説明変数に採用しない</t>
    <rPh sb="1" eb="3">
      <t>カキ</t>
    </rPh>
    <rPh sb="9" eb="13">
      <t>セツメイヘンスウ</t>
    </rPh>
    <rPh sb="14" eb="16">
      <t>サイヨウ</t>
    </rPh>
    <phoneticPr fontId="1"/>
  </si>
  <si>
    <t>Name</t>
    <phoneticPr fontId="1"/>
  </si>
  <si>
    <t>・Name</t>
    <phoneticPr fontId="1"/>
  </si>
  <si>
    <t>・Ticket</t>
    <phoneticPr fontId="1"/>
  </si>
  <si>
    <t>・Cabin</t>
    <phoneticPr fontId="1"/>
  </si>
  <si>
    <t>②Age・Fareの欠損値は各値の中央値で補填</t>
    <rPh sb="10" eb="13">
      <t>ケッソンチ</t>
    </rPh>
    <rPh sb="14" eb="15">
      <t>カク</t>
    </rPh>
    <rPh sb="15" eb="16">
      <t>アタイ</t>
    </rPh>
    <rPh sb="17" eb="20">
      <t>チュウオウチ</t>
    </rPh>
    <rPh sb="21" eb="23">
      <t>ホテン</t>
    </rPh>
    <phoneticPr fontId="1"/>
  </si>
  <si>
    <t>④下記のカテゴリ変数をダミー変数化</t>
    <rPh sb="1" eb="3">
      <t>カキ</t>
    </rPh>
    <rPh sb="8" eb="10">
      <t>ヘンスウ</t>
    </rPh>
    <rPh sb="14" eb="17">
      <t>ヘンスウカ</t>
    </rPh>
    <phoneticPr fontId="1"/>
  </si>
  <si>
    <t>・Pclass</t>
    <phoneticPr fontId="1"/>
  </si>
  <si>
    <t>IsFemale</t>
  </si>
  <si>
    <t>IsFemale</t>
    <phoneticPr fontId="1"/>
  </si>
  <si>
    <t>・PassengerId(※削除はせず残す)</t>
    <rPh sb="14" eb="16">
      <t>サクジョ</t>
    </rPh>
    <rPh sb="19" eb="20">
      <t>ノコ</t>
    </rPh>
    <phoneticPr fontId="1"/>
  </si>
  <si>
    <t>・Sex(male=0、female=1に指定)</t>
    <rPh sb="21" eb="23">
      <t>シテイ</t>
    </rPh>
    <phoneticPr fontId="1"/>
  </si>
  <si>
    <t>Intercept</t>
    <phoneticPr fontId="1"/>
  </si>
  <si>
    <t>対数尤度</t>
    <rPh sb="0" eb="4">
      <t>タイスウユウド</t>
    </rPh>
    <phoneticPr fontId="1"/>
  </si>
  <si>
    <t>データ毎対数尤度</t>
    <rPh sb="3" eb="4">
      <t>ゴト</t>
    </rPh>
    <rPh sb="4" eb="8">
      <t>タイスウユウド</t>
    </rPh>
    <phoneticPr fontId="1"/>
  </si>
  <si>
    <t>Survived_予測</t>
    <rPh sb="9" eb="11">
      <t>ヨソク</t>
    </rPh>
    <phoneticPr fontId="1"/>
  </si>
  <si>
    <t>Age(補填)</t>
    <rPh sb="4" eb="6">
      <t>ホテン</t>
    </rPh>
    <phoneticPr fontId="1"/>
  </si>
  <si>
    <t>Fare(補填)</t>
    <rPh sb="5" eb="7">
      <t>ホテン</t>
    </rPh>
    <phoneticPr fontId="1"/>
  </si>
  <si>
    <t>偏回帰係数</t>
    <rPh sb="0" eb="5">
      <t>ヘンカイキケイスウ</t>
    </rPh>
    <phoneticPr fontId="1"/>
  </si>
  <si>
    <t>PassengerId</t>
    <phoneticPr fontId="1"/>
  </si>
  <si>
    <t>Survived</t>
    <phoneticPr fontId="1"/>
  </si>
  <si>
    <t>③Embarkedの欠損値は最頻値「S」で補填</t>
    <rPh sb="10" eb="13">
      <t>ケッソンチ</t>
    </rPh>
    <rPh sb="14" eb="17">
      <t>サイヒンチ</t>
    </rPh>
    <rPh sb="21" eb="23">
      <t>ホテン</t>
    </rPh>
    <phoneticPr fontId="1"/>
  </si>
  <si>
    <t>ロジスティック回帰の手順</t>
    <rPh sb="7" eb="9">
      <t>カイキ</t>
    </rPh>
    <rPh sb="10" eb="12">
      <t>テジュン</t>
    </rPh>
    <phoneticPr fontId="1"/>
  </si>
  <si>
    <t>※予測確率は「1/(1+EXP(-回帰式))」で表される</t>
    <rPh sb="1" eb="5">
      <t>ヨソクカクリツ</t>
    </rPh>
    <rPh sb="17" eb="20">
      <t>カイキシキ</t>
    </rPh>
    <rPh sb="24" eb="25">
      <t>アラワ</t>
    </rPh>
    <phoneticPr fontId="1"/>
  </si>
  <si>
    <t>※「目的変数×予測確率の自然対数+(1-目的変数)×(1-予測確率)の自然対数」を計算</t>
    <rPh sb="2" eb="6">
      <t>モクテキヘンスウ</t>
    </rPh>
    <rPh sb="7" eb="9">
      <t>ヨソク</t>
    </rPh>
    <rPh sb="9" eb="11">
      <t>カクリツ</t>
    </rPh>
    <rPh sb="12" eb="16">
      <t>シゼンタイスウ</t>
    </rPh>
    <rPh sb="20" eb="24">
      <t>モクテキヘンスウ</t>
    </rPh>
    <rPh sb="29" eb="33">
      <t>ヨソクカクリツ</t>
    </rPh>
    <rPh sb="35" eb="39">
      <t>シゼンタイスウ</t>
    </rPh>
    <rPh sb="41" eb="43">
      <t>ケイサン</t>
    </rPh>
    <phoneticPr fontId="1"/>
  </si>
  <si>
    <t>※データごとの対数尤度の合計値</t>
    <rPh sb="7" eb="11">
      <t>タイスウユウド</t>
    </rPh>
    <rPh sb="12" eb="15">
      <t>ゴウケイチ</t>
    </rPh>
    <phoneticPr fontId="1"/>
  </si>
  <si>
    <t>⑤ソルバーで下記の設定を行い「解決」を実行</t>
    <rPh sb="6" eb="8">
      <t>カキ</t>
    </rPh>
    <rPh sb="9" eb="11">
      <t>セッテイ</t>
    </rPh>
    <rPh sb="12" eb="13">
      <t>オコナ</t>
    </rPh>
    <rPh sb="15" eb="17">
      <t>カイケツ</t>
    </rPh>
    <rPh sb="19" eb="21">
      <t>ジッコウ</t>
    </rPh>
    <phoneticPr fontId="1"/>
  </si>
  <si>
    <t>・目標値：最大値</t>
    <rPh sb="1" eb="4">
      <t>モクヒョウチ</t>
    </rPh>
    <rPh sb="5" eb="8">
      <t>サイダイチ</t>
    </rPh>
    <phoneticPr fontId="1"/>
  </si>
  <si>
    <t>・「制約のない変数を非負数にする」をオフ</t>
    <rPh sb="2" eb="4">
      <t>セイヤク</t>
    </rPh>
    <rPh sb="7" eb="9">
      <t>ヘンスウ</t>
    </rPh>
    <rPh sb="10" eb="13">
      <t>ヒフスウ</t>
    </rPh>
    <phoneticPr fontId="1"/>
  </si>
  <si>
    <t>①説明変数の偏回帰係数(B1:M1セル)を全て0にする</t>
    <rPh sb="1" eb="5">
      <t>セツメイヘンスウ</t>
    </rPh>
    <rPh sb="6" eb="11">
      <t>ヘンカイキケイスウ</t>
    </rPh>
    <rPh sb="21" eb="22">
      <t>スベ</t>
    </rPh>
    <phoneticPr fontId="1"/>
  </si>
  <si>
    <t>③Q3セルに「=N3*LN(P3)+(1-N3)*LN(1-P3)」と入力しオートフィル</t>
    <rPh sb="35" eb="37">
      <t>ニュウリョク</t>
    </rPh>
    <phoneticPr fontId="1"/>
  </si>
  <si>
    <t>②P3セルに「=1/(1+EXP(-SUMPRODUCT(B$1:M$1,B3:M3)))」と入力しオートフィル</t>
    <rPh sb="47" eb="49">
      <t>ニュウリョク</t>
    </rPh>
    <phoneticPr fontId="1"/>
  </si>
  <si>
    <t>④Q1セルに「=SUM(Q3:Q893)」と入力</t>
    <rPh sb="22" eb="24">
      <t>ニュウリョク</t>
    </rPh>
    <phoneticPr fontId="1"/>
  </si>
  <si>
    <t>・目的セルの設定：「$Q$1」</t>
    <rPh sb="1" eb="3">
      <t>モクテキ</t>
    </rPh>
    <rPh sb="6" eb="8">
      <t>セッテイ</t>
    </rPh>
    <phoneticPr fontId="1"/>
  </si>
  <si>
    <t>・変数セルの変更：「$B$1:$M$1」</t>
    <rPh sb="1" eb="3">
      <t>ヘンスウ</t>
    </rPh>
    <rPh sb="6" eb="8">
      <t>ヘンコウ</t>
    </rPh>
    <phoneticPr fontId="1"/>
  </si>
  <si>
    <t>・解決方法の選択：「GRG 非線形」(デフォルト)</t>
    <rPh sb="1" eb="5">
      <t>カイケツホウホウ</t>
    </rPh>
    <rPh sb="6" eb="8">
      <t>センタク</t>
    </rPh>
    <rPh sb="14" eb="17">
      <t>ヒセンケイ</t>
    </rPh>
    <phoneticPr fontId="1"/>
  </si>
  <si>
    <t>・訓練データ(加工後&amp;ロジスティック回帰)</t>
    <phoneticPr fontId="1"/>
  </si>
  <si>
    <t>・テストデータ(加工後&amp;ロジスティック回帰)</t>
    <phoneticPr fontId="1"/>
  </si>
  <si>
    <t>以上を実行すると下記シートの「Survived_予測」列に結果が反映されます</t>
    <rPh sb="0" eb="2">
      <t>イジョウ</t>
    </rPh>
    <rPh sb="3" eb="5">
      <t>ジッコウ</t>
    </rPh>
    <rPh sb="8" eb="10">
      <t>カキ</t>
    </rPh>
    <rPh sb="24" eb="26">
      <t>ヨソク</t>
    </rPh>
    <rPh sb="27" eb="28">
      <t>レツ</t>
    </rPh>
    <rPh sb="29" eb="31">
      <t>ケッカ</t>
    </rPh>
    <rPh sb="32" eb="34">
      <t>ハンエイ</t>
    </rPh>
    <phoneticPr fontId="1"/>
  </si>
  <si>
    <t>※スピル・Excel2019以降の新関数を使用しているため、</t>
    <rPh sb="14" eb="16">
      <t>イコウ</t>
    </rPh>
    <rPh sb="17" eb="20">
      <t>シンカンスウ</t>
    </rPh>
    <rPh sb="21" eb="23">
      <t>シヨウ</t>
    </rPh>
    <phoneticPr fontId="1"/>
  </si>
  <si>
    <t>Excel2016以前のバージョンでは正しく動作しません。ご了承ください</t>
    <rPh sb="9" eb="11">
      <t>イゼン</t>
    </rPh>
    <rPh sb="19" eb="20">
      <t>タダ</t>
    </rPh>
    <rPh sb="22" eb="24">
      <t>ドウサ</t>
    </rPh>
    <rPh sb="30" eb="32">
      <t>リョウショウ</t>
    </rPh>
    <phoneticPr fontId="1"/>
  </si>
  <si>
    <t>※事前に「ファイル」-「オプション」の順にクリックして</t>
    <rPh sb="1" eb="3">
      <t>ジゼン</t>
    </rPh>
    <rPh sb="19" eb="20">
      <t>ジュン</t>
    </rPh>
    <phoneticPr fontId="1"/>
  </si>
  <si>
    <t>「Excelのオプション」画面を開き、左側の「アドイン」メニューを選択して</t>
    <rPh sb="19" eb="21">
      <t>ヒダリガワ</t>
    </rPh>
    <rPh sb="33" eb="35">
      <t>センタク</t>
    </rPh>
    <phoneticPr fontId="1"/>
  </si>
  <si>
    <t>「設定」ボタンをクリックし、「ソルバー アドイン」のチェックを有効にしてください</t>
    <rPh sb="1" eb="3">
      <t>セッテイ</t>
    </rPh>
    <rPh sb="31" eb="33">
      <t>ユウコウ</t>
    </rPh>
    <phoneticPr fontId="1"/>
  </si>
  <si>
    <t>後でチェックを無効にしてください</t>
    <rPh sb="7" eb="9">
      <t>ムコウ</t>
    </rPh>
    <phoneticPr fontId="1"/>
  </si>
  <si>
    <t>※通常のExcelの使用において「ソルバー アドイン」が不要な場合は</t>
    <rPh sb="1" eb="3">
      <t>ツウジョウ</t>
    </rPh>
    <rPh sb="10" eb="12">
      <t>シヨウ</t>
    </rPh>
    <rPh sb="28" eb="30">
      <t>フヨウ</t>
    </rPh>
    <rPh sb="31" eb="33">
      <t>バアイ</t>
    </rPh>
    <phoneticPr fontId="1"/>
  </si>
  <si>
    <t>予測確率</t>
    <rPh sb="0" eb="2">
      <t>ヨソク</t>
    </rPh>
    <rPh sb="2" eb="4">
      <t>カクリツ</t>
    </rPh>
    <phoneticPr fontId="1"/>
  </si>
  <si>
    <t>・Embarked</t>
    <phoneticPr fontId="1"/>
  </si>
  <si>
    <t>訓練データに対する予測精度</t>
    <rPh sb="0" eb="2">
      <t>クンレン</t>
    </rPh>
    <rPh sb="6" eb="7">
      <t>タイ</t>
    </rPh>
    <rPh sb="9" eb="11">
      <t>ヨソク</t>
    </rPh>
    <rPh sb="11" eb="13">
      <t>セイド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</si>
</sst>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0" fillId="0" borderId="4" xfId="0" applyBorder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4" borderId="0" xfId="0" applyFont="1" applyFill="1">
      <alignment vertical="center"/>
    </xf>
    <xf numFmtId="0" fontId="2" fillId="8" borderId="0" xfId="0" applyFont="1" applyFill="1" applyAlignment="1">
      <alignment horizontal="center" vertical="center"/>
    </xf>
    <xf numFmtId="0" fontId="3" fillId="9" borderId="0" xfId="0" applyFont="1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123825</xdr:colOff>
          <xdr:row>0</xdr:row>
          <xdr:rowOff>57150</xdr:rowOff>
        </xdr:from>
        <xdr:to>
          <xdr:col>20</xdr:col>
          <xdr:colOff>590550</xdr:colOff>
          <xdr:row>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38100</xdr:rowOff>
        </xdr:from>
        <xdr:to>
          <xdr:col>4</xdr:col>
          <xdr:colOff>561975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C623C-4612-461D-AF26-67F5C007DC03}">
  <sheetPr codeName="Sheet1"/>
  <dimension ref="A1:AA892"/>
  <sheetViews>
    <sheetView tabSelected="1" zoomScale="80" zoomScaleNormal="80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8.75" x14ac:dyDescent="0.4"/>
  <cols>
    <col min="1" max="1" width="15.375" bestFit="1" customWidth="1"/>
    <col min="2" max="2" width="9.625" bestFit="1" customWidth="1"/>
    <col min="3" max="3" width="75.625" bestFit="1" customWidth="1"/>
    <col min="4" max="5" width="7.25" bestFit="1" customWidth="1"/>
    <col min="8" max="8" width="21.125" bestFit="1" customWidth="1"/>
    <col min="9" max="9" width="9.5" bestFit="1" customWidth="1"/>
    <col min="10" max="10" width="16.625" bestFit="1" customWidth="1"/>
    <col min="11" max="11" width="13.25" bestFit="1" customWidth="1"/>
    <col min="12" max="12" width="11.625" bestFit="1" customWidth="1"/>
    <col min="14" max="14" width="10" bestFit="1" customWidth="1"/>
    <col min="15" max="15" width="10" customWidth="1"/>
    <col min="16" max="16" width="18.75" customWidth="1"/>
    <col min="17" max="17" width="11.25" bestFit="1" customWidth="1"/>
    <col min="18" max="18" width="14.875" bestFit="1" customWidth="1"/>
    <col min="19" max="19" width="19.25" bestFit="1" customWidth="1"/>
    <col min="20" max="20" width="13.375" bestFit="1" customWidth="1"/>
    <col min="21" max="21" width="10.25" bestFit="1" customWidth="1"/>
    <col min="22" max="24" width="9.75" bestFit="1" customWidth="1"/>
    <col min="25" max="25" width="12.75" bestFit="1" customWidth="1"/>
    <col min="26" max="26" width="13" bestFit="1" customWidth="1"/>
    <col min="27" max="27" width="12.75" bestFit="1" customWidth="1"/>
  </cols>
  <sheetData>
    <row r="1" spans="1:27" x14ac:dyDescent="0.4">
      <c r="A1" s="1" t="s">
        <v>0</v>
      </c>
      <c r="B1" s="1" t="s">
        <v>2</v>
      </c>
      <c r="C1" s="1" t="s">
        <v>2464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3" t="s">
        <v>1</v>
      </c>
      <c r="Q1" t="s">
        <v>2449</v>
      </c>
      <c r="R1" s="6" t="s">
        <v>2450</v>
      </c>
      <c r="S1" s="6" t="s">
        <v>2451</v>
      </c>
      <c r="T1" t="s">
        <v>2462</v>
      </c>
      <c r="U1" s="8" t="s">
        <v>2472</v>
      </c>
      <c r="V1" s="8" t="s">
        <v>2459</v>
      </c>
      <c r="W1" s="8" t="s">
        <v>2460</v>
      </c>
      <c r="X1" s="8" t="s">
        <v>2461</v>
      </c>
      <c r="Y1" s="8" t="s">
        <v>2453</v>
      </c>
      <c r="Z1" s="8" t="s">
        <v>2455</v>
      </c>
      <c r="AA1" s="8" t="s">
        <v>2457</v>
      </c>
    </row>
    <row r="2" spans="1:27" x14ac:dyDescent="0.4">
      <c r="A2">
        <v>1</v>
      </c>
      <c r="B2">
        <v>3</v>
      </c>
      <c r="C2" t="s">
        <v>12</v>
      </c>
      <c r="D2" t="s">
        <v>13</v>
      </c>
      <c r="E2">
        <v>22</v>
      </c>
      <c r="F2">
        <v>1</v>
      </c>
      <c r="G2">
        <v>0</v>
      </c>
      <c r="H2" t="s">
        <v>14</v>
      </c>
      <c r="I2">
        <v>7.25</v>
      </c>
      <c r="J2" t="s">
        <v>15</v>
      </c>
      <c r="K2" t="s">
        <v>16</v>
      </c>
      <c r="L2">
        <v>0</v>
      </c>
      <c r="N2" s="3" t="s">
        <v>1737</v>
      </c>
      <c r="O2" s="4"/>
      <c r="R2">
        <f>IF(E2&lt;&gt;"",E2,$O$18)</f>
        <v>22</v>
      </c>
      <c r="S2" t="str">
        <f>IF(K2&lt;&gt;"",K2,$N$9)</f>
        <v>S</v>
      </c>
      <c r="U2">
        <f>IF(D2="male",0,1)</f>
        <v>0</v>
      </c>
      <c r="V2">
        <f t="shared" ref="V2:X21" si="0">IF("Pclass_"&amp;$B2=V$1,1,0)</f>
        <v>0</v>
      </c>
      <c r="W2">
        <f t="shared" si="0"/>
        <v>0</v>
      </c>
      <c r="X2">
        <f t="shared" si="0"/>
        <v>1</v>
      </c>
      <c r="Y2">
        <f>IF($S2=RIGHT(Y$1,1),1,0)</f>
        <v>1</v>
      </c>
      <c r="Z2">
        <f t="shared" ref="Z2:AA17" si="1">IF($S2=RIGHT(Z$1,1),1,0)</f>
        <v>0</v>
      </c>
      <c r="AA2">
        <f t="shared" si="1"/>
        <v>0</v>
      </c>
    </row>
    <row r="3" spans="1:27" x14ac:dyDescent="0.4">
      <c r="A3">
        <v>2</v>
      </c>
      <c r="B3">
        <v>1</v>
      </c>
      <c r="C3" t="s">
        <v>17</v>
      </c>
      <c r="D3" t="s">
        <v>18</v>
      </c>
      <c r="E3">
        <v>38</v>
      </c>
      <c r="F3">
        <v>1</v>
      </c>
      <c r="G3">
        <v>0</v>
      </c>
      <c r="H3" t="s">
        <v>19</v>
      </c>
      <c r="I3">
        <v>71.283299999999997</v>
      </c>
      <c r="J3" t="s">
        <v>20</v>
      </c>
      <c r="K3" t="s">
        <v>21</v>
      </c>
      <c r="L3">
        <v>1</v>
      </c>
      <c r="N3" s="2" t="s">
        <v>1738</v>
      </c>
      <c r="O3" s="2">
        <f>COUNTBLANK(E1:E892)</f>
        <v>177</v>
      </c>
      <c r="R3">
        <f t="shared" ref="R3:R66" si="2">IF(E3&lt;&gt;"",E3,$O$18)</f>
        <v>38</v>
      </c>
      <c r="S3" t="str">
        <f t="shared" ref="S3:S66" si="3">IF(K3&lt;&gt;"",K3,$N$9)</f>
        <v>C</v>
      </c>
      <c r="U3">
        <f t="shared" ref="U3:U66" si="4">IF(D3="male",0,1)</f>
        <v>1</v>
      </c>
      <c r="V3">
        <f t="shared" si="0"/>
        <v>1</v>
      </c>
      <c r="W3">
        <f t="shared" si="0"/>
        <v>0</v>
      </c>
      <c r="X3">
        <f t="shared" si="0"/>
        <v>0</v>
      </c>
      <c r="Y3">
        <f t="shared" ref="Y3:AA66" si="5">IF($S3=RIGHT(Y$1,1),1,0)</f>
        <v>0</v>
      </c>
      <c r="Z3">
        <f t="shared" si="1"/>
        <v>0</v>
      </c>
      <c r="AA3">
        <f t="shared" si="1"/>
        <v>1</v>
      </c>
    </row>
    <row r="4" spans="1:27" x14ac:dyDescent="0.4">
      <c r="A4">
        <v>3</v>
      </c>
      <c r="B4">
        <v>3</v>
      </c>
      <c r="C4" t="s">
        <v>22</v>
      </c>
      <c r="D4" t="s">
        <v>18</v>
      </c>
      <c r="E4">
        <v>26</v>
      </c>
      <c r="F4">
        <v>0</v>
      </c>
      <c r="G4">
        <v>0</v>
      </c>
      <c r="H4" t="s">
        <v>23</v>
      </c>
      <c r="I4">
        <v>7.9249999999999998</v>
      </c>
      <c r="J4" t="s">
        <v>15</v>
      </c>
      <c r="K4" t="s">
        <v>16</v>
      </c>
      <c r="L4">
        <v>1</v>
      </c>
      <c r="N4" s="2" t="s">
        <v>1740</v>
      </c>
      <c r="O4" s="2">
        <f>COUNTBLANK(I1:I892)</f>
        <v>0</v>
      </c>
      <c r="R4">
        <f t="shared" si="2"/>
        <v>26</v>
      </c>
      <c r="S4" t="str">
        <f t="shared" si="3"/>
        <v>S</v>
      </c>
      <c r="U4">
        <f t="shared" si="4"/>
        <v>1</v>
      </c>
      <c r="V4">
        <f t="shared" si="0"/>
        <v>0</v>
      </c>
      <c r="W4">
        <f t="shared" si="0"/>
        <v>0</v>
      </c>
      <c r="X4">
        <f t="shared" si="0"/>
        <v>1</v>
      </c>
      <c r="Y4">
        <f t="shared" si="5"/>
        <v>1</v>
      </c>
      <c r="Z4">
        <f t="shared" si="1"/>
        <v>0</v>
      </c>
      <c r="AA4">
        <f t="shared" si="1"/>
        <v>0</v>
      </c>
    </row>
    <row r="5" spans="1:27" x14ac:dyDescent="0.4">
      <c r="A5">
        <v>4</v>
      </c>
      <c r="B5">
        <v>1</v>
      </c>
      <c r="C5" t="s">
        <v>24</v>
      </c>
      <c r="D5" t="s">
        <v>18</v>
      </c>
      <c r="E5">
        <v>35</v>
      </c>
      <c r="F5">
        <v>1</v>
      </c>
      <c r="G5">
        <v>0</v>
      </c>
      <c r="H5" t="s">
        <v>25</v>
      </c>
      <c r="I5">
        <v>53.1</v>
      </c>
      <c r="J5" t="s">
        <v>26</v>
      </c>
      <c r="K5" t="s">
        <v>16</v>
      </c>
      <c r="L5">
        <v>1</v>
      </c>
      <c r="N5" s="2" t="s">
        <v>1739</v>
      </c>
      <c r="O5" s="2">
        <f>COUNTBLANK(J1:J892)</f>
        <v>687</v>
      </c>
      <c r="R5">
        <f t="shared" si="2"/>
        <v>35</v>
      </c>
      <c r="S5" t="str">
        <f t="shared" si="3"/>
        <v>S</v>
      </c>
      <c r="U5">
        <f t="shared" si="4"/>
        <v>1</v>
      </c>
      <c r="V5">
        <f t="shared" si="0"/>
        <v>1</v>
      </c>
      <c r="W5">
        <f t="shared" si="0"/>
        <v>0</v>
      </c>
      <c r="X5">
        <f t="shared" si="0"/>
        <v>0</v>
      </c>
      <c r="Y5">
        <f t="shared" si="5"/>
        <v>1</v>
      </c>
      <c r="Z5">
        <f t="shared" si="1"/>
        <v>0</v>
      </c>
      <c r="AA5">
        <f t="shared" si="1"/>
        <v>0</v>
      </c>
    </row>
    <row r="6" spans="1:27" x14ac:dyDescent="0.4">
      <c r="A6">
        <v>5</v>
      </c>
      <c r="B6">
        <v>3</v>
      </c>
      <c r="C6" t="s">
        <v>27</v>
      </c>
      <c r="D6" t="s">
        <v>13</v>
      </c>
      <c r="E6">
        <v>35</v>
      </c>
      <c r="F6">
        <v>0</v>
      </c>
      <c r="G6">
        <v>0</v>
      </c>
      <c r="H6" t="s">
        <v>28</v>
      </c>
      <c r="I6">
        <v>8.0500000000000007</v>
      </c>
      <c r="J6" t="s">
        <v>15</v>
      </c>
      <c r="K6" t="s">
        <v>16</v>
      </c>
      <c r="L6">
        <v>0</v>
      </c>
      <c r="N6" s="2" t="s">
        <v>1741</v>
      </c>
      <c r="O6" s="2">
        <f>COUNTBLANK(K1:K892)</f>
        <v>2</v>
      </c>
      <c r="R6">
        <f t="shared" si="2"/>
        <v>35</v>
      </c>
      <c r="S6" t="str">
        <f t="shared" si="3"/>
        <v>S</v>
      </c>
      <c r="U6">
        <f t="shared" si="4"/>
        <v>0</v>
      </c>
      <c r="V6">
        <f t="shared" si="0"/>
        <v>0</v>
      </c>
      <c r="W6">
        <f t="shared" si="0"/>
        <v>0</v>
      </c>
      <c r="X6">
        <f t="shared" si="0"/>
        <v>1</v>
      </c>
      <c r="Y6">
        <f t="shared" si="5"/>
        <v>1</v>
      </c>
      <c r="Z6">
        <f t="shared" si="1"/>
        <v>0</v>
      </c>
      <c r="AA6">
        <f t="shared" si="1"/>
        <v>0</v>
      </c>
    </row>
    <row r="7" spans="1:27" x14ac:dyDescent="0.4">
      <c r="A7">
        <v>6</v>
      </c>
      <c r="B7">
        <v>3</v>
      </c>
      <c r="C7" t="s">
        <v>29</v>
      </c>
      <c r="D7" t="s">
        <v>13</v>
      </c>
      <c r="F7">
        <v>0</v>
      </c>
      <c r="G7">
        <v>0</v>
      </c>
      <c r="H7" t="s">
        <v>30</v>
      </c>
      <c r="I7">
        <v>8.4582999999999995</v>
      </c>
      <c r="J7" t="s">
        <v>15</v>
      </c>
      <c r="K7" t="s">
        <v>31</v>
      </c>
      <c r="L7">
        <v>0</v>
      </c>
      <c r="R7">
        <f t="shared" si="2"/>
        <v>28</v>
      </c>
      <c r="S7" t="str">
        <f t="shared" si="3"/>
        <v>Q</v>
      </c>
      <c r="U7">
        <f t="shared" si="4"/>
        <v>0</v>
      </c>
      <c r="V7">
        <f t="shared" si="0"/>
        <v>0</v>
      </c>
      <c r="W7">
        <f t="shared" si="0"/>
        <v>0</v>
      </c>
      <c r="X7">
        <f t="shared" si="0"/>
        <v>1</v>
      </c>
      <c r="Y7">
        <f t="shared" si="5"/>
        <v>0</v>
      </c>
      <c r="Z7">
        <f t="shared" si="1"/>
        <v>1</v>
      </c>
      <c r="AA7">
        <f t="shared" si="1"/>
        <v>0</v>
      </c>
    </row>
    <row r="8" spans="1:27" x14ac:dyDescent="0.4">
      <c r="A8">
        <v>7</v>
      </c>
      <c r="B8">
        <v>1</v>
      </c>
      <c r="C8" t="s">
        <v>32</v>
      </c>
      <c r="D8" t="s">
        <v>13</v>
      </c>
      <c r="E8">
        <v>54</v>
      </c>
      <c r="F8">
        <v>0</v>
      </c>
      <c r="G8">
        <v>0</v>
      </c>
      <c r="H8" t="s">
        <v>33</v>
      </c>
      <c r="I8">
        <v>51.862499999999997</v>
      </c>
      <c r="J8" t="s">
        <v>34</v>
      </c>
      <c r="K8" t="s">
        <v>16</v>
      </c>
      <c r="L8">
        <v>0</v>
      </c>
      <c r="N8" s="3" t="s">
        <v>2445</v>
      </c>
      <c r="O8" s="4"/>
      <c r="R8">
        <f t="shared" si="2"/>
        <v>54</v>
      </c>
      <c r="S8" t="str">
        <f t="shared" si="3"/>
        <v>S</v>
      </c>
      <c r="U8">
        <f t="shared" si="4"/>
        <v>0</v>
      </c>
      <c r="V8">
        <f t="shared" si="0"/>
        <v>1</v>
      </c>
      <c r="W8">
        <f t="shared" si="0"/>
        <v>0</v>
      </c>
      <c r="X8">
        <f t="shared" si="0"/>
        <v>0</v>
      </c>
      <c r="Y8">
        <f t="shared" si="5"/>
        <v>1</v>
      </c>
      <c r="Z8">
        <f t="shared" si="1"/>
        <v>0</v>
      </c>
      <c r="AA8">
        <f t="shared" si="1"/>
        <v>0</v>
      </c>
    </row>
    <row r="9" spans="1:27" x14ac:dyDescent="0.4">
      <c r="A9">
        <v>8</v>
      </c>
      <c r="B9">
        <v>3</v>
      </c>
      <c r="C9" t="s">
        <v>35</v>
      </c>
      <c r="D9" t="s">
        <v>13</v>
      </c>
      <c r="E9">
        <v>2</v>
      </c>
      <c r="F9">
        <v>3</v>
      </c>
      <c r="G9">
        <v>1</v>
      </c>
      <c r="H9" t="s">
        <v>36</v>
      </c>
      <c r="I9">
        <v>21.074999999999999</v>
      </c>
      <c r="J9" t="s">
        <v>15</v>
      </c>
      <c r="K9" t="s">
        <v>16</v>
      </c>
      <c r="L9">
        <v>0</v>
      </c>
      <c r="N9" s="2" t="str" cm="1">
        <f t="array" ref="N9:N11">_xlfn._xlws.FILTER(_xlfn.UNIQUE(K4:K892),_xlfn.UNIQUE(K4:K892)&lt;&gt;"")</f>
        <v>S</v>
      </c>
      <c r="O9" s="2" cm="1">
        <f t="array" ref="O9:O11">COUNTIF(K:K,_xlfn.ANCHORARRAY(N9))</f>
        <v>644</v>
      </c>
      <c r="R9">
        <f t="shared" si="2"/>
        <v>2</v>
      </c>
      <c r="S9" t="str">
        <f t="shared" si="3"/>
        <v>S</v>
      </c>
      <c r="U9">
        <f t="shared" si="4"/>
        <v>0</v>
      </c>
      <c r="V9">
        <f t="shared" si="0"/>
        <v>0</v>
      </c>
      <c r="W9">
        <f t="shared" si="0"/>
        <v>0</v>
      </c>
      <c r="X9">
        <f t="shared" si="0"/>
        <v>1</v>
      </c>
      <c r="Y9">
        <f t="shared" si="5"/>
        <v>1</v>
      </c>
      <c r="Z9">
        <f t="shared" si="1"/>
        <v>0</v>
      </c>
      <c r="AA9">
        <f t="shared" si="1"/>
        <v>0</v>
      </c>
    </row>
    <row r="10" spans="1:27" x14ac:dyDescent="0.4">
      <c r="A10">
        <v>9</v>
      </c>
      <c r="B10">
        <v>3</v>
      </c>
      <c r="C10" t="s">
        <v>37</v>
      </c>
      <c r="D10" t="s">
        <v>18</v>
      </c>
      <c r="E10">
        <v>27</v>
      </c>
      <c r="F10">
        <v>0</v>
      </c>
      <c r="G10">
        <v>2</v>
      </c>
      <c r="H10" t="s">
        <v>38</v>
      </c>
      <c r="I10">
        <v>11.1333</v>
      </c>
      <c r="J10" t="s">
        <v>15</v>
      </c>
      <c r="K10" t="s">
        <v>16</v>
      </c>
      <c r="L10">
        <v>1</v>
      </c>
      <c r="N10" s="2" t="str">
        <v>Q</v>
      </c>
      <c r="O10" s="2">
        <v>77</v>
      </c>
      <c r="R10">
        <f t="shared" si="2"/>
        <v>27</v>
      </c>
      <c r="S10" t="str">
        <f t="shared" si="3"/>
        <v>S</v>
      </c>
      <c r="U10">
        <f t="shared" si="4"/>
        <v>1</v>
      </c>
      <c r="V10">
        <f t="shared" si="0"/>
        <v>0</v>
      </c>
      <c r="W10">
        <f t="shared" si="0"/>
        <v>0</v>
      </c>
      <c r="X10">
        <f t="shared" si="0"/>
        <v>1</v>
      </c>
      <c r="Y10">
        <f t="shared" si="5"/>
        <v>1</v>
      </c>
      <c r="Z10">
        <f t="shared" si="1"/>
        <v>0</v>
      </c>
      <c r="AA10">
        <f t="shared" si="1"/>
        <v>0</v>
      </c>
    </row>
    <row r="11" spans="1:27" x14ac:dyDescent="0.4">
      <c r="A11">
        <v>10</v>
      </c>
      <c r="B11">
        <v>2</v>
      </c>
      <c r="C11" t="s">
        <v>39</v>
      </c>
      <c r="D11" t="s">
        <v>18</v>
      </c>
      <c r="E11">
        <v>14</v>
      </c>
      <c r="F11">
        <v>1</v>
      </c>
      <c r="G11">
        <v>0</v>
      </c>
      <c r="H11" t="s">
        <v>40</v>
      </c>
      <c r="I11">
        <v>30.070799999999998</v>
      </c>
      <c r="J11" t="s">
        <v>15</v>
      </c>
      <c r="K11" t="s">
        <v>21</v>
      </c>
      <c r="L11">
        <v>1</v>
      </c>
      <c r="N11" s="2" t="str">
        <v>C</v>
      </c>
      <c r="O11" s="2">
        <v>168</v>
      </c>
      <c r="R11">
        <f t="shared" si="2"/>
        <v>14</v>
      </c>
      <c r="S11" t="str">
        <f t="shared" si="3"/>
        <v>C</v>
      </c>
      <c r="U11">
        <f t="shared" si="4"/>
        <v>1</v>
      </c>
      <c r="V11">
        <f t="shared" si="0"/>
        <v>0</v>
      </c>
      <c r="W11">
        <f t="shared" si="0"/>
        <v>1</v>
      </c>
      <c r="X11">
        <f t="shared" si="0"/>
        <v>0</v>
      </c>
      <c r="Y11">
        <f t="shared" si="5"/>
        <v>0</v>
      </c>
      <c r="Z11">
        <f t="shared" si="1"/>
        <v>0</v>
      </c>
      <c r="AA11">
        <f t="shared" si="1"/>
        <v>1</v>
      </c>
    </row>
    <row r="12" spans="1:27" x14ac:dyDescent="0.4">
      <c r="A12">
        <v>11</v>
      </c>
      <c r="B12">
        <v>3</v>
      </c>
      <c r="C12" t="s">
        <v>41</v>
      </c>
      <c r="D12" t="s">
        <v>18</v>
      </c>
      <c r="E12">
        <v>4</v>
      </c>
      <c r="F12">
        <v>1</v>
      </c>
      <c r="G12">
        <v>1</v>
      </c>
      <c r="H12" t="s">
        <v>42</v>
      </c>
      <c r="I12">
        <v>16.7</v>
      </c>
      <c r="J12" t="s">
        <v>43</v>
      </c>
      <c r="K12" t="s">
        <v>16</v>
      </c>
      <c r="L12">
        <v>1</v>
      </c>
      <c r="R12">
        <f t="shared" si="2"/>
        <v>4</v>
      </c>
      <c r="S12" t="str">
        <f t="shared" si="3"/>
        <v>S</v>
      </c>
      <c r="U12">
        <f t="shared" si="4"/>
        <v>1</v>
      </c>
      <c r="V12">
        <f t="shared" si="0"/>
        <v>0</v>
      </c>
      <c r="W12">
        <f t="shared" si="0"/>
        <v>0</v>
      </c>
      <c r="X12">
        <f t="shared" si="0"/>
        <v>1</v>
      </c>
      <c r="Y12">
        <f t="shared" si="5"/>
        <v>1</v>
      </c>
      <c r="Z12">
        <f t="shared" si="1"/>
        <v>0</v>
      </c>
      <c r="AA12">
        <f t="shared" si="1"/>
        <v>0</v>
      </c>
    </row>
    <row r="13" spans="1:27" x14ac:dyDescent="0.4">
      <c r="A13">
        <v>12</v>
      </c>
      <c r="B13">
        <v>1</v>
      </c>
      <c r="C13" t="s">
        <v>44</v>
      </c>
      <c r="D13" t="s">
        <v>18</v>
      </c>
      <c r="E13">
        <v>58</v>
      </c>
      <c r="F13">
        <v>0</v>
      </c>
      <c r="G13">
        <v>0</v>
      </c>
      <c r="H13" t="s">
        <v>45</v>
      </c>
      <c r="I13">
        <v>26.55</v>
      </c>
      <c r="J13" t="s">
        <v>46</v>
      </c>
      <c r="K13" t="s">
        <v>16</v>
      </c>
      <c r="L13">
        <v>1</v>
      </c>
      <c r="N13" s="3" t="s">
        <v>2446</v>
      </c>
      <c r="O13" s="4"/>
      <c r="R13">
        <f t="shared" si="2"/>
        <v>58</v>
      </c>
      <c r="S13" t="str">
        <f t="shared" si="3"/>
        <v>S</v>
      </c>
      <c r="U13">
        <f t="shared" si="4"/>
        <v>1</v>
      </c>
      <c r="V13">
        <f t="shared" si="0"/>
        <v>1</v>
      </c>
      <c r="W13">
        <f t="shared" si="0"/>
        <v>0</v>
      </c>
      <c r="X13">
        <f t="shared" si="0"/>
        <v>0</v>
      </c>
      <c r="Y13">
        <f t="shared" si="5"/>
        <v>1</v>
      </c>
      <c r="Z13">
        <f t="shared" si="1"/>
        <v>0</v>
      </c>
      <c r="AA13">
        <f t="shared" si="1"/>
        <v>0</v>
      </c>
    </row>
    <row r="14" spans="1:27" x14ac:dyDescent="0.4">
      <c r="A14">
        <v>13</v>
      </c>
      <c r="B14">
        <v>3</v>
      </c>
      <c r="C14" t="s">
        <v>47</v>
      </c>
      <c r="D14" t="s">
        <v>13</v>
      </c>
      <c r="E14">
        <v>20</v>
      </c>
      <c r="F14">
        <v>0</v>
      </c>
      <c r="G14">
        <v>0</v>
      </c>
      <c r="H14" t="s">
        <v>48</v>
      </c>
      <c r="I14">
        <v>8.0500000000000007</v>
      </c>
      <c r="J14" t="s">
        <v>15</v>
      </c>
      <c r="K14" t="s">
        <v>16</v>
      </c>
      <c r="L14">
        <v>0</v>
      </c>
      <c r="N14" s="5" t="s">
        <v>1738</v>
      </c>
      <c r="O14" s="5">
        <f>AVERAGE(E:E)</f>
        <v>29.69911764705882</v>
      </c>
      <c r="R14">
        <f t="shared" si="2"/>
        <v>20</v>
      </c>
      <c r="S14" t="str">
        <f t="shared" si="3"/>
        <v>S</v>
      </c>
      <c r="U14">
        <f t="shared" si="4"/>
        <v>0</v>
      </c>
      <c r="V14">
        <f t="shared" si="0"/>
        <v>0</v>
      </c>
      <c r="W14">
        <f t="shared" si="0"/>
        <v>0</v>
      </c>
      <c r="X14">
        <f t="shared" si="0"/>
        <v>1</v>
      </c>
      <c r="Y14">
        <f t="shared" si="5"/>
        <v>1</v>
      </c>
      <c r="Z14">
        <f t="shared" si="1"/>
        <v>0</v>
      </c>
      <c r="AA14">
        <f t="shared" si="1"/>
        <v>0</v>
      </c>
    </row>
    <row r="15" spans="1:27" x14ac:dyDescent="0.4">
      <c r="A15">
        <v>14</v>
      </c>
      <c r="B15">
        <v>3</v>
      </c>
      <c r="C15" t="s">
        <v>49</v>
      </c>
      <c r="D15" t="s">
        <v>13</v>
      </c>
      <c r="E15">
        <v>39</v>
      </c>
      <c r="F15">
        <v>1</v>
      </c>
      <c r="G15">
        <v>5</v>
      </c>
      <c r="H15" t="s">
        <v>50</v>
      </c>
      <c r="I15">
        <v>31.274999999999999</v>
      </c>
      <c r="J15" t="s">
        <v>15</v>
      </c>
      <c r="K15" t="s">
        <v>16</v>
      </c>
      <c r="L15">
        <v>0</v>
      </c>
      <c r="N15" s="2" t="s">
        <v>1740</v>
      </c>
      <c r="O15" s="2">
        <f>AVERAGE(I:I)</f>
        <v>32.2042079685746</v>
      </c>
      <c r="R15">
        <f t="shared" si="2"/>
        <v>39</v>
      </c>
      <c r="S15" t="str">
        <f t="shared" si="3"/>
        <v>S</v>
      </c>
      <c r="U15">
        <f t="shared" si="4"/>
        <v>0</v>
      </c>
      <c r="V15">
        <f t="shared" si="0"/>
        <v>0</v>
      </c>
      <c r="W15">
        <f t="shared" si="0"/>
        <v>0</v>
      </c>
      <c r="X15">
        <f t="shared" si="0"/>
        <v>1</v>
      </c>
      <c r="Y15">
        <f t="shared" si="5"/>
        <v>1</v>
      </c>
      <c r="Z15">
        <f t="shared" si="1"/>
        <v>0</v>
      </c>
      <c r="AA15">
        <f t="shared" si="1"/>
        <v>0</v>
      </c>
    </row>
    <row r="16" spans="1:27" x14ac:dyDescent="0.4">
      <c r="A16">
        <v>15</v>
      </c>
      <c r="B16">
        <v>3</v>
      </c>
      <c r="C16" t="s">
        <v>51</v>
      </c>
      <c r="D16" t="s">
        <v>18</v>
      </c>
      <c r="E16">
        <v>14</v>
      </c>
      <c r="F16">
        <v>0</v>
      </c>
      <c r="G16">
        <v>0</v>
      </c>
      <c r="H16" t="s">
        <v>52</v>
      </c>
      <c r="I16">
        <v>7.8541999999999996</v>
      </c>
      <c r="J16" t="s">
        <v>15</v>
      </c>
      <c r="K16" t="s">
        <v>16</v>
      </c>
      <c r="L16">
        <v>0</v>
      </c>
      <c r="R16">
        <f t="shared" si="2"/>
        <v>14</v>
      </c>
      <c r="S16" t="str">
        <f t="shared" si="3"/>
        <v>S</v>
      </c>
      <c r="U16">
        <f t="shared" si="4"/>
        <v>1</v>
      </c>
      <c r="V16">
        <f t="shared" si="0"/>
        <v>0</v>
      </c>
      <c r="W16">
        <f t="shared" si="0"/>
        <v>0</v>
      </c>
      <c r="X16">
        <f t="shared" si="0"/>
        <v>1</v>
      </c>
      <c r="Y16">
        <f t="shared" si="5"/>
        <v>1</v>
      </c>
      <c r="Z16">
        <f t="shared" si="1"/>
        <v>0</v>
      </c>
      <c r="AA16">
        <f t="shared" si="1"/>
        <v>0</v>
      </c>
    </row>
    <row r="17" spans="1:27" x14ac:dyDescent="0.4">
      <c r="A17">
        <v>16</v>
      </c>
      <c r="B17">
        <v>2</v>
      </c>
      <c r="C17" t="s">
        <v>53</v>
      </c>
      <c r="D17" t="s">
        <v>18</v>
      </c>
      <c r="E17">
        <v>55</v>
      </c>
      <c r="F17">
        <v>0</v>
      </c>
      <c r="G17">
        <v>0</v>
      </c>
      <c r="H17" t="s">
        <v>54</v>
      </c>
      <c r="I17">
        <v>16</v>
      </c>
      <c r="J17" t="s">
        <v>15</v>
      </c>
      <c r="K17" t="s">
        <v>16</v>
      </c>
      <c r="L17">
        <v>1</v>
      </c>
      <c r="N17" s="3" t="s">
        <v>2447</v>
      </c>
      <c r="O17" s="4"/>
      <c r="R17">
        <f t="shared" si="2"/>
        <v>55</v>
      </c>
      <c r="S17" t="str">
        <f t="shared" si="3"/>
        <v>S</v>
      </c>
      <c r="U17">
        <f t="shared" si="4"/>
        <v>1</v>
      </c>
      <c r="V17">
        <f t="shared" si="0"/>
        <v>0</v>
      </c>
      <c r="W17">
        <f t="shared" si="0"/>
        <v>1</v>
      </c>
      <c r="X17">
        <f t="shared" si="0"/>
        <v>0</v>
      </c>
      <c r="Y17">
        <f t="shared" si="5"/>
        <v>1</v>
      </c>
      <c r="Z17">
        <f t="shared" si="1"/>
        <v>0</v>
      </c>
      <c r="AA17">
        <f t="shared" si="1"/>
        <v>0</v>
      </c>
    </row>
    <row r="18" spans="1:27" x14ac:dyDescent="0.4">
      <c r="A18">
        <v>17</v>
      </c>
      <c r="B18">
        <v>3</v>
      </c>
      <c r="C18" t="s">
        <v>55</v>
      </c>
      <c r="D18" t="s">
        <v>13</v>
      </c>
      <c r="E18">
        <v>2</v>
      </c>
      <c r="F18">
        <v>4</v>
      </c>
      <c r="G18">
        <v>1</v>
      </c>
      <c r="H18" t="s">
        <v>56</v>
      </c>
      <c r="I18">
        <v>29.125</v>
      </c>
      <c r="J18" t="s">
        <v>15</v>
      </c>
      <c r="K18" t="s">
        <v>31</v>
      </c>
      <c r="L18">
        <v>0</v>
      </c>
      <c r="N18" s="5" t="s">
        <v>1738</v>
      </c>
      <c r="O18" s="5">
        <f>MEDIAN(E:E)</f>
        <v>28</v>
      </c>
      <c r="R18">
        <f t="shared" si="2"/>
        <v>2</v>
      </c>
      <c r="S18" t="str">
        <f t="shared" si="3"/>
        <v>Q</v>
      </c>
      <c r="U18">
        <f t="shared" si="4"/>
        <v>0</v>
      </c>
      <c r="V18">
        <f t="shared" si="0"/>
        <v>0</v>
      </c>
      <c r="W18">
        <f t="shared" si="0"/>
        <v>0</v>
      </c>
      <c r="X18">
        <f t="shared" si="0"/>
        <v>1</v>
      </c>
      <c r="Y18">
        <f t="shared" si="5"/>
        <v>0</v>
      </c>
      <c r="Z18">
        <f t="shared" si="5"/>
        <v>1</v>
      </c>
      <c r="AA18">
        <f t="shared" si="5"/>
        <v>0</v>
      </c>
    </row>
    <row r="19" spans="1:27" x14ac:dyDescent="0.4">
      <c r="A19">
        <v>18</v>
      </c>
      <c r="B19">
        <v>2</v>
      </c>
      <c r="C19" t="s">
        <v>57</v>
      </c>
      <c r="D19" t="s">
        <v>13</v>
      </c>
      <c r="F19">
        <v>0</v>
      </c>
      <c r="G19">
        <v>0</v>
      </c>
      <c r="H19" t="s">
        <v>58</v>
      </c>
      <c r="I19">
        <v>13</v>
      </c>
      <c r="J19" t="s">
        <v>15</v>
      </c>
      <c r="K19" t="s">
        <v>16</v>
      </c>
      <c r="L19">
        <v>1</v>
      </c>
      <c r="N19" s="2" t="s">
        <v>1740</v>
      </c>
      <c r="O19" s="2">
        <f>MEDIAN(I:I)</f>
        <v>14.4542</v>
      </c>
      <c r="R19">
        <f t="shared" si="2"/>
        <v>28</v>
      </c>
      <c r="S19" t="str">
        <f t="shared" si="3"/>
        <v>S</v>
      </c>
      <c r="U19">
        <f t="shared" si="4"/>
        <v>0</v>
      </c>
      <c r="V19">
        <f t="shared" si="0"/>
        <v>0</v>
      </c>
      <c r="W19">
        <f t="shared" si="0"/>
        <v>1</v>
      </c>
      <c r="X19">
        <f t="shared" si="0"/>
        <v>0</v>
      </c>
      <c r="Y19">
        <f t="shared" si="5"/>
        <v>1</v>
      </c>
      <c r="Z19">
        <f t="shared" si="5"/>
        <v>0</v>
      </c>
      <c r="AA19">
        <f t="shared" si="5"/>
        <v>0</v>
      </c>
    </row>
    <row r="20" spans="1:27" x14ac:dyDescent="0.4">
      <c r="A20">
        <v>19</v>
      </c>
      <c r="B20">
        <v>3</v>
      </c>
      <c r="C20" t="s">
        <v>59</v>
      </c>
      <c r="D20" t="s">
        <v>18</v>
      </c>
      <c r="E20">
        <v>31</v>
      </c>
      <c r="F20">
        <v>1</v>
      </c>
      <c r="G20">
        <v>0</v>
      </c>
      <c r="H20" t="s">
        <v>60</v>
      </c>
      <c r="I20">
        <v>18</v>
      </c>
      <c r="J20" t="s">
        <v>15</v>
      </c>
      <c r="K20" t="s">
        <v>16</v>
      </c>
      <c r="L20">
        <v>0</v>
      </c>
      <c r="R20">
        <f t="shared" si="2"/>
        <v>31</v>
      </c>
      <c r="S20" t="str">
        <f t="shared" si="3"/>
        <v>S</v>
      </c>
      <c r="U20">
        <f t="shared" si="4"/>
        <v>1</v>
      </c>
      <c r="V20">
        <f t="shared" si="0"/>
        <v>0</v>
      </c>
      <c r="W20">
        <f t="shared" si="0"/>
        <v>0</v>
      </c>
      <c r="X20">
        <f t="shared" si="0"/>
        <v>1</v>
      </c>
      <c r="Y20">
        <f t="shared" si="5"/>
        <v>1</v>
      </c>
      <c r="Z20">
        <f t="shared" si="5"/>
        <v>0</v>
      </c>
      <c r="AA20">
        <f t="shared" si="5"/>
        <v>0</v>
      </c>
    </row>
    <row r="21" spans="1:27" x14ac:dyDescent="0.4">
      <c r="A21">
        <v>20</v>
      </c>
      <c r="B21">
        <v>3</v>
      </c>
      <c r="C21" t="s">
        <v>61</v>
      </c>
      <c r="D21" t="s">
        <v>18</v>
      </c>
      <c r="F21">
        <v>0</v>
      </c>
      <c r="G21">
        <v>0</v>
      </c>
      <c r="H21" t="s">
        <v>62</v>
      </c>
      <c r="I21">
        <v>7.2249999999999996</v>
      </c>
      <c r="J21" t="s">
        <v>15</v>
      </c>
      <c r="K21" t="s">
        <v>21</v>
      </c>
      <c r="L21">
        <v>1</v>
      </c>
      <c r="N21" s="15" t="s">
        <v>2448</v>
      </c>
      <c r="R21">
        <f t="shared" si="2"/>
        <v>28</v>
      </c>
      <c r="S21" t="str">
        <f t="shared" si="3"/>
        <v>C</v>
      </c>
      <c r="U21">
        <f t="shared" si="4"/>
        <v>1</v>
      </c>
      <c r="V21">
        <f t="shared" si="0"/>
        <v>0</v>
      </c>
      <c r="W21">
        <f t="shared" si="0"/>
        <v>0</v>
      </c>
      <c r="X21">
        <f t="shared" si="0"/>
        <v>1</v>
      </c>
      <c r="Y21">
        <f t="shared" si="5"/>
        <v>0</v>
      </c>
      <c r="Z21">
        <f t="shared" si="5"/>
        <v>0</v>
      </c>
      <c r="AA21">
        <f t="shared" si="5"/>
        <v>1</v>
      </c>
    </row>
    <row r="22" spans="1:27" x14ac:dyDescent="0.4">
      <c r="A22">
        <v>21</v>
      </c>
      <c r="B22">
        <v>2</v>
      </c>
      <c r="C22" t="s">
        <v>63</v>
      </c>
      <c r="D22" t="s">
        <v>13</v>
      </c>
      <c r="E22">
        <v>35</v>
      </c>
      <c r="F22">
        <v>0</v>
      </c>
      <c r="G22">
        <v>0</v>
      </c>
      <c r="H22" t="s">
        <v>64</v>
      </c>
      <c r="I22">
        <v>26</v>
      </c>
      <c r="J22" t="s">
        <v>15</v>
      </c>
      <c r="K22" t="s">
        <v>16</v>
      </c>
      <c r="L22">
        <v>0</v>
      </c>
      <c r="N22" t="s">
        <v>2463</v>
      </c>
      <c r="R22">
        <f t="shared" si="2"/>
        <v>35</v>
      </c>
      <c r="S22" t="str">
        <f t="shared" si="3"/>
        <v>S</v>
      </c>
      <c r="U22">
        <f t="shared" si="4"/>
        <v>0</v>
      </c>
      <c r="V22">
        <f t="shared" ref="V22:X41" si="6">IF("Pclass_"&amp;$B22=V$1,1,0)</f>
        <v>0</v>
      </c>
      <c r="W22">
        <f t="shared" si="6"/>
        <v>1</v>
      </c>
      <c r="X22">
        <f t="shared" si="6"/>
        <v>0</v>
      </c>
      <c r="Y22">
        <f t="shared" si="5"/>
        <v>1</v>
      </c>
      <c r="Z22">
        <f t="shared" si="5"/>
        <v>0</v>
      </c>
      <c r="AA22">
        <f t="shared" si="5"/>
        <v>0</v>
      </c>
    </row>
    <row r="23" spans="1:27" x14ac:dyDescent="0.4">
      <c r="A23">
        <v>22</v>
      </c>
      <c r="B23">
        <v>2</v>
      </c>
      <c r="C23" t="s">
        <v>65</v>
      </c>
      <c r="D23" t="s">
        <v>13</v>
      </c>
      <c r="E23">
        <v>34</v>
      </c>
      <c r="F23">
        <v>0</v>
      </c>
      <c r="G23">
        <v>0</v>
      </c>
      <c r="H23" t="s">
        <v>66</v>
      </c>
      <c r="I23">
        <v>13</v>
      </c>
      <c r="J23" t="s">
        <v>67</v>
      </c>
      <c r="K23" t="s">
        <v>16</v>
      </c>
      <c r="L23">
        <v>1</v>
      </c>
      <c r="N23" t="s">
        <v>2473</v>
      </c>
      <c r="R23">
        <f t="shared" si="2"/>
        <v>34</v>
      </c>
      <c r="S23" t="str">
        <f t="shared" si="3"/>
        <v>S</v>
      </c>
      <c r="U23">
        <f t="shared" si="4"/>
        <v>0</v>
      </c>
      <c r="V23">
        <f t="shared" si="6"/>
        <v>0</v>
      </c>
      <c r="W23">
        <f t="shared" si="6"/>
        <v>1</v>
      </c>
      <c r="X23">
        <f t="shared" si="6"/>
        <v>0</v>
      </c>
      <c r="Y23">
        <f t="shared" si="5"/>
        <v>1</v>
      </c>
      <c r="Z23">
        <f t="shared" si="5"/>
        <v>0</v>
      </c>
      <c r="AA23">
        <f t="shared" si="5"/>
        <v>0</v>
      </c>
    </row>
    <row r="24" spans="1:27" x14ac:dyDescent="0.4">
      <c r="A24">
        <v>23</v>
      </c>
      <c r="B24">
        <v>3</v>
      </c>
      <c r="C24" t="s">
        <v>68</v>
      </c>
      <c r="D24" t="s">
        <v>18</v>
      </c>
      <c r="E24">
        <v>15</v>
      </c>
      <c r="F24">
        <v>0</v>
      </c>
      <c r="G24">
        <v>0</v>
      </c>
      <c r="H24" t="s">
        <v>69</v>
      </c>
      <c r="I24">
        <v>8.0291999999999994</v>
      </c>
      <c r="J24" t="s">
        <v>15</v>
      </c>
      <c r="K24" t="s">
        <v>31</v>
      </c>
      <c r="L24">
        <v>1</v>
      </c>
      <c r="N24" t="s">
        <v>2465</v>
      </c>
      <c r="R24">
        <f t="shared" si="2"/>
        <v>15</v>
      </c>
      <c r="S24" t="str">
        <f t="shared" si="3"/>
        <v>Q</v>
      </c>
      <c r="U24">
        <f t="shared" si="4"/>
        <v>1</v>
      </c>
      <c r="V24">
        <f t="shared" si="6"/>
        <v>0</v>
      </c>
      <c r="W24">
        <f t="shared" si="6"/>
        <v>0</v>
      </c>
      <c r="X24">
        <f t="shared" si="6"/>
        <v>1</v>
      </c>
      <c r="Y24">
        <f t="shared" si="5"/>
        <v>0</v>
      </c>
      <c r="Z24">
        <f t="shared" si="5"/>
        <v>1</v>
      </c>
      <c r="AA24">
        <f t="shared" si="5"/>
        <v>0</v>
      </c>
    </row>
    <row r="25" spans="1:27" x14ac:dyDescent="0.4">
      <c r="A25">
        <v>24</v>
      </c>
      <c r="B25">
        <v>1</v>
      </c>
      <c r="C25" t="s">
        <v>70</v>
      </c>
      <c r="D25" t="s">
        <v>13</v>
      </c>
      <c r="E25">
        <v>28</v>
      </c>
      <c r="F25">
        <v>0</v>
      </c>
      <c r="G25">
        <v>0</v>
      </c>
      <c r="H25" t="s">
        <v>71</v>
      </c>
      <c r="I25">
        <v>35.5</v>
      </c>
      <c r="J25" t="s">
        <v>72</v>
      </c>
      <c r="K25" t="s">
        <v>16</v>
      </c>
      <c r="L25">
        <v>1</v>
      </c>
      <c r="N25" t="s">
        <v>2466</v>
      </c>
      <c r="R25">
        <f t="shared" si="2"/>
        <v>28</v>
      </c>
      <c r="S25" t="str">
        <f t="shared" si="3"/>
        <v>S</v>
      </c>
      <c r="U25">
        <f t="shared" si="4"/>
        <v>0</v>
      </c>
      <c r="V25">
        <f t="shared" si="6"/>
        <v>1</v>
      </c>
      <c r="W25">
        <f t="shared" si="6"/>
        <v>0</v>
      </c>
      <c r="X25">
        <f t="shared" si="6"/>
        <v>0</v>
      </c>
      <c r="Y25">
        <f t="shared" si="5"/>
        <v>1</v>
      </c>
      <c r="Z25">
        <f t="shared" si="5"/>
        <v>0</v>
      </c>
      <c r="AA25">
        <f t="shared" si="5"/>
        <v>0</v>
      </c>
    </row>
    <row r="26" spans="1:27" x14ac:dyDescent="0.4">
      <c r="A26">
        <v>25</v>
      </c>
      <c r="B26">
        <v>3</v>
      </c>
      <c r="C26" t="s">
        <v>73</v>
      </c>
      <c r="D26" t="s">
        <v>18</v>
      </c>
      <c r="E26">
        <v>8</v>
      </c>
      <c r="F26">
        <v>3</v>
      </c>
      <c r="G26">
        <v>1</v>
      </c>
      <c r="H26" t="s">
        <v>36</v>
      </c>
      <c r="I26">
        <v>21.074999999999999</v>
      </c>
      <c r="J26" t="s">
        <v>15</v>
      </c>
      <c r="K26" t="s">
        <v>16</v>
      </c>
      <c r="L26">
        <v>0</v>
      </c>
      <c r="N26" t="s">
        <v>2467</v>
      </c>
      <c r="R26">
        <f t="shared" si="2"/>
        <v>8</v>
      </c>
      <c r="S26" t="str">
        <f t="shared" si="3"/>
        <v>S</v>
      </c>
      <c r="U26">
        <f t="shared" si="4"/>
        <v>1</v>
      </c>
      <c r="V26">
        <f t="shared" si="6"/>
        <v>0</v>
      </c>
      <c r="W26">
        <f t="shared" si="6"/>
        <v>0</v>
      </c>
      <c r="X26">
        <f t="shared" si="6"/>
        <v>1</v>
      </c>
      <c r="Y26">
        <f t="shared" si="5"/>
        <v>1</v>
      </c>
      <c r="Z26">
        <f t="shared" si="5"/>
        <v>0</v>
      </c>
      <c r="AA26">
        <f t="shared" si="5"/>
        <v>0</v>
      </c>
    </row>
    <row r="27" spans="1:27" x14ac:dyDescent="0.4">
      <c r="A27">
        <v>26</v>
      </c>
      <c r="B27">
        <v>3</v>
      </c>
      <c r="C27" t="s">
        <v>74</v>
      </c>
      <c r="D27" t="s">
        <v>18</v>
      </c>
      <c r="E27">
        <v>38</v>
      </c>
      <c r="F27">
        <v>1</v>
      </c>
      <c r="G27">
        <v>5</v>
      </c>
      <c r="H27" t="s">
        <v>75</v>
      </c>
      <c r="I27">
        <v>31.387499999999999</v>
      </c>
      <c r="J27" t="s">
        <v>15</v>
      </c>
      <c r="K27" t="s">
        <v>16</v>
      </c>
      <c r="L27">
        <v>1</v>
      </c>
      <c r="N27" t="s">
        <v>2468</v>
      </c>
      <c r="R27">
        <f t="shared" si="2"/>
        <v>38</v>
      </c>
      <c r="S27" t="str">
        <f t="shared" si="3"/>
        <v>S</v>
      </c>
      <c r="U27">
        <f t="shared" si="4"/>
        <v>1</v>
      </c>
      <c r="V27">
        <f t="shared" si="6"/>
        <v>0</v>
      </c>
      <c r="W27">
        <f t="shared" si="6"/>
        <v>0</v>
      </c>
      <c r="X27">
        <f t="shared" si="6"/>
        <v>1</v>
      </c>
      <c r="Y27">
        <f t="shared" si="5"/>
        <v>1</v>
      </c>
      <c r="Z27">
        <f t="shared" si="5"/>
        <v>0</v>
      </c>
      <c r="AA27">
        <f t="shared" si="5"/>
        <v>0</v>
      </c>
    </row>
    <row r="28" spans="1:27" x14ac:dyDescent="0.4">
      <c r="A28">
        <v>27</v>
      </c>
      <c r="B28">
        <v>3</v>
      </c>
      <c r="C28" t="s">
        <v>76</v>
      </c>
      <c r="D28" t="s">
        <v>13</v>
      </c>
      <c r="F28">
        <v>0</v>
      </c>
      <c r="G28">
        <v>0</v>
      </c>
      <c r="H28" t="s">
        <v>77</v>
      </c>
      <c r="I28">
        <v>7.2249999999999996</v>
      </c>
      <c r="J28" t="s">
        <v>15</v>
      </c>
      <c r="K28" t="s">
        <v>21</v>
      </c>
      <c r="L28">
        <v>0</v>
      </c>
      <c r="N28" t="s">
        <v>2484</v>
      </c>
      <c r="R28">
        <f t="shared" si="2"/>
        <v>28</v>
      </c>
      <c r="S28" t="str">
        <f t="shared" si="3"/>
        <v>C</v>
      </c>
      <c r="U28">
        <f t="shared" si="4"/>
        <v>0</v>
      </c>
      <c r="V28">
        <f t="shared" si="6"/>
        <v>0</v>
      </c>
      <c r="W28">
        <f t="shared" si="6"/>
        <v>0</v>
      </c>
      <c r="X28">
        <f t="shared" si="6"/>
        <v>1</v>
      </c>
      <c r="Y28">
        <f t="shared" si="5"/>
        <v>0</v>
      </c>
      <c r="Z28">
        <f t="shared" si="5"/>
        <v>0</v>
      </c>
      <c r="AA28">
        <f t="shared" si="5"/>
        <v>1</v>
      </c>
    </row>
    <row r="29" spans="1:27" x14ac:dyDescent="0.4">
      <c r="A29">
        <v>28</v>
      </c>
      <c r="B29">
        <v>1</v>
      </c>
      <c r="C29" t="s">
        <v>78</v>
      </c>
      <c r="D29" t="s">
        <v>13</v>
      </c>
      <c r="E29">
        <v>19</v>
      </c>
      <c r="F29">
        <v>3</v>
      </c>
      <c r="G29">
        <v>2</v>
      </c>
      <c r="H29" t="s">
        <v>79</v>
      </c>
      <c r="I29">
        <v>263</v>
      </c>
      <c r="J29" t="s">
        <v>80</v>
      </c>
      <c r="K29" t="s">
        <v>16</v>
      </c>
      <c r="L29">
        <v>0</v>
      </c>
      <c r="N29" t="s">
        <v>2469</v>
      </c>
      <c r="R29">
        <f t="shared" si="2"/>
        <v>19</v>
      </c>
      <c r="S29" t="str">
        <f t="shared" si="3"/>
        <v>S</v>
      </c>
      <c r="U29">
        <f t="shared" si="4"/>
        <v>0</v>
      </c>
      <c r="V29">
        <f t="shared" si="6"/>
        <v>1</v>
      </c>
      <c r="W29">
        <f t="shared" si="6"/>
        <v>0</v>
      </c>
      <c r="X29">
        <f t="shared" si="6"/>
        <v>0</v>
      </c>
      <c r="Y29">
        <f t="shared" si="5"/>
        <v>1</v>
      </c>
      <c r="Z29">
        <f t="shared" si="5"/>
        <v>0</v>
      </c>
      <c r="AA29">
        <f t="shared" si="5"/>
        <v>0</v>
      </c>
    </row>
    <row r="30" spans="1:27" x14ac:dyDescent="0.4">
      <c r="A30">
        <v>29</v>
      </c>
      <c r="B30">
        <v>3</v>
      </c>
      <c r="C30" t="s">
        <v>81</v>
      </c>
      <c r="D30" t="s">
        <v>18</v>
      </c>
      <c r="F30">
        <v>0</v>
      </c>
      <c r="G30">
        <v>0</v>
      </c>
      <c r="H30" t="s">
        <v>82</v>
      </c>
      <c r="I30">
        <v>7.8792</v>
      </c>
      <c r="J30" t="s">
        <v>15</v>
      </c>
      <c r="K30" t="s">
        <v>31</v>
      </c>
      <c r="L30">
        <v>1</v>
      </c>
      <c r="N30" t="s">
        <v>2470</v>
      </c>
      <c r="R30">
        <f t="shared" si="2"/>
        <v>28</v>
      </c>
      <c r="S30" t="str">
        <f t="shared" si="3"/>
        <v>Q</v>
      </c>
      <c r="U30">
        <f t="shared" si="4"/>
        <v>1</v>
      </c>
      <c r="V30">
        <f t="shared" si="6"/>
        <v>0</v>
      </c>
      <c r="W30">
        <f t="shared" si="6"/>
        <v>0</v>
      </c>
      <c r="X30">
        <f t="shared" si="6"/>
        <v>1</v>
      </c>
      <c r="Y30">
        <f t="shared" si="5"/>
        <v>0</v>
      </c>
      <c r="Z30">
        <f t="shared" si="5"/>
        <v>1</v>
      </c>
      <c r="AA30">
        <f t="shared" si="5"/>
        <v>0</v>
      </c>
    </row>
    <row r="31" spans="1:27" x14ac:dyDescent="0.4">
      <c r="A31">
        <v>30</v>
      </c>
      <c r="B31">
        <v>3</v>
      </c>
      <c r="C31" t="s">
        <v>83</v>
      </c>
      <c r="D31" t="s">
        <v>13</v>
      </c>
      <c r="F31">
        <v>0</v>
      </c>
      <c r="G31">
        <v>0</v>
      </c>
      <c r="H31" t="s">
        <v>84</v>
      </c>
      <c r="I31">
        <v>7.8958000000000004</v>
      </c>
      <c r="J31" t="s">
        <v>15</v>
      </c>
      <c r="K31" t="s">
        <v>16</v>
      </c>
      <c r="L31">
        <v>0</v>
      </c>
      <c r="N31" t="s">
        <v>2474</v>
      </c>
      <c r="R31">
        <f t="shared" si="2"/>
        <v>28</v>
      </c>
      <c r="S31" t="str">
        <f t="shared" si="3"/>
        <v>S</v>
      </c>
      <c r="U31">
        <f t="shared" si="4"/>
        <v>0</v>
      </c>
      <c r="V31">
        <f t="shared" si="6"/>
        <v>0</v>
      </c>
      <c r="W31">
        <f t="shared" si="6"/>
        <v>0</v>
      </c>
      <c r="X31">
        <f t="shared" si="6"/>
        <v>1</v>
      </c>
      <c r="Y31">
        <f t="shared" si="5"/>
        <v>1</v>
      </c>
      <c r="Z31">
        <f t="shared" si="5"/>
        <v>0</v>
      </c>
      <c r="AA31">
        <f t="shared" si="5"/>
        <v>0</v>
      </c>
    </row>
    <row r="32" spans="1:27" x14ac:dyDescent="0.4">
      <c r="A32">
        <v>31</v>
      </c>
      <c r="B32">
        <v>1</v>
      </c>
      <c r="C32" t="s">
        <v>85</v>
      </c>
      <c r="D32" t="s">
        <v>13</v>
      </c>
      <c r="E32">
        <v>40</v>
      </c>
      <c r="F32">
        <v>0</v>
      </c>
      <c r="G32">
        <v>0</v>
      </c>
      <c r="H32" t="s">
        <v>86</v>
      </c>
      <c r="I32">
        <v>27.720800000000001</v>
      </c>
      <c r="J32" t="s">
        <v>15</v>
      </c>
      <c r="K32" t="s">
        <v>21</v>
      </c>
      <c r="L32">
        <v>0</v>
      </c>
      <c r="N32" t="s">
        <v>2510</v>
      </c>
      <c r="R32">
        <f t="shared" si="2"/>
        <v>40</v>
      </c>
      <c r="S32" t="str">
        <f t="shared" si="3"/>
        <v>C</v>
      </c>
      <c r="U32">
        <f t="shared" si="4"/>
        <v>0</v>
      </c>
      <c r="V32">
        <f t="shared" si="6"/>
        <v>1</v>
      </c>
      <c r="W32">
        <f t="shared" si="6"/>
        <v>0</v>
      </c>
      <c r="X32">
        <f t="shared" si="6"/>
        <v>0</v>
      </c>
      <c r="Y32">
        <f t="shared" si="5"/>
        <v>0</v>
      </c>
      <c r="Z32">
        <f t="shared" si="5"/>
        <v>0</v>
      </c>
      <c r="AA32">
        <f t="shared" si="5"/>
        <v>1</v>
      </c>
    </row>
    <row r="33" spans="1:27" x14ac:dyDescent="0.4">
      <c r="A33">
        <v>32</v>
      </c>
      <c r="B33">
        <v>1</v>
      </c>
      <c r="C33" t="s">
        <v>87</v>
      </c>
      <c r="D33" t="s">
        <v>18</v>
      </c>
      <c r="F33">
        <v>1</v>
      </c>
      <c r="G33">
        <v>0</v>
      </c>
      <c r="H33" t="s">
        <v>88</v>
      </c>
      <c r="I33">
        <v>146.52080000000001</v>
      </c>
      <c r="J33" t="s">
        <v>89</v>
      </c>
      <c r="K33" t="s">
        <v>21</v>
      </c>
      <c r="L33">
        <v>1</v>
      </c>
      <c r="R33">
        <f t="shared" si="2"/>
        <v>28</v>
      </c>
      <c r="S33" t="str">
        <f t="shared" si="3"/>
        <v>C</v>
      </c>
      <c r="U33">
        <f t="shared" si="4"/>
        <v>1</v>
      </c>
      <c r="V33">
        <f t="shared" si="6"/>
        <v>1</v>
      </c>
      <c r="W33">
        <f t="shared" si="6"/>
        <v>0</v>
      </c>
      <c r="X33">
        <f t="shared" si="6"/>
        <v>0</v>
      </c>
      <c r="Y33">
        <f t="shared" si="5"/>
        <v>0</v>
      </c>
      <c r="Z33">
        <f t="shared" si="5"/>
        <v>0</v>
      </c>
      <c r="AA33">
        <f t="shared" si="5"/>
        <v>1</v>
      </c>
    </row>
    <row r="34" spans="1:27" x14ac:dyDescent="0.4">
      <c r="A34">
        <v>33</v>
      </c>
      <c r="B34">
        <v>3</v>
      </c>
      <c r="C34" t="s">
        <v>90</v>
      </c>
      <c r="D34" t="s">
        <v>18</v>
      </c>
      <c r="F34">
        <v>0</v>
      </c>
      <c r="G34">
        <v>0</v>
      </c>
      <c r="H34" t="s">
        <v>91</v>
      </c>
      <c r="I34">
        <v>7.75</v>
      </c>
      <c r="J34" t="s">
        <v>15</v>
      </c>
      <c r="K34" t="s">
        <v>31</v>
      </c>
      <c r="L34">
        <v>1</v>
      </c>
      <c r="R34">
        <f t="shared" si="2"/>
        <v>28</v>
      </c>
      <c r="S34" t="str">
        <f t="shared" si="3"/>
        <v>Q</v>
      </c>
      <c r="U34">
        <f t="shared" si="4"/>
        <v>1</v>
      </c>
      <c r="V34">
        <f t="shared" si="6"/>
        <v>0</v>
      </c>
      <c r="W34">
        <f t="shared" si="6"/>
        <v>0</v>
      </c>
      <c r="X34">
        <f t="shared" si="6"/>
        <v>1</v>
      </c>
      <c r="Y34">
        <f t="shared" si="5"/>
        <v>0</v>
      </c>
      <c r="Z34">
        <f t="shared" si="5"/>
        <v>1</v>
      </c>
      <c r="AA34">
        <f t="shared" si="5"/>
        <v>0</v>
      </c>
    </row>
    <row r="35" spans="1:27" x14ac:dyDescent="0.4">
      <c r="A35">
        <v>34</v>
      </c>
      <c r="B35">
        <v>2</v>
      </c>
      <c r="C35" t="s">
        <v>92</v>
      </c>
      <c r="D35" t="s">
        <v>13</v>
      </c>
      <c r="E35">
        <v>66</v>
      </c>
      <c r="F35">
        <v>0</v>
      </c>
      <c r="G35">
        <v>0</v>
      </c>
      <c r="H35" t="s">
        <v>93</v>
      </c>
      <c r="I35">
        <v>10.5</v>
      </c>
      <c r="J35" t="s">
        <v>15</v>
      </c>
      <c r="K35" t="s">
        <v>16</v>
      </c>
      <c r="L35">
        <v>0</v>
      </c>
      <c r="R35">
        <f t="shared" si="2"/>
        <v>66</v>
      </c>
      <c r="S35" t="str">
        <f t="shared" si="3"/>
        <v>S</v>
      </c>
      <c r="U35">
        <f t="shared" si="4"/>
        <v>0</v>
      </c>
      <c r="V35">
        <f t="shared" si="6"/>
        <v>0</v>
      </c>
      <c r="W35">
        <f t="shared" si="6"/>
        <v>1</v>
      </c>
      <c r="X35">
        <f t="shared" si="6"/>
        <v>0</v>
      </c>
      <c r="Y35">
        <f t="shared" si="5"/>
        <v>1</v>
      </c>
      <c r="Z35">
        <f t="shared" si="5"/>
        <v>0</v>
      </c>
      <c r="AA35">
        <f t="shared" si="5"/>
        <v>0</v>
      </c>
    </row>
    <row r="36" spans="1:27" x14ac:dyDescent="0.4">
      <c r="A36">
        <v>35</v>
      </c>
      <c r="B36">
        <v>1</v>
      </c>
      <c r="C36" t="s">
        <v>94</v>
      </c>
      <c r="D36" t="s">
        <v>13</v>
      </c>
      <c r="E36">
        <v>28</v>
      </c>
      <c r="F36">
        <v>1</v>
      </c>
      <c r="G36">
        <v>0</v>
      </c>
      <c r="H36" t="s">
        <v>95</v>
      </c>
      <c r="I36">
        <v>82.1708</v>
      </c>
      <c r="J36" t="s">
        <v>15</v>
      </c>
      <c r="K36" t="s">
        <v>21</v>
      </c>
      <c r="L36">
        <v>0</v>
      </c>
      <c r="R36">
        <f t="shared" si="2"/>
        <v>28</v>
      </c>
      <c r="S36" t="str">
        <f t="shared" si="3"/>
        <v>C</v>
      </c>
      <c r="U36">
        <f t="shared" si="4"/>
        <v>0</v>
      </c>
      <c r="V36">
        <f t="shared" si="6"/>
        <v>1</v>
      </c>
      <c r="W36">
        <f t="shared" si="6"/>
        <v>0</v>
      </c>
      <c r="X36">
        <f t="shared" si="6"/>
        <v>0</v>
      </c>
      <c r="Y36">
        <f t="shared" si="5"/>
        <v>0</v>
      </c>
      <c r="Z36">
        <f t="shared" si="5"/>
        <v>0</v>
      </c>
      <c r="AA36">
        <f t="shared" si="5"/>
        <v>1</v>
      </c>
    </row>
    <row r="37" spans="1:27" x14ac:dyDescent="0.4">
      <c r="A37">
        <v>36</v>
      </c>
      <c r="B37">
        <v>1</v>
      </c>
      <c r="C37" t="s">
        <v>96</v>
      </c>
      <c r="D37" t="s">
        <v>13</v>
      </c>
      <c r="E37">
        <v>42</v>
      </c>
      <c r="F37">
        <v>1</v>
      </c>
      <c r="G37">
        <v>0</v>
      </c>
      <c r="H37" t="s">
        <v>97</v>
      </c>
      <c r="I37">
        <v>52</v>
      </c>
      <c r="J37" t="s">
        <v>15</v>
      </c>
      <c r="K37" t="s">
        <v>16</v>
      </c>
      <c r="L37">
        <v>0</v>
      </c>
      <c r="R37">
        <f t="shared" si="2"/>
        <v>42</v>
      </c>
      <c r="S37" t="str">
        <f t="shared" si="3"/>
        <v>S</v>
      </c>
      <c r="U37">
        <f t="shared" si="4"/>
        <v>0</v>
      </c>
      <c r="V37">
        <f t="shared" si="6"/>
        <v>1</v>
      </c>
      <c r="W37">
        <f t="shared" si="6"/>
        <v>0</v>
      </c>
      <c r="X37">
        <f t="shared" si="6"/>
        <v>0</v>
      </c>
      <c r="Y37">
        <f t="shared" si="5"/>
        <v>1</v>
      </c>
      <c r="Z37">
        <f t="shared" si="5"/>
        <v>0</v>
      </c>
      <c r="AA37">
        <f t="shared" si="5"/>
        <v>0</v>
      </c>
    </row>
    <row r="38" spans="1:27" x14ac:dyDescent="0.4">
      <c r="A38">
        <v>37</v>
      </c>
      <c r="B38">
        <v>3</v>
      </c>
      <c r="C38" t="s">
        <v>98</v>
      </c>
      <c r="D38" t="s">
        <v>13</v>
      </c>
      <c r="F38">
        <v>0</v>
      </c>
      <c r="G38">
        <v>0</v>
      </c>
      <c r="H38" t="s">
        <v>99</v>
      </c>
      <c r="I38">
        <v>7.2291999999999996</v>
      </c>
      <c r="J38" t="s">
        <v>15</v>
      </c>
      <c r="K38" t="s">
        <v>21</v>
      </c>
      <c r="L38">
        <v>1</v>
      </c>
      <c r="R38">
        <f t="shared" si="2"/>
        <v>28</v>
      </c>
      <c r="S38" t="str">
        <f t="shared" si="3"/>
        <v>C</v>
      </c>
      <c r="U38">
        <f t="shared" si="4"/>
        <v>0</v>
      </c>
      <c r="V38">
        <f t="shared" si="6"/>
        <v>0</v>
      </c>
      <c r="W38">
        <f t="shared" si="6"/>
        <v>0</v>
      </c>
      <c r="X38">
        <f t="shared" si="6"/>
        <v>1</v>
      </c>
      <c r="Y38">
        <f t="shared" si="5"/>
        <v>0</v>
      </c>
      <c r="Z38">
        <f t="shared" si="5"/>
        <v>0</v>
      </c>
      <c r="AA38">
        <f t="shared" si="5"/>
        <v>1</v>
      </c>
    </row>
    <row r="39" spans="1:27" x14ac:dyDescent="0.4">
      <c r="A39">
        <v>38</v>
      </c>
      <c r="B39">
        <v>3</v>
      </c>
      <c r="C39" t="s">
        <v>100</v>
      </c>
      <c r="D39" t="s">
        <v>13</v>
      </c>
      <c r="E39">
        <v>21</v>
      </c>
      <c r="F39">
        <v>0</v>
      </c>
      <c r="G39">
        <v>0</v>
      </c>
      <c r="H39" t="s">
        <v>101</v>
      </c>
      <c r="I39">
        <v>8.0500000000000007</v>
      </c>
      <c r="J39" t="s">
        <v>15</v>
      </c>
      <c r="K39" t="s">
        <v>16</v>
      </c>
      <c r="L39">
        <v>0</v>
      </c>
      <c r="R39">
        <f t="shared" si="2"/>
        <v>21</v>
      </c>
      <c r="S39" t="str">
        <f t="shared" si="3"/>
        <v>S</v>
      </c>
      <c r="U39">
        <f t="shared" si="4"/>
        <v>0</v>
      </c>
      <c r="V39">
        <f t="shared" si="6"/>
        <v>0</v>
      </c>
      <c r="W39">
        <f t="shared" si="6"/>
        <v>0</v>
      </c>
      <c r="X39">
        <f t="shared" si="6"/>
        <v>1</v>
      </c>
      <c r="Y39">
        <f t="shared" si="5"/>
        <v>1</v>
      </c>
      <c r="Z39">
        <f t="shared" si="5"/>
        <v>0</v>
      </c>
      <c r="AA39">
        <f t="shared" si="5"/>
        <v>0</v>
      </c>
    </row>
    <row r="40" spans="1:27" x14ac:dyDescent="0.4">
      <c r="A40">
        <v>39</v>
      </c>
      <c r="B40">
        <v>3</v>
      </c>
      <c r="C40" t="s">
        <v>102</v>
      </c>
      <c r="D40" t="s">
        <v>18</v>
      </c>
      <c r="E40">
        <v>18</v>
      </c>
      <c r="F40">
        <v>2</v>
      </c>
      <c r="G40">
        <v>0</v>
      </c>
      <c r="H40" t="s">
        <v>103</v>
      </c>
      <c r="I40">
        <v>18</v>
      </c>
      <c r="J40" t="s">
        <v>15</v>
      </c>
      <c r="K40" t="s">
        <v>16</v>
      </c>
      <c r="L40">
        <v>0</v>
      </c>
      <c r="R40">
        <f t="shared" si="2"/>
        <v>18</v>
      </c>
      <c r="S40" t="str">
        <f t="shared" si="3"/>
        <v>S</v>
      </c>
      <c r="U40">
        <f t="shared" si="4"/>
        <v>1</v>
      </c>
      <c r="V40">
        <f t="shared" si="6"/>
        <v>0</v>
      </c>
      <c r="W40">
        <f t="shared" si="6"/>
        <v>0</v>
      </c>
      <c r="X40">
        <f t="shared" si="6"/>
        <v>1</v>
      </c>
      <c r="Y40">
        <f t="shared" si="5"/>
        <v>1</v>
      </c>
      <c r="Z40">
        <f t="shared" si="5"/>
        <v>0</v>
      </c>
      <c r="AA40">
        <f t="shared" si="5"/>
        <v>0</v>
      </c>
    </row>
    <row r="41" spans="1:27" x14ac:dyDescent="0.4">
      <c r="A41">
        <v>40</v>
      </c>
      <c r="B41">
        <v>3</v>
      </c>
      <c r="C41" t="s">
        <v>104</v>
      </c>
      <c r="D41" t="s">
        <v>18</v>
      </c>
      <c r="E41">
        <v>14</v>
      </c>
      <c r="F41">
        <v>1</v>
      </c>
      <c r="G41">
        <v>0</v>
      </c>
      <c r="H41" t="s">
        <v>105</v>
      </c>
      <c r="I41">
        <v>11.2417</v>
      </c>
      <c r="J41" t="s">
        <v>15</v>
      </c>
      <c r="K41" t="s">
        <v>21</v>
      </c>
      <c r="L41">
        <v>1</v>
      </c>
      <c r="R41">
        <f t="shared" si="2"/>
        <v>14</v>
      </c>
      <c r="S41" t="str">
        <f t="shared" si="3"/>
        <v>C</v>
      </c>
      <c r="U41">
        <f t="shared" si="4"/>
        <v>1</v>
      </c>
      <c r="V41">
        <f t="shared" si="6"/>
        <v>0</v>
      </c>
      <c r="W41">
        <f t="shared" si="6"/>
        <v>0</v>
      </c>
      <c r="X41">
        <f t="shared" si="6"/>
        <v>1</v>
      </c>
      <c r="Y41">
        <f t="shared" si="5"/>
        <v>0</v>
      </c>
      <c r="Z41">
        <f t="shared" si="5"/>
        <v>0</v>
      </c>
      <c r="AA41">
        <f t="shared" si="5"/>
        <v>1</v>
      </c>
    </row>
    <row r="42" spans="1:27" x14ac:dyDescent="0.4">
      <c r="A42">
        <v>41</v>
      </c>
      <c r="B42">
        <v>3</v>
      </c>
      <c r="C42" t="s">
        <v>106</v>
      </c>
      <c r="D42" t="s">
        <v>18</v>
      </c>
      <c r="E42">
        <v>40</v>
      </c>
      <c r="F42">
        <v>1</v>
      </c>
      <c r="G42">
        <v>0</v>
      </c>
      <c r="H42" t="s">
        <v>107</v>
      </c>
      <c r="I42">
        <v>9.4749999999999996</v>
      </c>
      <c r="J42" t="s">
        <v>15</v>
      </c>
      <c r="K42" t="s">
        <v>16</v>
      </c>
      <c r="L42">
        <v>0</v>
      </c>
      <c r="R42">
        <f t="shared" si="2"/>
        <v>40</v>
      </c>
      <c r="S42" t="str">
        <f t="shared" si="3"/>
        <v>S</v>
      </c>
      <c r="U42">
        <f t="shared" si="4"/>
        <v>1</v>
      </c>
      <c r="V42">
        <f t="shared" ref="V42:X61" si="7">IF("Pclass_"&amp;$B42=V$1,1,0)</f>
        <v>0</v>
      </c>
      <c r="W42">
        <f t="shared" si="7"/>
        <v>0</v>
      </c>
      <c r="X42">
        <f t="shared" si="7"/>
        <v>1</v>
      </c>
      <c r="Y42">
        <f t="shared" si="5"/>
        <v>1</v>
      </c>
      <c r="Z42">
        <f t="shared" si="5"/>
        <v>0</v>
      </c>
      <c r="AA42">
        <f t="shared" si="5"/>
        <v>0</v>
      </c>
    </row>
    <row r="43" spans="1:27" x14ac:dyDescent="0.4">
      <c r="A43">
        <v>42</v>
      </c>
      <c r="B43">
        <v>2</v>
      </c>
      <c r="C43" t="s">
        <v>108</v>
      </c>
      <c r="D43" t="s">
        <v>18</v>
      </c>
      <c r="E43">
        <v>27</v>
      </c>
      <c r="F43">
        <v>1</v>
      </c>
      <c r="G43">
        <v>0</v>
      </c>
      <c r="H43" t="s">
        <v>109</v>
      </c>
      <c r="I43">
        <v>21</v>
      </c>
      <c r="J43" t="s">
        <v>15</v>
      </c>
      <c r="K43" t="s">
        <v>16</v>
      </c>
      <c r="L43">
        <v>0</v>
      </c>
      <c r="R43">
        <f t="shared" si="2"/>
        <v>27</v>
      </c>
      <c r="S43" t="str">
        <f t="shared" si="3"/>
        <v>S</v>
      </c>
      <c r="U43">
        <f t="shared" si="4"/>
        <v>1</v>
      </c>
      <c r="V43">
        <f t="shared" si="7"/>
        <v>0</v>
      </c>
      <c r="W43">
        <f t="shared" si="7"/>
        <v>1</v>
      </c>
      <c r="X43">
        <f t="shared" si="7"/>
        <v>0</v>
      </c>
      <c r="Y43">
        <f t="shared" si="5"/>
        <v>1</v>
      </c>
      <c r="Z43">
        <f t="shared" si="5"/>
        <v>0</v>
      </c>
      <c r="AA43">
        <f t="shared" si="5"/>
        <v>0</v>
      </c>
    </row>
    <row r="44" spans="1:27" x14ac:dyDescent="0.4">
      <c r="A44">
        <v>43</v>
      </c>
      <c r="B44">
        <v>3</v>
      </c>
      <c r="C44" t="s">
        <v>110</v>
      </c>
      <c r="D44" t="s">
        <v>13</v>
      </c>
      <c r="F44">
        <v>0</v>
      </c>
      <c r="G44">
        <v>0</v>
      </c>
      <c r="H44" t="s">
        <v>111</v>
      </c>
      <c r="I44">
        <v>7.8958000000000004</v>
      </c>
      <c r="J44" t="s">
        <v>15</v>
      </c>
      <c r="K44" t="s">
        <v>21</v>
      </c>
      <c r="L44">
        <v>0</v>
      </c>
      <c r="R44">
        <f t="shared" si="2"/>
        <v>28</v>
      </c>
      <c r="S44" t="str">
        <f t="shared" si="3"/>
        <v>C</v>
      </c>
      <c r="U44">
        <f t="shared" si="4"/>
        <v>0</v>
      </c>
      <c r="V44">
        <f t="shared" si="7"/>
        <v>0</v>
      </c>
      <c r="W44">
        <f t="shared" si="7"/>
        <v>0</v>
      </c>
      <c r="X44">
        <f t="shared" si="7"/>
        <v>1</v>
      </c>
      <c r="Y44">
        <f t="shared" si="5"/>
        <v>0</v>
      </c>
      <c r="Z44">
        <f t="shared" si="5"/>
        <v>0</v>
      </c>
      <c r="AA44">
        <f t="shared" si="5"/>
        <v>1</v>
      </c>
    </row>
    <row r="45" spans="1:27" x14ac:dyDescent="0.4">
      <c r="A45">
        <v>44</v>
      </c>
      <c r="B45">
        <v>2</v>
      </c>
      <c r="C45" t="s">
        <v>112</v>
      </c>
      <c r="D45" t="s">
        <v>18</v>
      </c>
      <c r="E45">
        <v>3</v>
      </c>
      <c r="F45">
        <v>1</v>
      </c>
      <c r="G45">
        <v>2</v>
      </c>
      <c r="H45" t="s">
        <v>113</v>
      </c>
      <c r="I45">
        <v>41.5792</v>
      </c>
      <c r="J45" t="s">
        <v>15</v>
      </c>
      <c r="K45" t="s">
        <v>21</v>
      </c>
      <c r="L45">
        <v>1</v>
      </c>
      <c r="R45">
        <f t="shared" si="2"/>
        <v>3</v>
      </c>
      <c r="S45" t="str">
        <f t="shared" si="3"/>
        <v>C</v>
      </c>
      <c r="U45">
        <f t="shared" si="4"/>
        <v>1</v>
      </c>
      <c r="V45">
        <f t="shared" si="7"/>
        <v>0</v>
      </c>
      <c r="W45">
        <f t="shared" si="7"/>
        <v>1</v>
      </c>
      <c r="X45">
        <f t="shared" si="7"/>
        <v>0</v>
      </c>
      <c r="Y45">
        <f t="shared" si="5"/>
        <v>0</v>
      </c>
      <c r="Z45">
        <f t="shared" si="5"/>
        <v>0</v>
      </c>
      <c r="AA45">
        <f t="shared" si="5"/>
        <v>1</v>
      </c>
    </row>
    <row r="46" spans="1:27" x14ac:dyDescent="0.4">
      <c r="A46">
        <v>45</v>
      </c>
      <c r="B46">
        <v>3</v>
      </c>
      <c r="C46" t="s">
        <v>114</v>
      </c>
      <c r="D46" t="s">
        <v>18</v>
      </c>
      <c r="E46">
        <v>19</v>
      </c>
      <c r="F46">
        <v>0</v>
      </c>
      <c r="G46">
        <v>0</v>
      </c>
      <c r="H46" t="s">
        <v>115</v>
      </c>
      <c r="I46">
        <v>7.8792</v>
      </c>
      <c r="J46" t="s">
        <v>15</v>
      </c>
      <c r="K46" t="s">
        <v>31</v>
      </c>
      <c r="L46">
        <v>1</v>
      </c>
      <c r="R46">
        <f t="shared" si="2"/>
        <v>19</v>
      </c>
      <c r="S46" t="str">
        <f t="shared" si="3"/>
        <v>Q</v>
      </c>
      <c r="U46">
        <f t="shared" si="4"/>
        <v>1</v>
      </c>
      <c r="V46">
        <f t="shared" si="7"/>
        <v>0</v>
      </c>
      <c r="W46">
        <f t="shared" si="7"/>
        <v>0</v>
      </c>
      <c r="X46">
        <f t="shared" si="7"/>
        <v>1</v>
      </c>
      <c r="Y46">
        <f t="shared" si="5"/>
        <v>0</v>
      </c>
      <c r="Z46">
        <f t="shared" si="5"/>
        <v>1</v>
      </c>
      <c r="AA46">
        <f t="shared" si="5"/>
        <v>0</v>
      </c>
    </row>
    <row r="47" spans="1:27" x14ac:dyDescent="0.4">
      <c r="A47">
        <v>46</v>
      </c>
      <c r="B47">
        <v>3</v>
      </c>
      <c r="C47" t="s">
        <v>116</v>
      </c>
      <c r="D47" t="s">
        <v>13</v>
      </c>
      <c r="F47">
        <v>0</v>
      </c>
      <c r="G47">
        <v>0</v>
      </c>
      <c r="H47" t="s">
        <v>117</v>
      </c>
      <c r="I47">
        <v>8.0500000000000007</v>
      </c>
      <c r="J47" t="s">
        <v>15</v>
      </c>
      <c r="K47" t="s">
        <v>16</v>
      </c>
      <c r="L47">
        <v>0</v>
      </c>
      <c r="R47">
        <f t="shared" si="2"/>
        <v>28</v>
      </c>
      <c r="S47" t="str">
        <f t="shared" si="3"/>
        <v>S</v>
      </c>
      <c r="U47">
        <f t="shared" si="4"/>
        <v>0</v>
      </c>
      <c r="V47">
        <f t="shared" si="7"/>
        <v>0</v>
      </c>
      <c r="W47">
        <f t="shared" si="7"/>
        <v>0</v>
      </c>
      <c r="X47">
        <f t="shared" si="7"/>
        <v>1</v>
      </c>
      <c r="Y47">
        <f t="shared" si="5"/>
        <v>1</v>
      </c>
      <c r="Z47">
        <f t="shared" si="5"/>
        <v>0</v>
      </c>
      <c r="AA47">
        <f t="shared" si="5"/>
        <v>0</v>
      </c>
    </row>
    <row r="48" spans="1:27" x14ac:dyDescent="0.4">
      <c r="A48">
        <v>47</v>
      </c>
      <c r="B48">
        <v>3</v>
      </c>
      <c r="C48" t="s">
        <v>118</v>
      </c>
      <c r="D48" t="s">
        <v>13</v>
      </c>
      <c r="F48">
        <v>1</v>
      </c>
      <c r="G48">
        <v>0</v>
      </c>
      <c r="H48" t="s">
        <v>119</v>
      </c>
      <c r="I48">
        <v>15.5</v>
      </c>
      <c r="J48" t="s">
        <v>15</v>
      </c>
      <c r="K48" t="s">
        <v>31</v>
      </c>
      <c r="L48">
        <v>0</v>
      </c>
      <c r="R48">
        <f t="shared" si="2"/>
        <v>28</v>
      </c>
      <c r="S48" t="str">
        <f t="shared" si="3"/>
        <v>Q</v>
      </c>
      <c r="U48">
        <f t="shared" si="4"/>
        <v>0</v>
      </c>
      <c r="V48">
        <f t="shared" si="7"/>
        <v>0</v>
      </c>
      <c r="W48">
        <f t="shared" si="7"/>
        <v>0</v>
      </c>
      <c r="X48">
        <f t="shared" si="7"/>
        <v>1</v>
      </c>
      <c r="Y48">
        <f t="shared" si="5"/>
        <v>0</v>
      </c>
      <c r="Z48">
        <f t="shared" si="5"/>
        <v>1</v>
      </c>
      <c r="AA48">
        <f t="shared" si="5"/>
        <v>0</v>
      </c>
    </row>
    <row r="49" spans="1:27" x14ac:dyDescent="0.4">
      <c r="A49">
        <v>48</v>
      </c>
      <c r="B49">
        <v>3</v>
      </c>
      <c r="C49" t="s">
        <v>120</v>
      </c>
      <c r="D49" t="s">
        <v>18</v>
      </c>
      <c r="F49">
        <v>0</v>
      </c>
      <c r="G49">
        <v>0</v>
      </c>
      <c r="H49" t="s">
        <v>121</v>
      </c>
      <c r="I49">
        <v>7.75</v>
      </c>
      <c r="J49" t="s">
        <v>15</v>
      </c>
      <c r="K49" t="s">
        <v>31</v>
      </c>
      <c r="L49">
        <v>1</v>
      </c>
      <c r="R49">
        <f t="shared" si="2"/>
        <v>28</v>
      </c>
      <c r="S49" t="str">
        <f t="shared" si="3"/>
        <v>Q</v>
      </c>
      <c r="U49">
        <f t="shared" si="4"/>
        <v>1</v>
      </c>
      <c r="V49">
        <f t="shared" si="7"/>
        <v>0</v>
      </c>
      <c r="W49">
        <f t="shared" si="7"/>
        <v>0</v>
      </c>
      <c r="X49">
        <f t="shared" si="7"/>
        <v>1</v>
      </c>
      <c r="Y49">
        <f t="shared" si="5"/>
        <v>0</v>
      </c>
      <c r="Z49">
        <f t="shared" si="5"/>
        <v>1</v>
      </c>
      <c r="AA49">
        <f t="shared" si="5"/>
        <v>0</v>
      </c>
    </row>
    <row r="50" spans="1:27" x14ac:dyDescent="0.4">
      <c r="A50">
        <v>49</v>
      </c>
      <c r="B50">
        <v>3</v>
      </c>
      <c r="C50" t="s">
        <v>122</v>
      </c>
      <c r="D50" t="s">
        <v>13</v>
      </c>
      <c r="F50">
        <v>2</v>
      </c>
      <c r="G50">
        <v>0</v>
      </c>
      <c r="H50" t="s">
        <v>123</v>
      </c>
      <c r="I50">
        <v>21.679200000000002</v>
      </c>
      <c r="J50" t="s">
        <v>15</v>
      </c>
      <c r="K50" t="s">
        <v>21</v>
      </c>
      <c r="L50">
        <v>0</v>
      </c>
      <c r="R50">
        <f t="shared" si="2"/>
        <v>28</v>
      </c>
      <c r="S50" t="str">
        <f t="shared" si="3"/>
        <v>C</v>
      </c>
      <c r="U50">
        <f t="shared" si="4"/>
        <v>0</v>
      </c>
      <c r="V50">
        <f t="shared" si="7"/>
        <v>0</v>
      </c>
      <c r="W50">
        <f t="shared" si="7"/>
        <v>0</v>
      </c>
      <c r="X50">
        <f t="shared" si="7"/>
        <v>1</v>
      </c>
      <c r="Y50">
        <f t="shared" si="5"/>
        <v>0</v>
      </c>
      <c r="Z50">
        <f t="shared" si="5"/>
        <v>0</v>
      </c>
      <c r="AA50">
        <f t="shared" si="5"/>
        <v>1</v>
      </c>
    </row>
    <row r="51" spans="1:27" x14ac:dyDescent="0.4">
      <c r="A51">
        <v>50</v>
      </c>
      <c r="B51">
        <v>3</v>
      </c>
      <c r="C51" t="s">
        <v>124</v>
      </c>
      <c r="D51" t="s">
        <v>18</v>
      </c>
      <c r="E51">
        <v>18</v>
      </c>
      <c r="F51">
        <v>1</v>
      </c>
      <c r="G51">
        <v>0</v>
      </c>
      <c r="H51" t="s">
        <v>125</v>
      </c>
      <c r="I51">
        <v>17.8</v>
      </c>
      <c r="J51" t="s">
        <v>15</v>
      </c>
      <c r="K51" t="s">
        <v>16</v>
      </c>
      <c r="L51">
        <v>0</v>
      </c>
      <c r="R51">
        <f t="shared" si="2"/>
        <v>18</v>
      </c>
      <c r="S51" t="str">
        <f t="shared" si="3"/>
        <v>S</v>
      </c>
      <c r="U51">
        <f t="shared" si="4"/>
        <v>1</v>
      </c>
      <c r="V51">
        <f t="shared" si="7"/>
        <v>0</v>
      </c>
      <c r="W51">
        <f t="shared" si="7"/>
        <v>0</v>
      </c>
      <c r="X51">
        <f t="shared" si="7"/>
        <v>1</v>
      </c>
      <c r="Y51">
        <f t="shared" si="5"/>
        <v>1</v>
      </c>
      <c r="Z51">
        <f t="shared" si="5"/>
        <v>0</v>
      </c>
      <c r="AA51">
        <f t="shared" si="5"/>
        <v>0</v>
      </c>
    </row>
    <row r="52" spans="1:27" x14ac:dyDescent="0.4">
      <c r="A52">
        <v>51</v>
      </c>
      <c r="B52">
        <v>3</v>
      </c>
      <c r="C52" t="s">
        <v>126</v>
      </c>
      <c r="D52" t="s">
        <v>13</v>
      </c>
      <c r="E52">
        <v>7</v>
      </c>
      <c r="F52">
        <v>4</v>
      </c>
      <c r="G52">
        <v>1</v>
      </c>
      <c r="H52" t="s">
        <v>127</v>
      </c>
      <c r="I52">
        <v>39.6875</v>
      </c>
      <c r="J52" t="s">
        <v>15</v>
      </c>
      <c r="K52" t="s">
        <v>16</v>
      </c>
      <c r="L52">
        <v>0</v>
      </c>
      <c r="R52">
        <f t="shared" si="2"/>
        <v>7</v>
      </c>
      <c r="S52" t="str">
        <f t="shared" si="3"/>
        <v>S</v>
      </c>
      <c r="U52">
        <f t="shared" si="4"/>
        <v>0</v>
      </c>
      <c r="V52">
        <f t="shared" si="7"/>
        <v>0</v>
      </c>
      <c r="W52">
        <f t="shared" si="7"/>
        <v>0</v>
      </c>
      <c r="X52">
        <f t="shared" si="7"/>
        <v>1</v>
      </c>
      <c r="Y52">
        <f t="shared" si="5"/>
        <v>1</v>
      </c>
      <c r="Z52">
        <f t="shared" si="5"/>
        <v>0</v>
      </c>
      <c r="AA52">
        <f t="shared" si="5"/>
        <v>0</v>
      </c>
    </row>
    <row r="53" spans="1:27" x14ac:dyDescent="0.4">
      <c r="A53">
        <v>52</v>
      </c>
      <c r="B53">
        <v>3</v>
      </c>
      <c r="C53" t="s">
        <v>128</v>
      </c>
      <c r="D53" t="s">
        <v>13</v>
      </c>
      <c r="E53">
        <v>21</v>
      </c>
      <c r="F53">
        <v>0</v>
      </c>
      <c r="G53">
        <v>0</v>
      </c>
      <c r="H53" t="s">
        <v>129</v>
      </c>
      <c r="I53">
        <v>7.8</v>
      </c>
      <c r="J53" t="s">
        <v>15</v>
      </c>
      <c r="K53" t="s">
        <v>16</v>
      </c>
      <c r="L53">
        <v>0</v>
      </c>
      <c r="R53">
        <f t="shared" si="2"/>
        <v>21</v>
      </c>
      <c r="S53" t="str">
        <f t="shared" si="3"/>
        <v>S</v>
      </c>
      <c r="U53">
        <f t="shared" si="4"/>
        <v>0</v>
      </c>
      <c r="V53">
        <f t="shared" si="7"/>
        <v>0</v>
      </c>
      <c r="W53">
        <f t="shared" si="7"/>
        <v>0</v>
      </c>
      <c r="X53">
        <f t="shared" si="7"/>
        <v>1</v>
      </c>
      <c r="Y53">
        <f t="shared" si="5"/>
        <v>1</v>
      </c>
      <c r="Z53">
        <f t="shared" si="5"/>
        <v>0</v>
      </c>
      <c r="AA53">
        <f t="shared" si="5"/>
        <v>0</v>
      </c>
    </row>
    <row r="54" spans="1:27" x14ac:dyDescent="0.4">
      <c r="A54">
        <v>53</v>
      </c>
      <c r="B54">
        <v>1</v>
      </c>
      <c r="C54" t="s">
        <v>130</v>
      </c>
      <c r="D54" t="s">
        <v>18</v>
      </c>
      <c r="E54">
        <v>49</v>
      </c>
      <c r="F54">
        <v>1</v>
      </c>
      <c r="G54">
        <v>0</v>
      </c>
      <c r="H54" t="s">
        <v>131</v>
      </c>
      <c r="I54">
        <v>76.729200000000006</v>
      </c>
      <c r="J54" t="s">
        <v>132</v>
      </c>
      <c r="K54" t="s">
        <v>21</v>
      </c>
      <c r="L54">
        <v>1</v>
      </c>
      <c r="R54">
        <f t="shared" si="2"/>
        <v>49</v>
      </c>
      <c r="S54" t="str">
        <f t="shared" si="3"/>
        <v>C</v>
      </c>
      <c r="U54">
        <f t="shared" si="4"/>
        <v>1</v>
      </c>
      <c r="V54">
        <f t="shared" si="7"/>
        <v>1</v>
      </c>
      <c r="W54">
        <f t="shared" si="7"/>
        <v>0</v>
      </c>
      <c r="X54">
        <f t="shared" si="7"/>
        <v>0</v>
      </c>
      <c r="Y54">
        <f t="shared" si="5"/>
        <v>0</v>
      </c>
      <c r="Z54">
        <f t="shared" si="5"/>
        <v>0</v>
      </c>
      <c r="AA54">
        <f t="shared" si="5"/>
        <v>1</v>
      </c>
    </row>
    <row r="55" spans="1:27" x14ac:dyDescent="0.4">
      <c r="A55">
        <v>54</v>
      </c>
      <c r="B55">
        <v>2</v>
      </c>
      <c r="C55" t="s">
        <v>133</v>
      </c>
      <c r="D55" t="s">
        <v>18</v>
      </c>
      <c r="E55">
        <v>29</v>
      </c>
      <c r="F55">
        <v>1</v>
      </c>
      <c r="G55">
        <v>0</v>
      </c>
      <c r="H55" t="s">
        <v>134</v>
      </c>
      <c r="I55">
        <v>26</v>
      </c>
      <c r="J55" t="s">
        <v>15</v>
      </c>
      <c r="K55" t="s">
        <v>16</v>
      </c>
      <c r="L55">
        <v>1</v>
      </c>
      <c r="R55">
        <f t="shared" si="2"/>
        <v>29</v>
      </c>
      <c r="S55" t="str">
        <f t="shared" si="3"/>
        <v>S</v>
      </c>
      <c r="U55">
        <f t="shared" si="4"/>
        <v>1</v>
      </c>
      <c r="V55">
        <f t="shared" si="7"/>
        <v>0</v>
      </c>
      <c r="W55">
        <f t="shared" si="7"/>
        <v>1</v>
      </c>
      <c r="X55">
        <f t="shared" si="7"/>
        <v>0</v>
      </c>
      <c r="Y55">
        <f t="shared" si="5"/>
        <v>1</v>
      </c>
      <c r="Z55">
        <f t="shared" si="5"/>
        <v>0</v>
      </c>
      <c r="AA55">
        <f t="shared" si="5"/>
        <v>0</v>
      </c>
    </row>
    <row r="56" spans="1:27" x14ac:dyDescent="0.4">
      <c r="A56">
        <v>55</v>
      </c>
      <c r="B56">
        <v>1</v>
      </c>
      <c r="C56" t="s">
        <v>135</v>
      </c>
      <c r="D56" t="s">
        <v>13</v>
      </c>
      <c r="E56">
        <v>65</v>
      </c>
      <c r="F56">
        <v>0</v>
      </c>
      <c r="G56">
        <v>1</v>
      </c>
      <c r="H56" t="s">
        <v>136</v>
      </c>
      <c r="I56">
        <v>61.979199999999999</v>
      </c>
      <c r="J56" t="s">
        <v>137</v>
      </c>
      <c r="K56" t="s">
        <v>21</v>
      </c>
      <c r="L56">
        <v>0</v>
      </c>
      <c r="R56">
        <f t="shared" si="2"/>
        <v>65</v>
      </c>
      <c r="S56" t="str">
        <f t="shared" si="3"/>
        <v>C</v>
      </c>
      <c r="U56">
        <f t="shared" si="4"/>
        <v>0</v>
      </c>
      <c r="V56">
        <f t="shared" si="7"/>
        <v>1</v>
      </c>
      <c r="W56">
        <f t="shared" si="7"/>
        <v>0</v>
      </c>
      <c r="X56">
        <f t="shared" si="7"/>
        <v>0</v>
      </c>
      <c r="Y56">
        <f t="shared" si="5"/>
        <v>0</v>
      </c>
      <c r="Z56">
        <f t="shared" si="5"/>
        <v>0</v>
      </c>
      <c r="AA56">
        <f t="shared" si="5"/>
        <v>1</v>
      </c>
    </row>
    <row r="57" spans="1:27" x14ac:dyDescent="0.4">
      <c r="A57">
        <v>56</v>
      </c>
      <c r="B57">
        <v>1</v>
      </c>
      <c r="C57" t="s">
        <v>138</v>
      </c>
      <c r="D57" t="s">
        <v>13</v>
      </c>
      <c r="F57">
        <v>0</v>
      </c>
      <c r="G57">
        <v>0</v>
      </c>
      <c r="H57" t="s">
        <v>139</v>
      </c>
      <c r="I57">
        <v>35.5</v>
      </c>
      <c r="J57" t="s">
        <v>140</v>
      </c>
      <c r="K57" t="s">
        <v>16</v>
      </c>
      <c r="L57">
        <v>1</v>
      </c>
      <c r="R57">
        <f t="shared" si="2"/>
        <v>28</v>
      </c>
      <c r="S57" t="str">
        <f t="shared" si="3"/>
        <v>S</v>
      </c>
      <c r="U57">
        <f t="shared" si="4"/>
        <v>0</v>
      </c>
      <c r="V57">
        <f t="shared" si="7"/>
        <v>1</v>
      </c>
      <c r="W57">
        <f t="shared" si="7"/>
        <v>0</v>
      </c>
      <c r="X57">
        <f t="shared" si="7"/>
        <v>0</v>
      </c>
      <c r="Y57">
        <f t="shared" si="5"/>
        <v>1</v>
      </c>
      <c r="Z57">
        <f t="shared" si="5"/>
        <v>0</v>
      </c>
      <c r="AA57">
        <f t="shared" si="5"/>
        <v>0</v>
      </c>
    </row>
    <row r="58" spans="1:27" x14ac:dyDescent="0.4">
      <c r="A58">
        <v>57</v>
      </c>
      <c r="B58">
        <v>2</v>
      </c>
      <c r="C58" t="s">
        <v>141</v>
      </c>
      <c r="D58" t="s">
        <v>18</v>
      </c>
      <c r="E58">
        <v>21</v>
      </c>
      <c r="F58">
        <v>0</v>
      </c>
      <c r="G58">
        <v>0</v>
      </c>
      <c r="H58" t="s">
        <v>142</v>
      </c>
      <c r="I58">
        <v>10.5</v>
      </c>
      <c r="J58" t="s">
        <v>15</v>
      </c>
      <c r="K58" t="s">
        <v>16</v>
      </c>
      <c r="L58">
        <v>1</v>
      </c>
      <c r="R58">
        <f t="shared" si="2"/>
        <v>21</v>
      </c>
      <c r="S58" t="str">
        <f t="shared" si="3"/>
        <v>S</v>
      </c>
      <c r="U58">
        <f t="shared" si="4"/>
        <v>1</v>
      </c>
      <c r="V58">
        <f t="shared" si="7"/>
        <v>0</v>
      </c>
      <c r="W58">
        <f t="shared" si="7"/>
        <v>1</v>
      </c>
      <c r="X58">
        <f t="shared" si="7"/>
        <v>0</v>
      </c>
      <c r="Y58">
        <f t="shared" si="5"/>
        <v>1</v>
      </c>
      <c r="Z58">
        <f t="shared" si="5"/>
        <v>0</v>
      </c>
      <c r="AA58">
        <f t="shared" si="5"/>
        <v>0</v>
      </c>
    </row>
    <row r="59" spans="1:27" x14ac:dyDescent="0.4">
      <c r="A59">
        <v>58</v>
      </c>
      <c r="B59">
        <v>3</v>
      </c>
      <c r="C59" t="s">
        <v>143</v>
      </c>
      <c r="D59" t="s">
        <v>13</v>
      </c>
      <c r="E59">
        <v>28.5</v>
      </c>
      <c r="F59">
        <v>0</v>
      </c>
      <c r="G59">
        <v>0</v>
      </c>
      <c r="H59" t="s">
        <v>144</v>
      </c>
      <c r="I59">
        <v>7.2291999999999996</v>
      </c>
      <c r="J59" t="s">
        <v>15</v>
      </c>
      <c r="K59" t="s">
        <v>21</v>
      </c>
      <c r="L59">
        <v>0</v>
      </c>
      <c r="R59">
        <f t="shared" si="2"/>
        <v>28.5</v>
      </c>
      <c r="S59" t="str">
        <f t="shared" si="3"/>
        <v>C</v>
      </c>
      <c r="U59">
        <f t="shared" si="4"/>
        <v>0</v>
      </c>
      <c r="V59">
        <f t="shared" si="7"/>
        <v>0</v>
      </c>
      <c r="W59">
        <f t="shared" si="7"/>
        <v>0</v>
      </c>
      <c r="X59">
        <f t="shared" si="7"/>
        <v>1</v>
      </c>
      <c r="Y59">
        <f t="shared" si="5"/>
        <v>0</v>
      </c>
      <c r="Z59">
        <f t="shared" si="5"/>
        <v>0</v>
      </c>
      <c r="AA59">
        <f t="shared" si="5"/>
        <v>1</v>
      </c>
    </row>
    <row r="60" spans="1:27" x14ac:dyDescent="0.4">
      <c r="A60">
        <v>59</v>
      </c>
      <c r="B60">
        <v>2</v>
      </c>
      <c r="C60" t="s">
        <v>145</v>
      </c>
      <c r="D60" t="s">
        <v>18</v>
      </c>
      <c r="E60">
        <v>5</v>
      </c>
      <c r="F60">
        <v>1</v>
      </c>
      <c r="G60">
        <v>2</v>
      </c>
      <c r="H60" t="s">
        <v>146</v>
      </c>
      <c r="I60">
        <v>27.75</v>
      </c>
      <c r="J60" t="s">
        <v>15</v>
      </c>
      <c r="K60" t="s">
        <v>16</v>
      </c>
      <c r="L60">
        <v>1</v>
      </c>
      <c r="R60">
        <f t="shared" si="2"/>
        <v>5</v>
      </c>
      <c r="S60" t="str">
        <f t="shared" si="3"/>
        <v>S</v>
      </c>
      <c r="U60">
        <f t="shared" si="4"/>
        <v>1</v>
      </c>
      <c r="V60">
        <f t="shared" si="7"/>
        <v>0</v>
      </c>
      <c r="W60">
        <f t="shared" si="7"/>
        <v>1</v>
      </c>
      <c r="X60">
        <f t="shared" si="7"/>
        <v>0</v>
      </c>
      <c r="Y60">
        <f t="shared" si="5"/>
        <v>1</v>
      </c>
      <c r="Z60">
        <f t="shared" si="5"/>
        <v>0</v>
      </c>
      <c r="AA60">
        <f t="shared" si="5"/>
        <v>0</v>
      </c>
    </row>
    <row r="61" spans="1:27" x14ac:dyDescent="0.4">
      <c r="A61">
        <v>60</v>
      </c>
      <c r="B61">
        <v>3</v>
      </c>
      <c r="C61" t="s">
        <v>147</v>
      </c>
      <c r="D61" t="s">
        <v>13</v>
      </c>
      <c r="E61">
        <v>11</v>
      </c>
      <c r="F61">
        <v>5</v>
      </c>
      <c r="G61">
        <v>2</v>
      </c>
      <c r="H61" t="s">
        <v>148</v>
      </c>
      <c r="I61">
        <v>46.9</v>
      </c>
      <c r="J61" t="s">
        <v>15</v>
      </c>
      <c r="K61" t="s">
        <v>16</v>
      </c>
      <c r="L61">
        <v>0</v>
      </c>
      <c r="R61">
        <f t="shared" si="2"/>
        <v>11</v>
      </c>
      <c r="S61" t="str">
        <f t="shared" si="3"/>
        <v>S</v>
      </c>
      <c r="U61">
        <f t="shared" si="4"/>
        <v>0</v>
      </c>
      <c r="V61">
        <f t="shared" si="7"/>
        <v>0</v>
      </c>
      <c r="W61">
        <f t="shared" si="7"/>
        <v>0</v>
      </c>
      <c r="X61">
        <f t="shared" si="7"/>
        <v>1</v>
      </c>
      <c r="Y61">
        <f t="shared" si="5"/>
        <v>1</v>
      </c>
      <c r="Z61">
        <f t="shared" si="5"/>
        <v>0</v>
      </c>
      <c r="AA61">
        <f t="shared" si="5"/>
        <v>0</v>
      </c>
    </row>
    <row r="62" spans="1:27" x14ac:dyDescent="0.4">
      <c r="A62">
        <v>61</v>
      </c>
      <c r="B62">
        <v>3</v>
      </c>
      <c r="C62" t="s">
        <v>149</v>
      </c>
      <c r="D62" t="s">
        <v>13</v>
      </c>
      <c r="E62">
        <v>22</v>
      </c>
      <c r="F62">
        <v>0</v>
      </c>
      <c r="G62">
        <v>0</v>
      </c>
      <c r="H62" t="s">
        <v>150</v>
      </c>
      <c r="I62">
        <v>7.2291999999999996</v>
      </c>
      <c r="J62" t="s">
        <v>15</v>
      </c>
      <c r="K62" t="s">
        <v>21</v>
      </c>
      <c r="L62">
        <v>0</v>
      </c>
      <c r="R62">
        <f t="shared" si="2"/>
        <v>22</v>
      </c>
      <c r="S62" t="str">
        <f t="shared" si="3"/>
        <v>C</v>
      </c>
      <c r="U62">
        <f t="shared" si="4"/>
        <v>0</v>
      </c>
      <c r="V62">
        <f t="shared" ref="V62:X81" si="8">IF("Pclass_"&amp;$B62=V$1,1,0)</f>
        <v>0</v>
      </c>
      <c r="W62">
        <f t="shared" si="8"/>
        <v>0</v>
      </c>
      <c r="X62">
        <f t="shared" si="8"/>
        <v>1</v>
      </c>
      <c r="Y62">
        <f t="shared" si="5"/>
        <v>0</v>
      </c>
      <c r="Z62">
        <f t="shared" si="5"/>
        <v>0</v>
      </c>
      <c r="AA62">
        <f t="shared" si="5"/>
        <v>1</v>
      </c>
    </row>
    <row r="63" spans="1:27" x14ac:dyDescent="0.4">
      <c r="A63">
        <v>62</v>
      </c>
      <c r="B63">
        <v>1</v>
      </c>
      <c r="C63" t="s">
        <v>151</v>
      </c>
      <c r="D63" t="s">
        <v>18</v>
      </c>
      <c r="E63">
        <v>38</v>
      </c>
      <c r="F63">
        <v>0</v>
      </c>
      <c r="G63">
        <v>0</v>
      </c>
      <c r="H63" t="s">
        <v>152</v>
      </c>
      <c r="I63">
        <v>80</v>
      </c>
      <c r="J63" t="s">
        <v>153</v>
      </c>
      <c r="K63" t="s">
        <v>15</v>
      </c>
      <c r="L63">
        <v>1</v>
      </c>
      <c r="R63">
        <f t="shared" si="2"/>
        <v>38</v>
      </c>
      <c r="S63" t="str">
        <f t="shared" si="3"/>
        <v>S</v>
      </c>
      <c r="U63">
        <f t="shared" si="4"/>
        <v>1</v>
      </c>
      <c r="V63">
        <f t="shared" si="8"/>
        <v>1</v>
      </c>
      <c r="W63">
        <f t="shared" si="8"/>
        <v>0</v>
      </c>
      <c r="X63">
        <f t="shared" si="8"/>
        <v>0</v>
      </c>
      <c r="Y63">
        <f t="shared" si="5"/>
        <v>1</v>
      </c>
      <c r="Z63">
        <f t="shared" si="5"/>
        <v>0</v>
      </c>
      <c r="AA63">
        <f t="shared" si="5"/>
        <v>0</v>
      </c>
    </row>
    <row r="64" spans="1:27" x14ac:dyDescent="0.4">
      <c r="A64">
        <v>63</v>
      </c>
      <c r="B64">
        <v>1</v>
      </c>
      <c r="C64" t="s">
        <v>154</v>
      </c>
      <c r="D64" t="s">
        <v>13</v>
      </c>
      <c r="E64">
        <v>45</v>
      </c>
      <c r="F64">
        <v>1</v>
      </c>
      <c r="G64">
        <v>0</v>
      </c>
      <c r="H64" t="s">
        <v>155</v>
      </c>
      <c r="I64">
        <v>83.474999999999994</v>
      </c>
      <c r="J64" t="s">
        <v>156</v>
      </c>
      <c r="K64" t="s">
        <v>16</v>
      </c>
      <c r="L64">
        <v>0</v>
      </c>
      <c r="R64">
        <f t="shared" si="2"/>
        <v>45</v>
      </c>
      <c r="S64" t="str">
        <f t="shared" si="3"/>
        <v>S</v>
      </c>
      <c r="U64">
        <f t="shared" si="4"/>
        <v>0</v>
      </c>
      <c r="V64">
        <f t="shared" si="8"/>
        <v>1</v>
      </c>
      <c r="W64">
        <f t="shared" si="8"/>
        <v>0</v>
      </c>
      <c r="X64">
        <f t="shared" si="8"/>
        <v>0</v>
      </c>
      <c r="Y64">
        <f t="shared" si="5"/>
        <v>1</v>
      </c>
      <c r="Z64">
        <f t="shared" si="5"/>
        <v>0</v>
      </c>
      <c r="AA64">
        <f t="shared" si="5"/>
        <v>0</v>
      </c>
    </row>
    <row r="65" spans="1:27" x14ac:dyDescent="0.4">
      <c r="A65">
        <v>64</v>
      </c>
      <c r="B65">
        <v>3</v>
      </c>
      <c r="C65" t="s">
        <v>157</v>
      </c>
      <c r="D65" t="s">
        <v>13</v>
      </c>
      <c r="E65">
        <v>4</v>
      </c>
      <c r="F65">
        <v>3</v>
      </c>
      <c r="G65">
        <v>2</v>
      </c>
      <c r="H65" t="s">
        <v>158</v>
      </c>
      <c r="I65">
        <v>27.9</v>
      </c>
      <c r="J65" t="s">
        <v>15</v>
      </c>
      <c r="K65" t="s">
        <v>16</v>
      </c>
      <c r="L65">
        <v>0</v>
      </c>
      <c r="R65">
        <f t="shared" si="2"/>
        <v>4</v>
      </c>
      <c r="S65" t="str">
        <f t="shared" si="3"/>
        <v>S</v>
      </c>
      <c r="U65">
        <f t="shared" si="4"/>
        <v>0</v>
      </c>
      <c r="V65">
        <f t="shared" si="8"/>
        <v>0</v>
      </c>
      <c r="W65">
        <f t="shared" si="8"/>
        <v>0</v>
      </c>
      <c r="X65">
        <f t="shared" si="8"/>
        <v>1</v>
      </c>
      <c r="Y65">
        <f t="shared" si="5"/>
        <v>1</v>
      </c>
      <c r="Z65">
        <f t="shared" si="5"/>
        <v>0</v>
      </c>
      <c r="AA65">
        <f t="shared" si="5"/>
        <v>0</v>
      </c>
    </row>
    <row r="66" spans="1:27" x14ac:dyDescent="0.4">
      <c r="A66">
        <v>65</v>
      </c>
      <c r="B66">
        <v>1</v>
      </c>
      <c r="C66" t="s">
        <v>159</v>
      </c>
      <c r="D66" t="s">
        <v>13</v>
      </c>
      <c r="F66">
        <v>0</v>
      </c>
      <c r="G66">
        <v>0</v>
      </c>
      <c r="H66" t="s">
        <v>160</v>
      </c>
      <c r="I66">
        <v>27.720800000000001</v>
      </c>
      <c r="J66" t="s">
        <v>15</v>
      </c>
      <c r="K66" t="s">
        <v>21</v>
      </c>
      <c r="L66">
        <v>0</v>
      </c>
      <c r="R66">
        <f t="shared" si="2"/>
        <v>28</v>
      </c>
      <c r="S66" t="str">
        <f t="shared" si="3"/>
        <v>C</v>
      </c>
      <c r="U66">
        <f t="shared" si="4"/>
        <v>0</v>
      </c>
      <c r="V66">
        <f t="shared" si="8"/>
        <v>1</v>
      </c>
      <c r="W66">
        <f t="shared" si="8"/>
        <v>0</v>
      </c>
      <c r="X66">
        <f t="shared" si="8"/>
        <v>0</v>
      </c>
      <c r="Y66">
        <f t="shared" si="5"/>
        <v>0</v>
      </c>
      <c r="Z66">
        <f t="shared" si="5"/>
        <v>0</v>
      </c>
      <c r="AA66">
        <f t="shared" si="5"/>
        <v>1</v>
      </c>
    </row>
    <row r="67" spans="1:27" x14ac:dyDescent="0.4">
      <c r="A67">
        <v>66</v>
      </c>
      <c r="B67">
        <v>3</v>
      </c>
      <c r="C67" t="s">
        <v>161</v>
      </c>
      <c r="D67" t="s">
        <v>13</v>
      </c>
      <c r="F67">
        <v>1</v>
      </c>
      <c r="G67">
        <v>1</v>
      </c>
      <c r="H67" t="s">
        <v>162</v>
      </c>
      <c r="I67">
        <v>15.245799999999999</v>
      </c>
      <c r="J67" t="s">
        <v>15</v>
      </c>
      <c r="K67" t="s">
        <v>21</v>
      </c>
      <c r="L67">
        <v>1</v>
      </c>
      <c r="R67">
        <f t="shared" ref="R67:R130" si="9">IF(E67&lt;&gt;"",E67,$O$18)</f>
        <v>28</v>
      </c>
      <c r="S67" t="str">
        <f t="shared" ref="S67:S130" si="10">IF(K67&lt;&gt;"",K67,$N$9)</f>
        <v>C</v>
      </c>
      <c r="U67">
        <f t="shared" ref="U67:U130" si="11">IF(D67="male",0,1)</f>
        <v>0</v>
      </c>
      <c r="V67">
        <f t="shared" si="8"/>
        <v>0</v>
      </c>
      <c r="W67">
        <f t="shared" si="8"/>
        <v>0</v>
      </c>
      <c r="X67">
        <f t="shared" si="8"/>
        <v>1</v>
      </c>
      <c r="Y67">
        <f t="shared" ref="Y67:AA130" si="12">IF($S67=RIGHT(Y$1,1),1,0)</f>
        <v>0</v>
      </c>
      <c r="Z67">
        <f t="shared" si="12"/>
        <v>0</v>
      </c>
      <c r="AA67">
        <f t="shared" si="12"/>
        <v>1</v>
      </c>
    </row>
    <row r="68" spans="1:27" x14ac:dyDescent="0.4">
      <c r="A68">
        <v>67</v>
      </c>
      <c r="B68">
        <v>2</v>
      </c>
      <c r="C68" t="s">
        <v>163</v>
      </c>
      <c r="D68" t="s">
        <v>18</v>
      </c>
      <c r="E68">
        <v>29</v>
      </c>
      <c r="F68">
        <v>0</v>
      </c>
      <c r="G68">
        <v>0</v>
      </c>
      <c r="H68" t="s">
        <v>164</v>
      </c>
      <c r="I68">
        <v>10.5</v>
      </c>
      <c r="J68" t="s">
        <v>165</v>
      </c>
      <c r="K68" t="s">
        <v>16</v>
      </c>
      <c r="L68">
        <v>1</v>
      </c>
      <c r="R68">
        <f t="shared" si="9"/>
        <v>29</v>
      </c>
      <c r="S68" t="str">
        <f t="shared" si="10"/>
        <v>S</v>
      </c>
      <c r="U68">
        <f t="shared" si="11"/>
        <v>1</v>
      </c>
      <c r="V68">
        <f t="shared" si="8"/>
        <v>0</v>
      </c>
      <c r="W68">
        <f t="shared" si="8"/>
        <v>1</v>
      </c>
      <c r="X68">
        <f t="shared" si="8"/>
        <v>0</v>
      </c>
      <c r="Y68">
        <f t="shared" si="12"/>
        <v>1</v>
      </c>
      <c r="Z68">
        <f t="shared" si="12"/>
        <v>0</v>
      </c>
      <c r="AA68">
        <f t="shared" si="12"/>
        <v>0</v>
      </c>
    </row>
    <row r="69" spans="1:27" x14ac:dyDescent="0.4">
      <c r="A69">
        <v>68</v>
      </c>
      <c r="B69">
        <v>3</v>
      </c>
      <c r="C69" t="s">
        <v>166</v>
      </c>
      <c r="D69" t="s">
        <v>13</v>
      </c>
      <c r="E69">
        <v>19</v>
      </c>
      <c r="F69">
        <v>0</v>
      </c>
      <c r="G69">
        <v>0</v>
      </c>
      <c r="H69" t="s">
        <v>167</v>
      </c>
      <c r="I69">
        <v>8.1583000000000006</v>
      </c>
      <c r="J69" t="s">
        <v>15</v>
      </c>
      <c r="K69" t="s">
        <v>16</v>
      </c>
      <c r="L69">
        <v>0</v>
      </c>
      <c r="R69">
        <f t="shared" si="9"/>
        <v>19</v>
      </c>
      <c r="S69" t="str">
        <f t="shared" si="10"/>
        <v>S</v>
      </c>
      <c r="U69">
        <f t="shared" si="11"/>
        <v>0</v>
      </c>
      <c r="V69">
        <f t="shared" si="8"/>
        <v>0</v>
      </c>
      <c r="W69">
        <f t="shared" si="8"/>
        <v>0</v>
      </c>
      <c r="X69">
        <f t="shared" si="8"/>
        <v>1</v>
      </c>
      <c r="Y69">
        <f t="shared" si="12"/>
        <v>1</v>
      </c>
      <c r="Z69">
        <f t="shared" si="12"/>
        <v>0</v>
      </c>
      <c r="AA69">
        <f t="shared" si="12"/>
        <v>0</v>
      </c>
    </row>
    <row r="70" spans="1:27" x14ac:dyDescent="0.4">
      <c r="A70">
        <v>69</v>
      </c>
      <c r="B70">
        <v>3</v>
      </c>
      <c r="C70" t="s">
        <v>168</v>
      </c>
      <c r="D70" t="s">
        <v>18</v>
      </c>
      <c r="E70">
        <v>17</v>
      </c>
      <c r="F70">
        <v>4</v>
      </c>
      <c r="G70">
        <v>2</v>
      </c>
      <c r="H70" t="s">
        <v>169</v>
      </c>
      <c r="I70">
        <v>7.9249999999999998</v>
      </c>
      <c r="J70" t="s">
        <v>15</v>
      </c>
      <c r="K70" t="s">
        <v>16</v>
      </c>
      <c r="L70">
        <v>1</v>
      </c>
      <c r="R70">
        <f t="shared" si="9"/>
        <v>17</v>
      </c>
      <c r="S70" t="str">
        <f t="shared" si="10"/>
        <v>S</v>
      </c>
      <c r="U70">
        <f t="shared" si="11"/>
        <v>1</v>
      </c>
      <c r="V70">
        <f t="shared" si="8"/>
        <v>0</v>
      </c>
      <c r="W70">
        <f t="shared" si="8"/>
        <v>0</v>
      </c>
      <c r="X70">
        <f t="shared" si="8"/>
        <v>1</v>
      </c>
      <c r="Y70">
        <f t="shared" si="12"/>
        <v>1</v>
      </c>
      <c r="Z70">
        <f t="shared" si="12"/>
        <v>0</v>
      </c>
      <c r="AA70">
        <f t="shared" si="12"/>
        <v>0</v>
      </c>
    </row>
    <row r="71" spans="1:27" x14ac:dyDescent="0.4">
      <c r="A71">
        <v>70</v>
      </c>
      <c r="B71">
        <v>3</v>
      </c>
      <c r="C71" t="s">
        <v>170</v>
      </c>
      <c r="D71" t="s">
        <v>13</v>
      </c>
      <c r="E71">
        <v>26</v>
      </c>
      <c r="F71">
        <v>2</v>
      </c>
      <c r="G71">
        <v>0</v>
      </c>
      <c r="H71" t="s">
        <v>171</v>
      </c>
      <c r="I71">
        <v>8.6624999999999996</v>
      </c>
      <c r="J71" t="s">
        <v>15</v>
      </c>
      <c r="K71" t="s">
        <v>16</v>
      </c>
      <c r="L71">
        <v>0</v>
      </c>
      <c r="R71">
        <f t="shared" si="9"/>
        <v>26</v>
      </c>
      <c r="S71" t="str">
        <f t="shared" si="10"/>
        <v>S</v>
      </c>
      <c r="U71">
        <f t="shared" si="11"/>
        <v>0</v>
      </c>
      <c r="V71">
        <f t="shared" si="8"/>
        <v>0</v>
      </c>
      <c r="W71">
        <f t="shared" si="8"/>
        <v>0</v>
      </c>
      <c r="X71">
        <f t="shared" si="8"/>
        <v>1</v>
      </c>
      <c r="Y71">
        <f t="shared" si="12"/>
        <v>1</v>
      </c>
      <c r="Z71">
        <f t="shared" si="12"/>
        <v>0</v>
      </c>
      <c r="AA71">
        <f t="shared" si="12"/>
        <v>0</v>
      </c>
    </row>
    <row r="72" spans="1:27" x14ac:dyDescent="0.4">
      <c r="A72">
        <v>71</v>
      </c>
      <c r="B72">
        <v>2</v>
      </c>
      <c r="C72" t="s">
        <v>172</v>
      </c>
      <c r="D72" t="s">
        <v>13</v>
      </c>
      <c r="E72">
        <v>32</v>
      </c>
      <c r="F72">
        <v>0</v>
      </c>
      <c r="G72">
        <v>0</v>
      </c>
      <c r="H72" t="s">
        <v>173</v>
      </c>
      <c r="I72">
        <v>10.5</v>
      </c>
      <c r="J72" t="s">
        <v>15</v>
      </c>
      <c r="K72" t="s">
        <v>16</v>
      </c>
      <c r="L72">
        <v>0</v>
      </c>
      <c r="R72">
        <f t="shared" si="9"/>
        <v>32</v>
      </c>
      <c r="S72" t="str">
        <f t="shared" si="10"/>
        <v>S</v>
      </c>
      <c r="U72">
        <f t="shared" si="11"/>
        <v>0</v>
      </c>
      <c r="V72">
        <f t="shared" si="8"/>
        <v>0</v>
      </c>
      <c r="W72">
        <f t="shared" si="8"/>
        <v>1</v>
      </c>
      <c r="X72">
        <f t="shared" si="8"/>
        <v>0</v>
      </c>
      <c r="Y72">
        <f t="shared" si="12"/>
        <v>1</v>
      </c>
      <c r="Z72">
        <f t="shared" si="12"/>
        <v>0</v>
      </c>
      <c r="AA72">
        <f t="shared" si="12"/>
        <v>0</v>
      </c>
    </row>
    <row r="73" spans="1:27" x14ac:dyDescent="0.4">
      <c r="A73">
        <v>72</v>
      </c>
      <c r="B73">
        <v>3</v>
      </c>
      <c r="C73" t="s">
        <v>174</v>
      </c>
      <c r="D73" t="s">
        <v>18</v>
      </c>
      <c r="E73">
        <v>16</v>
      </c>
      <c r="F73">
        <v>5</v>
      </c>
      <c r="G73">
        <v>2</v>
      </c>
      <c r="H73" t="s">
        <v>148</v>
      </c>
      <c r="I73">
        <v>46.9</v>
      </c>
      <c r="J73" t="s">
        <v>15</v>
      </c>
      <c r="K73" t="s">
        <v>16</v>
      </c>
      <c r="L73">
        <v>0</v>
      </c>
      <c r="R73">
        <f t="shared" si="9"/>
        <v>16</v>
      </c>
      <c r="S73" t="str">
        <f t="shared" si="10"/>
        <v>S</v>
      </c>
      <c r="U73">
        <f t="shared" si="11"/>
        <v>1</v>
      </c>
      <c r="V73">
        <f t="shared" si="8"/>
        <v>0</v>
      </c>
      <c r="W73">
        <f t="shared" si="8"/>
        <v>0</v>
      </c>
      <c r="X73">
        <f t="shared" si="8"/>
        <v>1</v>
      </c>
      <c r="Y73">
        <f t="shared" si="12"/>
        <v>1</v>
      </c>
      <c r="Z73">
        <f t="shared" si="12"/>
        <v>0</v>
      </c>
      <c r="AA73">
        <f t="shared" si="12"/>
        <v>0</v>
      </c>
    </row>
    <row r="74" spans="1:27" x14ac:dyDescent="0.4">
      <c r="A74">
        <v>73</v>
      </c>
      <c r="B74">
        <v>2</v>
      </c>
      <c r="C74" t="s">
        <v>175</v>
      </c>
      <c r="D74" t="s">
        <v>13</v>
      </c>
      <c r="E74">
        <v>21</v>
      </c>
      <c r="F74">
        <v>0</v>
      </c>
      <c r="G74">
        <v>0</v>
      </c>
      <c r="H74" t="s">
        <v>176</v>
      </c>
      <c r="I74">
        <v>73.5</v>
      </c>
      <c r="J74" t="s">
        <v>15</v>
      </c>
      <c r="K74" t="s">
        <v>16</v>
      </c>
      <c r="L74">
        <v>0</v>
      </c>
      <c r="R74">
        <f t="shared" si="9"/>
        <v>21</v>
      </c>
      <c r="S74" t="str">
        <f t="shared" si="10"/>
        <v>S</v>
      </c>
      <c r="U74">
        <f t="shared" si="11"/>
        <v>0</v>
      </c>
      <c r="V74">
        <f t="shared" si="8"/>
        <v>0</v>
      </c>
      <c r="W74">
        <f t="shared" si="8"/>
        <v>1</v>
      </c>
      <c r="X74">
        <f t="shared" si="8"/>
        <v>0</v>
      </c>
      <c r="Y74">
        <f t="shared" si="12"/>
        <v>1</v>
      </c>
      <c r="Z74">
        <f t="shared" si="12"/>
        <v>0</v>
      </c>
      <c r="AA74">
        <f t="shared" si="12"/>
        <v>0</v>
      </c>
    </row>
    <row r="75" spans="1:27" x14ac:dyDescent="0.4">
      <c r="A75">
        <v>74</v>
      </c>
      <c r="B75">
        <v>3</v>
      </c>
      <c r="C75" t="s">
        <v>177</v>
      </c>
      <c r="D75" t="s">
        <v>13</v>
      </c>
      <c r="E75">
        <v>26</v>
      </c>
      <c r="F75">
        <v>1</v>
      </c>
      <c r="G75">
        <v>0</v>
      </c>
      <c r="H75" t="s">
        <v>178</v>
      </c>
      <c r="I75">
        <v>14.4542</v>
      </c>
      <c r="J75" t="s">
        <v>15</v>
      </c>
      <c r="K75" t="s">
        <v>21</v>
      </c>
      <c r="L75">
        <v>0</v>
      </c>
      <c r="R75">
        <f t="shared" si="9"/>
        <v>26</v>
      </c>
      <c r="S75" t="str">
        <f t="shared" si="10"/>
        <v>C</v>
      </c>
      <c r="U75">
        <f t="shared" si="11"/>
        <v>0</v>
      </c>
      <c r="V75">
        <f t="shared" si="8"/>
        <v>0</v>
      </c>
      <c r="W75">
        <f t="shared" si="8"/>
        <v>0</v>
      </c>
      <c r="X75">
        <f t="shared" si="8"/>
        <v>1</v>
      </c>
      <c r="Y75">
        <f t="shared" si="12"/>
        <v>0</v>
      </c>
      <c r="Z75">
        <f t="shared" si="12"/>
        <v>0</v>
      </c>
      <c r="AA75">
        <f t="shared" si="12"/>
        <v>1</v>
      </c>
    </row>
    <row r="76" spans="1:27" x14ac:dyDescent="0.4">
      <c r="A76">
        <v>75</v>
      </c>
      <c r="B76">
        <v>3</v>
      </c>
      <c r="C76" t="s">
        <v>179</v>
      </c>
      <c r="D76" t="s">
        <v>13</v>
      </c>
      <c r="E76">
        <v>32</v>
      </c>
      <c r="F76">
        <v>0</v>
      </c>
      <c r="G76">
        <v>0</v>
      </c>
      <c r="H76" t="s">
        <v>180</v>
      </c>
      <c r="I76">
        <v>56.495800000000003</v>
      </c>
      <c r="J76" t="s">
        <v>15</v>
      </c>
      <c r="K76" t="s">
        <v>16</v>
      </c>
      <c r="L76">
        <v>1</v>
      </c>
      <c r="R76">
        <f t="shared" si="9"/>
        <v>32</v>
      </c>
      <c r="S76" t="str">
        <f t="shared" si="10"/>
        <v>S</v>
      </c>
      <c r="U76">
        <f t="shared" si="11"/>
        <v>0</v>
      </c>
      <c r="V76">
        <f t="shared" si="8"/>
        <v>0</v>
      </c>
      <c r="W76">
        <f t="shared" si="8"/>
        <v>0</v>
      </c>
      <c r="X76">
        <f t="shared" si="8"/>
        <v>1</v>
      </c>
      <c r="Y76">
        <f t="shared" si="12"/>
        <v>1</v>
      </c>
      <c r="Z76">
        <f t="shared" si="12"/>
        <v>0</v>
      </c>
      <c r="AA76">
        <f t="shared" si="12"/>
        <v>0</v>
      </c>
    </row>
    <row r="77" spans="1:27" x14ac:dyDescent="0.4">
      <c r="A77">
        <v>76</v>
      </c>
      <c r="B77">
        <v>3</v>
      </c>
      <c r="C77" t="s">
        <v>181</v>
      </c>
      <c r="D77" t="s">
        <v>13</v>
      </c>
      <c r="E77">
        <v>25</v>
      </c>
      <c r="F77">
        <v>0</v>
      </c>
      <c r="G77">
        <v>0</v>
      </c>
      <c r="H77" t="s">
        <v>182</v>
      </c>
      <c r="I77">
        <v>7.65</v>
      </c>
      <c r="J77" t="s">
        <v>183</v>
      </c>
      <c r="K77" t="s">
        <v>16</v>
      </c>
      <c r="L77">
        <v>0</v>
      </c>
      <c r="R77">
        <f t="shared" si="9"/>
        <v>25</v>
      </c>
      <c r="S77" t="str">
        <f t="shared" si="10"/>
        <v>S</v>
      </c>
      <c r="U77">
        <f t="shared" si="11"/>
        <v>0</v>
      </c>
      <c r="V77">
        <f t="shared" si="8"/>
        <v>0</v>
      </c>
      <c r="W77">
        <f t="shared" si="8"/>
        <v>0</v>
      </c>
      <c r="X77">
        <f t="shared" si="8"/>
        <v>1</v>
      </c>
      <c r="Y77">
        <f t="shared" si="12"/>
        <v>1</v>
      </c>
      <c r="Z77">
        <f t="shared" si="12"/>
        <v>0</v>
      </c>
      <c r="AA77">
        <f t="shared" si="12"/>
        <v>0</v>
      </c>
    </row>
    <row r="78" spans="1:27" x14ac:dyDescent="0.4">
      <c r="A78">
        <v>77</v>
      </c>
      <c r="B78">
        <v>3</v>
      </c>
      <c r="C78" t="s">
        <v>184</v>
      </c>
      <c r="D78" t="s">
        <v>13</v>
      </c>
      <c r="F78">
        <v>0</v>
      </c>
      <c r="G78">
        <v>0</v>
      </c>
      <c r="H78" t="s">
        <v>185</v>
      </c>
      <c r="I78">
        <v>7.8958000000000004</v>
      </c>
      <c r="J78" t="s">
        <v>15</v>
      </c>
      <c r="K78" t="s">
        <v>16</v>
      </c>
      <c r="L78">
        <v>0</v>
      </c>
      <c r="R78">
        <f t="shared" si="9"/>
        <v>28</v>
      </c>
      <c r="S78" t="str">
        <f t="shared" si="10"/>
        <v>S</v>
      </c>
      <c r="U78">
        <f t="shared" si="11"/>
        <v>0</v>
      </c>
      <c r="V78">
        <f t="shared" si="8"/>
        <v>0</v>
      </c>
      <c r="W78">
        <f t="shared" si="8"/>
        <v>0</v>
      </c>
      <c r="X78">
        <f t="shared" si="8"/>
        <v>1</v>
      </c>
      <c r="Y78">
        <f t="shared" si="12"/>
        <v>1</v>
      </c>
      <c r="Z78">
        <f t="shared" si="12"/>
        <v>0</v>
      </c>
      <c r="AA78">
        <f t="shared" si="12"/>
        <v>0</v>
      </c>
    </row>
    <row r="79" spans="1:27" x14ac:dyDescent="0.4">
      <c r="A79">
        <v>78</v>
      </c>
      <c r="B79">
        <v>3</v>
      </c>
      <c r="C79" t="s">
        <v>186</v>
      </c>
      <c r="D79" t="s">
        <v>13</v>
      </c>
      <c r="F79">
        <v>0</v>
      </c>
      <c r="G79">
        <v>0</v>
      </c>
      <c r="H79" t="s">
        <v>187</v>
      </c>
      <c r="I79">
        <v>8.0500000000000007</v>
      </c>
      <c r="J79" t="s">
        <v>15</v>
      </c>
      <c r="K79" t="s">
        <v>16</v>
      </c>
      <c r="L79">
        <v>0</v>
      </c>
      <c r="R79">
        <f t="shared" si="9"/>
        <v>28</v>
      </c>
      <c r="S79" t="str">
        <f t="shared" si="10"/>
        <v>S</v>
      </c>
      <c r="U79">
        <f t="shared" si="11"/>
        <v>0</v>
      </c>
      <c r="V79">
        <f t="shared" si="8"/>
        <v>0</v>
      </c>
      <c r="W79">
        <f t="shared" si="8"/>
        <v>0</v>
      </c>
      <c r="X79">
        <f t="shared" si="8"/>
        <v>1</v>
      </c>
      <c r="Y79">
        <f t="shared" si="12"/>
        <v>1</v>
      </c>
      <c r="Z79">
        <f t="shared" si="12"/>
        <v>0</v>
      </c>
      <c r="AA79">
        <f t="shared" si="12"/>
        <v>0</v>
      </c>
    </row>
    <row r="80" spans="1:27" x14ac:dyDescent="0.4">
      <c r="A80">
        <v>79</v>
      </c>
      <c r="B80">
        <v>2</v>
      </c>
      <c r="C80" t="s">
        <v>188</v>
      </c>
      <c r="D80" t="s">
        <v>13</v>
      </c>
      <c r="E80">
        <v>0.83</v>
      </c>
      <c r="F80">
        <v>0</v>
      </c>
      <c r="G80">
        <v>2</v>
      </c>
      <c r="H80" t="s">
        <v>189</v>
      </c>
      <c r="I80">
        <v>29</v>
      </c>
      <c r="J80" t="s">
        <v>15</v>
      </c>
      <c r="K80" t="s">
        <v>16</v>
      </c>
      <c r="L80">
        <v>1</v>
      </c>
      <c r="R80">
        <f t="shared" si="9"/>
        <v>0.83</v>
      </c>
      <c r="S80" t="str">
        <f t="shared" si="10"/>
        <v>S</v>
      </c>
      <c r="U80">
        <f t="shared" si="11"/>
        <v>0</v>
      </c>
      <c r="V80">
        <f t="shared" si="8"/>
        <v>0</v>
      </c>
      <c r="W80">
        <f t="shared" si="8"/>
        <v>1</v>
      </c>
      <c r="X80">
        <f t="shared" si="8"/>
        <v>0</v>
      </c>
      <c r="Y80">
        <f t="shared" si="12"/>
        <v>1</v>
      </c>
      <c r="Z80">
        <f t="shared" si="12"/>
        <v>0</v>
      </c>
      <c r="AA80">
        <f t="shared" si="12"/>
        <v>0</v>
      </c>
    </row>
    <row r="81" spans="1:27" x14ac:dyDescent="0.4">
      <c r="A81">
        <v>80</v>
      </c>
      <c r="B81">
        <v>3</v>
      </c>
      <c r="C81" t="s">
        <v>190</v>
      </c>
      <c r="D81" t="s">
        <v>18</v>
      </c>
      <c r="E81">
        <v>30</v>
      </c>
      <c r="F81">
        <v>0</v>
      </c>
      <c r="G81">
        <v>0</v>
      </c>
      <c r="H81" t="s">
        <v>191</v>
      </c>
      <c r="I81">
        <v>12.475</v>
      </c>
      <c r="J81" t="s">
        <v>15</v>
      </c>
      <c r="K81" t="s">
        <v>16</v>
      </c>
      <c r="L81">
        <v>1</v>
      </c>
      <c r="R81">
        <f t="shared" si="9"/>
        <v>30</v>
      </c>
      <c r="S81" t="str">
        <f t="shared" si="10"/>
        <v>S</v>
      </c>
      <c r="U81">
        <f t="shared" si="11"/>
        <v>1</v>
      </c>
      <c r="V81">
        <f t="shared" si="8"/>
        <v>0</v>
      </c>
      <c r="W81">
        <f t="shared" si="8"/>
        <v>0</v>
      </c>
      <c r="X81">
        <f t="shared" si="8"/>
        <v>1</v>
      </c>
      <c r="Y81">
        <f t="shared" si="12"/>
        <v>1</v>
      </c>
      <c r="Z81">
        <f t="shared" si="12"/>
        <v>0</v>
      </c>
      <c r="AA81">
        <f t="shared" si="12"/>
        <v>0</v>
      </c>
    </row>
    <row r="82" spans="1:27" x14ac:dyDescent="0.4">
      <c r="A82">
        <v>81</v>
      </c>
      <c r="B82">
        <v>3</v>
      </c>
      <c r="C82" t="s">
        <v>192</v>
      </c>
      <c r="D82" t="s">
        <v>13</v>
      </c>
      <c r="E82">
        <v>22</v>
      </c>
      <c r="F82">
        <v>0</v>
      </c>
      <c r="G82">
        <v>0</v>
      </c>
      <c r="H82" t="s">
        <v>193</v>
      </c>
      <c r="I82">
        <v>9</v>
      </c>
      <c r="J82" t="s">
        <v>15</v>
      </c>
      <c r="K82" t="s">
        <v>16</v>
      </c>
      <c r="L82">
        <v>0</v>
      </c>
      <c r="R82">
        <f t="shared" si="9"/>
        <v>22</v>
      </c>
      <c r="S82" t="str">
        <f t="shared" si="10"/>
        <v>S</v>
      </c>
      <c r="U82">
        <f t="shared" si="11"/>
        <v>0</v>
      </c>
      <c r="V82">
        <f t="shared" ref="V82:X101" si="13">IF("Pclass_"&amp;$B82=V$1,1,0)</f>
        <v>0</v>
      </c>
      <c r="W82">
        <f t="shared" si="13"/>
        <v>0</v>
      </c>
      <c r="X82">
        <f t="shared" si="13"/>
        <v>1</v>
      </c>
      <c r="Y82">
        <f t="shared" si="12"/>
        <v>1</v>
      </c>
      <c r="Z82">
        <f t="shared" si="12"/>
        <v>0</v>
      </c>
      <c r="AA82">
        <f t="shared" si="12"/>
        <v>0</v>
      </c>
    </row>
    <row r="83" spans="1:27" x14ac:dyDescent="0.4">
      <c r="A83">
        <v>82</v>
      </c>
      <c r="B83">
        <v>3</v>
      </c>
      <c r="C83" t="s">
        <v>194</v>
      </c>
      <c r="D83" t="s">
        <v>13</v>
      </c>
      <c r="E83">
        <v>29</v>
      </c>
      <c r="F83">
        <v>0</v>
      </c>
      <c r="G83">
        <v>0</v>
      </c>
      <c r="H83" t="s">
        <v>195</v>
      </c>
      <c r="I83">
        <v>9.5</v>
      </c>
      <c r="J83" t="s">
        <v>15</v>
      </c>
      <c r="K83" t="s">
        <v>16</v>
      </c>
      <c r="L83">
        <v>1</v>
      </c>
      <c r="R83">
        <f t="shared" si="9"/>
        <v>29</v>
      </c>
      <c r="S83" t="str">
        <f t="shared" si="10"/>
        <v>S</v>
      </c>
      <c r="U83">
        <f t="shared" si="11"/>
        <v>0</v>
      </c>
      <c r="V83">
        <f t="shared" si="13"/>
        <v>0</v>
      </c>
      <c r="W83">
        <f t="shared" si="13"/>
        <v>0</v>
      </c>
      <c r="X83">
        <f t="shared" si="13"/>
        <v>1</v>
      </c>
      <c r="Y83">
        <f t="shared" si="12"/>
        <v>1</v>
      </c>
      <c r="Z83">
        <f t="shared" si="12"/>
        <v>0</v>
      </c>
      <c r="AA83">
        <f t="shared" si="12"/>
        <v>0</v>
      </c>
    </row>
    <row r="84" spans="1:27" x14ac:dyDescent="0.4">
      <c r="A84">
        <v>83</v>
      </c>
      <c r="B84">
        <v>3</v>
      </c>
      <c r="C84" t="s">
        <v>196</v>
      </c>
      <c r="D84" t="s">
        <v>18</v>
      </c>
      <c r="F84">
        <v>0</v>
      </c>
      <c r="G84">
        <v>0</v>
      </c>
      <c r="H84" t="s">
        <v>197</v>
      </c>
      <c r="I84">
        <v>7.7874999999999996</v>
      </c>
      <c r="J84" t="s">
        <v>15</v>
      </c>
      <c r="K84" t="s">
        <v>31</v>
      </c>
      <c r="L84">
        <v>1</v>
      </c>
      <c r="R84">
        <f t="shared" si="9"/>
        <v>28</v>
      </c>
      <c r="S84" t="str">
        <f t="shared" si="10"/>
        <v>Q</v>
      </c>
      <c r="U84">
        <f t="shared" si="11"/>
        <v>1</v>
      </c>
      <c r="V84">
        <f t="shared" si="13"/>
        <v>0</v>
      </c>
      <c r="W84">
        <f t="shared" si="13"/>
        <v>0</v>
      </c>
      <c r="X84">
        <f t="shared" si="13"/>
        <v>1</v>
      </c>
      <c r="Y84">
        <f t="shared" si="12"/>
        <v>0</v>
      </c>
      <c r="Z84">
        <f t="shared" si="12"/>
        <v>1</v>
      </c>
      <c r="AA84">
        <f t="shared" si="12"/>
        <v>0</v>
      </c>
    </row>
    <row r="85" spans="1:27" x14ac:dyDescent="0.4">
      <c r="A85">
        <v>84</v>
      </c>
      <c r="B85">
        <v>1</v>
      </c>
      <c r="C85" t="s">
        <v>198</v>
      </c>
      <c r="D85" t="s">
        <v>13</v>
      </c>
      <c r="E85">
        <v>28</v>
      </c>
      <c r="F85">
        <v>0</v>
      </c>
      <c r="G85">
        <v>0</v>
      </c>
      <c r="H85" t="s">
        <v>199</v>
      </c>
      <c r="I85">
        <v>47.1</v>
      </c>
      <c r="J85" t="s">
        <v>15</v>
      </c>
      <c r="K85" t="s">
        <v>16</v>
      </c>
      <c r="L85">
        <v>0</v>
      </c>
      <c r="R85">
        <f t="shared" si="9"/>
        <v>28</v>
      </c>
      <c r="S85" t="str">
        <f t="shared" si="10"/>
        <v>S</v>
      </c>
      <c r="U85">
        <f t="shared" si="11"/>
        <v>0</v>
      </c>
      <c r="V85">
        <f t="shared" si="13"/>
        <v>1</v>
      </c>
      <c r="W85">
        <f t="shared" si="13"/>
        <v>0</v>
      </c>
      <c r="X85">
        <f t="shared" si="13"/>
        <v>0</v>
      </c>
      <c r="Y85">
        <f t="shared" si="12"/>
        <v>1</v>
      </c>
      <c r="Z85">
        <f t="shared" si="12"/>
        <v>0</v>
      </c>
      <c r="AA85">
        <f t="shared" si="12"/>
        <v>0</v>
      </c>
    </row>
    <row r="86" spans="1:27" x14ac:dyDescent="0.4">
      <c r="A86">
        <v>85</v>
      </c>
      <c r="B86">
        <v>2</v>
      </c>
      <c r="C86" t="s">
        <v>200</v>
      </c>
      <c r="D86" t="s">
        <v>18</v>
      </c>
      <c r="E86">
        <v>17</v>
      </c>
      <c r="F86">
        <v>0</v>
      </c>
      <c r="G86">
        <v>0</v>
      </c>
      <c r="H86" t="s">
        <v>201</v>
      </c>
      <c r="I86">
        <v>10.5</v>
      </c>
      <c r="J86" t="s">
        <v>15</v>
      </c>
      <c r="K86" t="s">
        <v>16</v>
      </c>
      <c r="L86">
        <v>1</v>
      </c>
      <c r="R86">
        <f t="shared" si="9"/>
        <v>17</v>
      </c>
      <c r="S86" t="str">
        <f t="shared" si="10"/>
        <v>S</v>
      </c>
      <c r="U86">
        <f t="shared" si="11"/>
        <v>1</v>
      </c>
      <c r="V86">
        <f t="shared" si="13"/>
        <v>0</v>
      </c>
      <c r="W86">
        <f t="shared" si="13"/>
        <v>1</v>
      </c>
      <c r="X86">
        <f t="shared" si="13"/>
        <v>0</v>
      </c>
      <c r="Y86">
        <f t="shared" si="12"/>
        <v>1</v>
      </c>
      <c r="Z86">
        <f t="shared" si="12"/>
        <v>0</v>
      </c>
      <c r="AA86">
        <f t="shared" si="12"/>
        <v>0</v>
      </c>
    </row>
    <row r="87" spans="1:27" x14ac:dyDescent="0.4">
      <c r="A87">
        <v>86</v>
      </c>
      <c r="B87">
        <v>3</v>
      </c>
      <c r="C87" t="s">
        <v>202</v>
      </c>
      <c r="D87" t="s">
        <v>18</v>
      </c>
      <c r="E87">
        <v>33</v>
      </c>
      <c r="F87">
        <v>3</v>
      </c>
      <c r="G87">
        <v>0</v>
      </c>
      <c r="H87" t="s">
        <v>203</v>
      </c>
      <c r="I87">
        <v>15.85</v>
      </c>
      <c r="J87" t="s">
        <v>15</v>
      </c>
      <c r="K87" t="s">
        <v>16</v>
      </c>
      <c r="L87">
        <v>1</v>
      </c>
      <c r="R87">
        <f t="shared" si="9"/>
        <v>33</v>
      </c>
      <c r="S87" t="str">
        <f t="shared" si="10"/>
        <v>S</v>
      </c>
      <c r="U87">
        <f t="shared" si="11"/>
        <v>1</v>
      </c>
      <c r="V87">
        <f t="shared" si="13"/>
        <v>0</v>
      </c>
      <c r="W87">
        <f t="shared" si="13"/>
        <v>0</v>
      </c>
      <c r="X87">
        <f t="shared" si="13"/>
        <v>1</v>
      </c>
      <c r="Y87">
        <f t="shared" si="12"/>
        <v>1</v>
      </c>
      <c r="Z87">
        <f t="shared" si="12"/>
        <v>0</v>
      </c>
      <c r="AA87">
        <f t="shared" si="12"/>
        <v>0</v>
      </c>
    </row>
    <row r="88" spans="1:27" x14ac:dyDescent="0.4">
      <c r="A88">
        <v>87</v>
      </c>
      <c r="B88">
        <v>3</v>
      </c>
      <c r="C88" t="s">
        <v>204</v>
      </c>
      <c r="D88" t="s">
        <v>13</v>
      </c>
      <c r="E88">
        <v>16</v>
      </c>
      <c r="F88">
        <v>1</v>
      </c>
      <c r="G88">
        <v>3</v>
      </c>
      <c r="H88" t="s">
        <v>205</v>
      </c>
      <c r="I88">
        <v>34.375</v>
      </c>
      <c r="J88" t="s">
        <v>15</v>
      </c>
      <c r="K88" t="s">
        <v>16</v>
      </c>
      <c r="L88">
        <v>0</v>
      </c>
      <c r="R88">
        <f t="shared" si="9"/>
        <v>16</v>
      </c>
      <c r="S88" t="str">
        <f t="shared" si="10"/>
        <v>S</v>
      </c>
      <c r="U88">
        <f t="shared" si="11"/>
        <v>0</v>
      </c>
      <c r="V88">
        <f t="shared" si="13"/>
        <v>0</v>
      </c>
      <c r="W88">
        <f t="shared" si="13"/>
        <v>0</v>
      </c>
      <c r="X88">
        <f t="shared" si="13"/>
        <v>1</v>
      </c>
      <c r="Y88">
        <f t="shared" si="12"/>
        <v>1</v>
      </c>
      <c r="Z88">
        <f t="shared" si="12"/>
        <v>0</v>
      </c>
      <c r="AA88">
        <f t="shared" si="12"/>
        <v>0</v>
      </c>
    </row>
    <row r="89" spans="1:27" x14ac:dyDescent="0.4">
      <c r="A89">
        <v>88</v>
      </c>
      <c r="B89">
        <v>3</v>
      </c>
      <c r="C89" t="s">
        <v>206</v>
      </c>
      <c r="D89" t="s">
        <v>13</v>
      </c>
      <c r="F89">
        <v>0</v>
      </c>
      <c r="G89">
        <v>0</v>
      </c>
      <c r="H89" t="s">
        <v>207</v>
      </c>
      <c r="I89">
        <v>8.0500000000000007</v>
      </c>
      <c r="J89" t="s">
        <v>15</v>
      </c>
      <c r="K89" t="s">
        <v>16</v>
      </c>
      <c r="L89">
        <v>0</v>
      </c>
      <c r="R89">
        <f t="shared" si="9"/>
        <v>28</v>
      </c>
      <c r="S89" t="str">
        <f t="shared" si="10"/>
        <v>S</v>
      </c>
      <c r="U89">
        <f t="shared" si="11"/>
        <v>0</v>
      </c>
      <c r="V89">
        <f t="shared" si="13"/>
        <v>0</v>
      </c>
      <c r="W89">
        <f t="shared" si="13"/>
        <v>0</v>
      </c>
      <c r="X89">
        <f t="shared" si="13"/>
        <v>1</v>
      </c>
      <c r="Y89">
        <f t="shared" si="12"/>
        <v>1</v>
      </c>
      <c r="Z89">
        <f t="shared" si="12"/>
        <v>0</v>
      </c>
      <c r="AA89">
        <f t="shared" si="12"/>
        <v>0</v>
      </c>
    </row>
    <row r="90" spans="1:27" x14ac:dyDescent="0.4">
      <c r="A90">
        <v>89</v>
      </c>
      <c r="B90">
        <v>1</v>
      </c>
      <c r="C90" t="s">
        <v>208</v>
      </c>
      <c r="D90" t="s">
        <v>18</v>
      </c>
      <c r="E90">
        <v>23</v>
      </c>
      <c r="F90">
        <v>3</v>
      </c>
      <c r="G90">
        <v>2</v>
      </c>
      <c r="H90" t="s">
        <v>79</v>
      </c>
      <c r="I90">
        <v>263</v>
      </c>
      <c r="J90" t="s">
        <v>80</v>
      </c>
      <c r="K90" t="s">
        <v>16</v>
      </c>
      <c r="L90">
        <v>1</v>
      </c>
      <c r="R90">
        <f t="shared" si="9"/>
        <v>23</v>
      </c>
      <c r="S90" t="str">
        <f t="shared" si="10"/>
        <v>S</v>
      </c>
      <c r="U90">
        <f t="shared" si="11"/>
        <v>1</v>
      </c>
      <c r="V90">
        <f t="shared" si="13"/>
        <v>1</v>
      </c>
      <c r="W90">
        <f t="shared" si="13"/>
        <v>0</v>
      </c>
      <c r="X90">
        <f t="shared" si="13"/>
        <v>0</v>
      </c>
      <c r="Y90">
        <f t="shared" si="12"/>
        <v>1</v>
      </c>
      <c r="Z90">
        <f t="shared" si="12"/>
        <v>0</v>
      </c>
      <c r="AA90">
        <f t="shared" si="12"/>
        <v>0</v>
      </c>
    </row>
    <row r="91" spans="1:27" x14ac:dyDescent="0.4">
      <c r="A91">
        <v>90</v>
      </c>
      <c r="B91">
        <v>3</v>
      </c>
      <c r="C91" t="s">
        <v>209</v>
      </c>
      <c r="D91" t="s">
        <v>13</v>
      </c>
      <c r="E91">
        <v>24</v>
      </c>
      <c r="F91">
        <v>0</v>
      </c>
      <c r="G91">
        <v>0</v>
      </c>
      <c r="H91" t="s">
        <v>210</v>
      </c>
      <c r="I91">
        <v>8.0500000000000007</v>
      </c>
      <c r="J91" t="s">
        <v>15</v>
      </c>
      <c r="K91" t="s">
        <v>16</v>
      </c>
      <c r="L91">
        <v>0</v>
      </c>
      <c r="R91">
        <f t="shared" si="9"/>
        <v>24</v>
      </c>
      <c r="S91" t="str">
        <f t="shared" si="10"/>
        <v>S</v>
      </c>
      <c r="U91">
        <f t="shared" si="11"/>
        <v>0</v>
      </c>
      <c r="V91">
        <f t="shared" si="13"/>
        <v>0</v>
      </c>
      <c r="W91">
        <f t="shared" si="13"/>
        <v>0</v>
      </c>
      <c r="X91">
        <f t="shared" si="13"/>
        <v>1</v>
      </c>
      <c r="Y91">
        <f t="shared" si="12"/>
        <v>1</v>
      </c>
      <c r="Z91">
        <f t="shared" si="12"/>
        <v>0</v>
      </c>
      <c r="AA91">
        <f t="shared" si="12"/>
        <v>0</v>
      </c>
    </row>
    <row r="92" spans="1:27" x14ac:dyDescent="0.4">
      <c r="A92">
        <v>91</v>
      </c>
      <c r="B92">
        <v>3</v>
      </c>
      <c r="C92" t="s">
        <v>211</v>
      </c>
      <c r="D92" t="s">
        <v>13</v>
      </c>
      <c r="E92">
        <v>29</v>
      </c>
      <c r="F92">
        <v>0</v>
      </c>
      <c r="G92">
        <v>0</v>
      </c>
      <c r="H92" t="s">
        <v>212</v>
      </c>
      <c r="I92">
        <v>8.0500000000000007</v>
      </c>
      <c r="J92" t="s">
        <v>15</v>
      </c>
      <c r="K92" t="s">
        <v>16</v>
      </c>
      <c r="L92">
        <v>0</v>
      </c>
      <c r="R92">
        <f t="shared" si="9"/>
        <v>29</v>
      </c>
      <c r="S92" t="str">
        <f t="shared" si="10"/>
        <v>S</v>
      </c>
      <c r="U92">
        <f t="shared" si="11"/>
        <v>0</v>
      </c>
      <c r="V92">
        <f t="shared" si="13"/>
        <v>0</v>
      </c>
      <c r="W92">
        <f t="shared" si="13"/>
        <v>0</v>
      </c>
      <c r="X92">
        <f t="shared" si="13"/>
        <v>1</v>
      </c>
      <c r="Y92">
        <f t="shared" si="12"/>
        <v>1</v>
      </c>
      <c r="Z92">
        <f t="shared" si="12"/>
        <v>0</v>
      </c>
      <c r="AA92">
        <f t="shared" si="12"/>
        <v>0</v>
      </c>
    </row>
    <row r="93" spans="1:27" x14ac:dyDescent="0.4">
      <c r="A93">
        <v>92</v>
      </c>
      <c r="B93">
        <v>3</v>
      </c>
      <c r="C93" t="s">
        <v>213</v>
      </c>
      <c r="D93" t="s">
        <v>13</v>
      </c>
      <c r="E93">
        <v>20</v>
      </c>
      <c r="F93">
        <v>0</v>
      </c>
      <c r="G93">
        <v>0</v>
      </c>
      <c r="H93" t="s">
        <v>214</v>
      </c>
      <c r="I93">
        <v>7.8541999999999996</v>
      </c>
      <c r="J93" t="s">
        <v>15</v>
      </c>
      <c r="K93" t="s">
        <v>16</v>
      </c>
      <c r="L93">
        <v>0</v>
      </c>
      <c r="R93">
        <f t="shared" si="9"/>
        <v>20</v>
      </c>
      <c r="S93" t="str">
        <f t="shared" si="10"/>
        <v>S</v>
      </c>
      <c r="U93">
        <f t="shared" si="11"/>
        <v>0</v>
      </c>
      <c r="V93">
        <f t="shared" si="13"/>
        <v>0</v>
      </c>
      <c r="W93">
        <f t="shared" si="13"/>
        <v>0</v>
      </c>
      <c r="X93">
        <f t="shared" si="13"/>
        <v>1</v>
      </c>
      <c r="Y93">
        <f t="shared" si="12"/>
        <v>1</v>
      </c>
      <c r="Z93">
        <f t="shared" si="12"/>
        <v>0</v>
      </c>
      <c r="AA93">
        <f t="shared" si="12"/>
        <v>0</v>
      </c>
    </row>
    <row r="94" spans="1:27" x14ac:dyDescent="0.4">
      <c r="A94">
        <v>93</v>
      </c>
      <c r="B94">
        <v>1</v>
      </c>
      <c r="C94" t="s">
        <v>215</v>
      </c>
      <c r="D94" t="s">
        <v>13</v>
      </c>
      <c r="E94">
        <v>46</v>
      </c>
      <c r="F94">
        <v>1</v>
      </c>
      <c r="G94">
        <v>0</v>
      </c>
      <c r="H94" t="s">
        <v>216</v>
      </c>
      <c r="I94">
        <v>61.174999999999997</v>
      </c>
      <c r="J94" t="s">
        <v>217</v>
      </c>
      <c r="K94" t="s">
        <v>16</v>
      </c>
      <c r="L94">
        <v>0</v>
      </c>
      <c r="R94">
        <f t="shared" si="9"/>
        <v>46</v>
      </c>
      <c r="S94" t="str">
        <f t="shared" si="10"/>
        <v>S</v>
      </c>
      <c r="U94">
        <f t="shared" si="11"/>
        <v>0</v>
      </c>
      <c r="V94">
        <f t="shared" si="13"/>
        <v>1</v>
      </c>
      <c r="W94">
        <f t="shared" si="13"/>
        <v>0</v>
      </c>
      <c r="X94">
        <f t="shared" si="13"/>
        <v>0</v>
      </c>
      <c r="Y94">
        <f t="shared" si="12"/>
        <v>1</v>
      </c>
      <c r="Z94">
        <f t="shared" si="12"/>
        <v>0</v>
      </c>
      <c r="AA94">
        <f t="shared" si="12"/>
        <v>0</v>
      </c>
    </row>
    <row r="95" spans="1:27" x14ac:dyDescent="0.4">
      <c r="A95">
        <v>94</v>
      </c>
      <c r="B95">
        <v>3</v>
      </c>
      <c r="C95" t="s">
        <v>218</v>
      </c>
      <c r="D95" t="s">
        <v>13</v>
      </c>
      <c r="E95">
        <v>26</v>
      </c>
      <c r="F95">
        <v>1</v>
      </c>
      <c r="G95">
        <v>2</v>
      </c>
      <c r="H95" t="s">
        <v>219</v>
      </c>
      <c r="I95">
        <v>20.574999999999999</v>
      </c>
      <c r="J95" t="s">
        <v>15</v>
      </c>
      <c r="K95" t="s">
        <v>16</v>
      </c>
      <c r="L95">
        <v>0</v>
      </c>
      <c r="R95">
        <f t="shared" si="9"/>
        <v>26</v>
      </c>
      <c r="S95" t="str">
        <f t="shared" si="10"/>
        <v>S</v>
      </c>
      <c r="U95">
        <f t="shared" si="11"/>
        <v>0</v>
      </c>
      <c r="V95">
        <f t="shared" si="13"/>
        <v>0</v>
      </c>
      <c r="W95">
        <f t="shared" si="13"/>
        <v>0</v>
      </c>
      <c r="X95">
        <f t="shared" si="13"/>
        <v>1</v>
      </c>
      <c r="Y95">
        <f t="shared" si="12"/>
        <v>1</v>
      </c>
      <c r="Z95">
        <f t="shared" si="12"/>
        <v>0</v>
      </c>
      <c r="AA95">
        <f t="shared" si="12"/>
        <v>0</v>
      </c>
    </row>
    <row r="96" spans="1:27" x14ac:dyDescent="0.4">
      <c r="A96">
        <v>95</v>
      </c>
      <c r="B96">
        <v>3</v>
      </c>
      <c r="C96" t="s">
        <v>220</v>
      </c>
      <c r="D96" t="s">
        <v>13</v>
      </c>
      <c r="E96">
        <v>59</v>
      </c>
      <c r="F96">
        <v>0</v>
      </c>
      <c r="G96">
        <v>0</v>
      </c>
      <c r="H96" t="s">
        <v>221</v>
      </c>
      <c r="I96">
        <v>7.25</v>
      </c>
      <c r="J96" t="s">
        <v>15</v>
      </c>
      <c r="K96" t="s">
        <v>16</v>
      </c>
      <c r="L96">
        <v>0</v>
      </c>
      <c r="R96">
        <f t="shared" si="9"/>
        <v>59</v>
      </c>
      <c r="S96" t="str">
        <f t="shared" si="10"/>
        <v>S</v>
      </c>
      <c r="U96">
        <f t="shared" si="11"/>
        <v>0</v>
      </c>
      <c r="V96">
        <f t="shared" si="13"/>
        <v>0</v>
      </c>
      <c r="W96">
        <f t="shared" si="13"/>
        <v>0</v>
      </c>
      <c r="X96">
        <f t="shared" si="13"/>
        <v>1</v>
      </c>
      <c r="Y96">
        <f t="shared" si="12"/>
        <v>1</v>
      </c>
      <c r="Z96">
        <f t="shared" si="12"/>
        <v>0</v>
      </c>
      <c r="AA96">
        <f t="shared" si="12"/>
        <v>0</v>
      </c>
    </row>
    <row r="97" spans="1:27" x14ac:dyDescent="0.4">
      <c r="A97">
        <v>96</v>
      </c>
      <c r="B97">
        <v>3</v>
      </c>
      <c r="C97" t="s">
        <v>222</v>
      </c>
      <c r="D97" t="s">
        <v>13</v>
      </c>
      <c r="F97">
        <v>0</v>
      </c>
      <c r="G97">
        <v>0</v>
      </c>
      <c r="H97" t="s">
        <v>223</v>
      </c>
      <c r="I97">
        <v>8.0500000000000007</v>
      </c>
      <c r="J97" t="s">
        <v>15</v>
      </c>
      <c r="K97" t="s">
        <v>16</v>
      </c>
      <c r="L97">
        <v>0</v>
      </c>
      <c r="R97">
        <f t="shared" si="9"/>
        <v>28</v>
      </c>
      <c r="S97" t="str">
        <f t="shared" si="10"/>
        <v>S</v>
      </c>
      <c r="U97">
        <f t="shared" si="11"/>
        <v>0</v>
      </c>
      <c r="V97">
        <f t="shared" si="13"/>
        <v>0</v>
      </c>
      <c r="W97">
        <f t="shared" si="13"/>
        <v>0</v>
      </c>
      <c r="X97">
        <f t="shared" si="13"/>
        <v>1</v>
      </c>
      <c r="Y97">
        <f t="shared" si="12"/>
        <v>1</v>
      </c>
      <c r="Z97">
        <f t="shared" si="12"/>
        <v>0</v>
      </c>
      <c r="AA97">
        <f t="shared" si="12"/>
        <v>0</v>
      </c>
    </row>
    <row r="98" spans="1:27" x14ac:dyDescent="0.4">
      <c r="A98">
        <v>97</v>
      </c>
      <c r="B98">
        <v>1</v>
      </c>
      <c r="C98" t="s">
        <v>224</v>
      </c>
      <c r="D98" t="s">
        <v>13</v>
      </c>
      <c r="E98">
        <v>71</v>
      </c>
      <c r="F98">
        <v>0</v>
      </c>
      <c r="G98">
        <v>0</v>
      </c>
      <c r="H98" t="s">
        <v>225</v>
      </c>
      <c r="I98">
        <v>34.654200000000003</v>
      </c>
      <c r="J98" t="s">
        <v>226</v>
      </c>
      <c r="K98" t="s">
        <v>21</v>
      </c>
      <c r="L98">
        <v>0</v>
      </c>
      <c r="R98">
        <f t="shared" si="9"/>
        <v>71</v>
      </c>
      <c r="S98" t="str">
        <f t="shared" si="10"/>
        <v>C</v>
      </c>
      <c r="U98">
        <f t="shared" si="11"/>
        <v>0</v>
      </c>
      <c r="V98">
        <f t="shared" si="13"/>
        <v>1</v>
      </c>
      <c r="W98">
        <f t="shared" si="13"/>
        <v>0</v>
      </c>
      <c r="X98">
        <f t="shared" si="13"/>
        <v>0</v>
      </c>
      <c r="Y98">
        <f t="shared" si="12"/>
        <v>0</v>
      </c>
      <c r="Z98">
        <f t="shared" si="12"/>
        <v>0</v>
      </c>
      <c r="AA98">
        <f t="shared" si="12"/>
        <v>1</v>
      </c>
    </row>
    <row r="99" spans="1:27" x14ac:dyDescent="0.4">
      <c r="A99">
        <v>98</v>
      </c>
      <c r="B99">
        <v>1</v>
      </c>
      <c r="C99" t="s">
        <v>227</v>
      </c>
      <c r="D99" t="s">
        <v>13</v>
      </c>
      <c r="E99">
        <v>23</v>
      </c>
      <c r="F99">
        <v>0</v>
      </c>
      <c r="G99">
        <v>1</v>
      </c>
      <c r="H99" t="s">
        <v>228</v>
      </c>
      <c r="I99">
        <v>63.3583</v>
      </c>
      <c r="J99" t="s">
        <v>229</v>
      </c>
      <c r="K99" t="s">
        <v>21</v>
      </c>
      <c r="L99">
        <v>1</v>
      </c>
      <c r="R99">
        <f t="shared" si="9"/>
        <v>23</v>
      </c>
      <c r="S99" t="str">
        <f t="shared" si="10"/>
        <v>C</v>
      </c>
      <c r="U99">
        <f t="shared" si="11"/>
        <v>0</v>
      </c>
      <c r="V99">
        <f t="shared" si="13"/>
        <v>1</v>
      </c>
      <c r="W99">
        <f t="shared" si="13"/>
        <v>0</v>
      </c>
      <c r="X99">
        <f t="shared" si="13"/>
        <v>0</v>
      </c>
      <c r="Y99">
        <f t="shared" si="12"/>
        <v>0</v>
      </c>
      <c r="Z99">
        <f t="shared" si="12"/>
        <v>0</v>
      </c>
      <c r="AA99">
        <f t="shared" si="12"/>
        <v>1</v>
      </c>
    </row>
    <row r="100" spans="1:27" x14ac:dyDescent="0.4">
      <c r="A100">
        <v>99</v>
      </c>
      <c r="B100">
        <v>2</v>
      </c>
      <c r="C100" t="s">
        <v>230</v>
      </c>
      <c r="D100" t="s">
        <v>18</v>
      </c>
      <c r="E100">
        <v>34</v>
      </c>
      <c r="F100">
        <v>0</v>
      </c>
      <c r="G100">
        <v>1</v>
      </c>
      <c r="H100" t="s">
        <v>231</v>
      </c>
      <c r="I100">
        <v>23</v>
      </c>
      <c r="J100" t="s">
        <v>15</v>
      </c>
      <c r="K100" t="s">
        <v>16</v>
      </c>
      <c r="L100">
        <v>1</v>
      </c>
      <c r="R100">
        <f t="shared" si="9"/>
        <v>34</v>
      </c>
      <c r="S100" t="str">
        <f t="shared" si="10"/>
        <v>S</v>
      </c>
      <c r="U100">
        <f t="shared" si="11"/>
        <v>1</v>
      </c>
      <c r="V100">
        <f t="shared" si="13"/>
        <v>0</v>
      </c>
      <c r="W100">
        <f t="shared" si="13"/>
        <v>1</v>
      </c>
      <c r="X100">
        <f t="shared" si="13"/>
        <v>0</v>
      </c>
      <c r="Y100">
        <f t="shared" si="12"/>
        <v>1</v>
      </c>
      <c r="Z100">
        <f t="shared" si="12"/>
        <v>0</v>
      </c>
      <c r="AA100">
        <f t="shared" si="12"/>
        <v>0</v>
      </c>
    </row>
    <row r="101" spans="1:27" x14ac:dyDescent="0.4">
      <c r="A101">
        <v>100</v>
      </c>
      <c r="B101">
        <v>2</v>
      </c>
      <c r="C101" t="s">
        <v>232</v>
      </c>
      <c r="D101" t="s">
        <v>13</v>
      </c>
      <c r="E101">
        <v>34</v>
      </c>
      <c r="F101">
        <v>1</v>
      </c>
      <c r="G101">
        <v>0</v>
      </c>
      <c r="H101" t="s">
        <v>233</v>
      </c>
      <c r="I101">
        <v>26</v>
      </c>
      <c r="J101" t="s">
        <v>15</v>
      </c>
      <c r="K101" t="s">
        <v>16</v>
      </c>
      <c r="L101">
        <v>0</v>
      </c>
      <c r="R101">
        <f t="shared" si="9"/>
        <v>34</v>
      </c>
      <c r="S101" t="str">
        <f t="shared" si="10"/>
        <v>S</v>
      </c>
      <c r="U101">
        <f t="shared" si="11"/>
        <v>0</v>
      </c>
      <c r="V101">
        <f t="shared" si="13"/>
        <v>0</v>
      </c>
      <c r="W101">
        <f t="shared" si="13"/>
        <v>1</v>
      </c>
      <c r="X101">
        <f t="shared" si="13"/>
        <v>0</v>
      </c>
      <c r="Y101">
        <f t="shared" si="12"/>
        <v>1</v>
      </c>
      <c r="Z101">
        <f t="shared" si="12"/>
        <v>0</v>
      </c>
      <c r="AA101">
        <f t="shared" si="12"/>
        <v>0</v>
      </c>
    </row>
    <row r="102" spans="1:27" x14ac:dyDescent="0.4">
      <c r="A102">
        <v>101</v>
      </c>
      <c r="B102">
        <v>3</v>
      </c>
      <c r="C102" t="s">
        <v>234</v>
      </c>
      <c r="D102" t="s">
        <v>18</v>
      </c>
      <c r="E102">
        <v>28</v>
      </c>
      <c r="F102">
        <v>0</v>
      </c>
      <c r="G102">
        <v>0</v>
      </c>
      <c r="H102" t="s">
        <v>235</v>
      </c>
      <c r="I102">
        <v>7.8958000000000004</v>
      </c>
      <c r="J102" t="s">
        <v>15</v>
      </c>
      <c r="K102" t="s">
        <v>16</v>
      </c>
      <c r="L102">
        <v>0</v>
      </c>
      <c r="R102">
        <f t="shared" si="9"/>
        <v>28</v>
      </c>
      <c r="S102" t="str">
        <f t="shared" si="10"/>
        <v>S</v>
      </c>
      <c r="U102">
        <f t="shared" si="11"/>
        <v>1</v>
      </c>
      <c r="V102">
        <f t="shared" ref="V102:X121" si="14">IF("Pclass_"&amp;$B102=V$1,1,0)</f>
        <v>0</v>
      </c>
      <c r="W102">
        <f t="shared" si="14"/>
        <v>0</v>
      </c>
      <c r="X102">
        <f t="shared" si="14"/>
        <v>1</v>
      </c>
      <c r="Y102">
        <f t="shared" si="12"/>
        <v>1</v>
      </c>
      <c r="Z102">
        <f t="shared" si="12"/>
        <v>0</v>
      </c>
      <c r="AA102">
        <f t="shared" si="12"/>
        <v>0</v>
      </c>
    </row>
    <row r="103" spans="1:27" x14ac:dyDescent="0.4">
      <c r="A103">
        <v>102</v>
      </c>
      <c r="B103">
        <v>3</v>
      </c>
      <c r="C103" t="s">
        <v>236</v>
      </c>
      <c r="D103" t="s">
        <v>13</v>
      </c>
      <c r="F103">
        <v>0</v>
      </c>
      <c r="G103">
        <v>0</v>
      </c>
      <c r="H103" t="s">
        <v>237</v>
      </c>
      <c r="I103">
        <v>7.8958000000000004</v>
      </c>
      <c r="J103" t="s">
        <v>15</v>
      </c>
      <c r="K103" t="s">
        <v>16</v>
      </c>
      <c r="L103">
        <v>0</v>
      </c>
      <c r="R103">
        <f t="shared" si="9"/>
        <v>28</v>
      </c>
      <c r="S103" t="str">
        <f t="shared" si="10"/>
        <v>S</v>
      </c>
      <c r="U103">
        <f t="shared" si="11"/>
        <v>0</v>
      </c>
      <c r="V103">
        <f t="shared" si="14"/>
        <v>0</v>
      </c>
      <c r="W103">
        <f t="shared" si="14"/>
        <v>0</v>
      </c>
      <c r="X103">
        <f t="shared" si="14"/>
        <v>1</v>
      </c>
      <c r="Y103">
        <f t="shared" si="12"/>
        <v>1</v>
      </c>
      <c r="Z103">
        <f t="shared" si="12"/>
        <v>0</v>
      </c>
      <c r="AA103">
        <f t="shared" si="12"/>
        <v>0</v>
      </c>
    </row>
    <row r="104" spans="1:27" x14ac:dyDescent="0.4">
      <c r="A104">
        <v>103</v>
      </c>
      <c r="B104">
        <v>1</v>
      </c>
      <c r="C104" t="s">
        <v>238</v>
      </c>
      <c r="D104" t="s">
        <v>13</v>
      </c>
      <c r="E104">
        <v>21</v>
      </c>
      <c r="F104">
        <v>0</v>
      </c>
      <c r="G104">
        <v>1</v>
      </c>
      <c r="H104" t="s">
        <v>239</v>
      </c>
      <c r="I104">
        <v>77.287499999999994</v>
      </c>
      <c r="J104" t="s">
        <v>240</v>
      </c>
      <c r="K104" t="s">
        <v>16</v>
      </c>
      <c r="L104">
        <v>0</v>
      </c>
      <c r="R104">
        <f t="shared" si="9"/>
        <v>21</v>
      </c>
      <c r="S104" t="str">
        <f t="shared" si="10"/>
        <v>S</v>
      </c>
      <c r="U104">
        <f t="shared" si="11"/>
        <v>0</v>
      </c>
      <c r="V104">
        <f t="shared" si="14"/>
        <v>1</v>
      </c>
      <c r="W104">
        <f t="shared" si="14"/>
        <v>0</v>
      </c>
      <c r="X104">
        <f t="shared" si="14"/>
        <v>0</v>
      </c>
      <c r="Y104">
        <f t="shared" si="12"/>
        <v>1</v>
      </c>
      <c r="Z104">
        <f t="shared" si="12"/>
        <v>0</v>
      </c>
      <c r="AA104">
        <f t="shared" si="12"/>
        <v>0</v>
      </c>
    </row>
    <row r="105" spans="1:27" x14ac:dyDescent="0.4">
      <c r="A105">
        <v>104</v>
      </c>
      <c r="B105">
        <v>3</v>
      </c>
      <c r="C105" t="s">
        <v>241</v>
      </c>
      <c r="D105" t="s">
        <v>13</v>
      </c>
      <c r="E105">
        <v>33</v>
      </c>
      <c r="F105">
        <v>0</v>
      </c>
      <c r="G105">
        <v>0</v>
      </c>
      <c r="H105" t="s">
        <v>242</v>
      </c>
      <c r="I105">
        <v>8.6541999999999994</v>
      </c>
      <c r="J105" t="s">
        <v>15</v>
      </c>
      <c r="K105" t="s">
        <v>16</v>
      </c>
      <c r="L105">
        <v>0</v>
      </c>
      <c r="R105">
        <f t="shared" si="9"/>
        <v>33</v>
      </c>
      <c r="S105" t="str">
        <f t="shared" si="10"/>
        <v>S</v>
      </c>
      <c r="U105">
        <f t="shared" si="11"/>
        <v>0</v>
      </c>
      <c r="V105">
        <f t="shared" si="14"/>
        <v>0</v>
      </c>
      <c r="W105">
        <f t="shared" si="14"/>
        <v>0</v>
      </c>
      <c r="X105">
        <f t="shared" si="14"/>
        <v>1</v>
      </c>
      <c r="Y105">
        <f t="shared" si="12"/>
        <v>1</v>
      </c>
      <c r="Z105">
        <f t="shared" si="12"/>
        <v>0</v>
      </c>
      <c r="AA105">
        <f t="shared" si="12"/>
        <v>0</v>
      </c>
    </row>
    <row r="106" spans="1:27" x14ac:dyDescent="0.4">
      <c r="A106">
        <v>105</v>
      </c>
      <c r="B106">
        <v>3</v>
      </c>
      <c r="C106" t="s">
        <v>243</v>
      </c>
      <c r="D106" t="s">
        <v>13</v>
      </c>
      <c r="E106">
        <v>37</v>
      </c>
      <c r="F106">
        <v>2</v>
      </c>
      <c r="G106">
        <v>0</v>
      </c>
      <c r="H106" t="s">
        <v>244</v>
      </c>
      <c r="I106">
        <v>7.9249999999999998</v>
      </c>
      <c r="J106" t="s">
        <v>15</v>
      </c>
      <c r="K106" t="s">
        <v>16</v>
      </c>
      <c r="L106">
        <v>0</v>
      </c>
      <c r="R106">
        <f t="shared" si="9"/>
        <v>37</v>
      </c>
      <c r="S106" t="str">
        <f t="shared" si="10"/>
        <v>S</v>
      </c>
      <c r="U106">
        <f t="shared" si="11"/>
        <v>0</v>
      </c>
      <c r="V106">
        <f t="shared" si="14"/>
        <v>0</v>
      </c>
      <c r="W106">
        <f t="shared" si="14"/>
        <v>0</v>
      </c>
      <c r="X106">
        <f t="shared" si="14"/>
        <v>1</v>
      </c>
      <c r="Y106">
        <f t="shared" si="12"/>
        <v>1</v>
      </c>
      <c r="Z106">
        <f t="shared" si="12"/>
        <v>0</v>
      </c>
      <c r="AA106">
        <f t="shared" si="12"/>
        <v>0</v>
      </c>
    </row>
    <row r="107" spans="1:27" x14ac:dyDescent="0.4">
      <c r="A107">
        <v>106</v>
      </c>
      <c r="B107">
        <v>3</v>
      </c>
      <c r="C107" t="s">
        <v>245</v>
      </c>
      <c r="D107" t="s">
        <v>13</v>
      </c>
      <c r="E107">
        <v>28</v>
      </c>
      <c r="F107">
        <v>0</v>
      </c>
      <c r="G107">
        <v>0</v>
      </c>
      <c r="H107" t="s">
        <v>246</v>
      </c>
      <c r="I107">
        <v>7.8958000000000004</v>
      </c>
      <c r="J107" t="s">
        <v>15</v>
      </c>
      <c r="K107" t="s">
        <v>16</v>
      </c>
      <c r="L107">
        <v>0</v>
      </c>
      <c r="R107">
        <f t="shared" si="9"/>
        <v>28</v>
      </c>
      <c r="S107" t="str">
        <f t="shared" si="10"/>
        <v>S</v>
      </c>
      <c r="U107">
        <f t="shared" si="11"/>
        <v>0</v>
      </c>
      <c r="V107">
        <f t="shared" si="14"/>
        <v>0</v>
      </c>
      <c r="W107">
        <f t="shared" si="14"/>
        <v>0</v>
      </c>
      <c r="X107">
        <f t="shared" si="14"/>
        <v>1</v>
      </c>
      <c r="Y107">
        <f t="shared" si="12"/>
        <v>1</v>
      </c>
      <c r="Z107">
        <f t="shared" si="12"/>
        <v>0</v>
      </c>
      <c r="AA107">
        <f t="shared" si="12"/>
        <v>0</v>
      </c>
    </row>
    <row r="108" spans="1:27" x14ac:dyDescent="0.4">
      <c r="A108">
        <v>107</v>
      </c>
      <c r="B108">
        <v>3</v>
      </c>
      <c r="C108" t="s">
        <v>247</v>
      </c>
      <c r="D108" t="s">
        <v>18</v>
      </c>
      <c r="E108">
        <v>21</v>
      </c>
      <c r="F108">
        <v>0</v>
      </c>
      <c r="G108">
        <v>0</v>
      </c>
      <c r="H108" t="s">
        <v>248</v>
      </c>
      <c r="I108">
        <v>7.65</v>
      </c>
      <c r="J108" t="s">
        <v>15</v>
      </c>
      <c r="K108" t="s">
        <v>16</v>
      </c>
      <c r="L108">
        <v>1</v>
      </c>
      <c r="R108">
        <f t="shared" si="9"/>
        <v>21</v>
      </c>
      <c r="S108" t="str">
        <f t="shared" si="10"/>
        <v>S</v>
      </c>
      <c r="U108">
        <f t="shared" si="11"/>
        <v>1</v>
      </c>
      <c r="V108">
        <f t="shared" si="14"/>
        <v>0</v>
      </c>
      <c r="W108">
        <f t="shared" si="14"/>
        <v>0</v>
      </c>
      <c r="X108">
        <f t="shared" si="14"/>
        <v>1</v>
      </c>
      <c r="Y108">
        <f t="shared" si="12"/>
        <v>1</v>
      </c>
      <c r="Z108">
        <f t="shared" si="12"/>
        <v>0</v>
      </c>
      <c r="AA108">
        <f t="shared" si="12"/>
        <v>0</v>
      </c>
    </row>
    <row r="109" spans="1:27" x14ac:dyDescent="0.4">
      <c r="A109">
        <v>108</v>
      </c>
      <c r="B109">
        <v>3</v>
      </c>
      <c r="C109" t="s">
        <v>249</v>
      </c>
      <c r="D109" t="s">
        <v>13</v>
      </c>
      <c r="F109">
        <v>0</v>
      </c>
      <c r="G109">
        <v>0</v>
      </c>
      <c r="H109" t="s">
        <v>250</v>
      </c>
      <c r="I109">
        <v>7.7750000000000004</v>
      </c>
      <c r="J109" t="s">
        <v>15</v>
      </c>
      <c r="K109" t="s">
        <v>16</v>
      </c>
      <c r="L109">
        <v>1</v>
      </c>
      <c r="R109">
        <f t="shared" si="9"/>
        <v>28</v>
      </c>
      <c r="S109" t="str">
        <f t="shared" si="10"/>
        <v>S</v>
      </c>
      <c r="U109">
        <f t="shared" si="11"/>
        <v>0</v>
      </c>
      <c r="V109">
        <f t="shared" si="14"/>
        <v>0</v>
      </c>
      <c r="W109">
        <f t="shared" si="14"/>
        <v>0</v>
      </c>
      <c r="X109">
        <f t="shared" si="14"/>
        <v>1</v>
      </c>
      <c r="Y109">
        <f t="shared" si="12"/>
        <v>1</v>
      </c>
      <c r="Z109">
        <f t="shared" si="12"/>
        <v>0</v>
      </c>
      <c r="AA109">
        <f t="shared" si="12"/>
        <v>0</v>
      </c>
    </row>
    <row r="110" spans="1:27" x14ac:dyDescent="0.4">
      <c r="A110">
        <v>109</v>
      </c>
      <c r="B110">
        <v>3</v>
      </c>
      <c r="C110" t="s">
        <v>251</v>
      </c>
      <c r="D110" t="s">
        <v>13</v>
      </c>
      <c r="E110">
        <v>38</v>
      </c>
      <c r="F110">
        <v>0</v>
      </c>
      <c r="G110">
        <v>0</v>
      </c>
      <c r="H110" t="s">
        <v>252</v>
      </c>
      <c r="I110">
        <v>7.8958000000000004</v>
      </c>
      <c r="J110" t="s">
        <v>15</v>
      </c>
      <c r="K110" t="s">
        <v>16</v>
      </c>
      <c r="L110">
        <v>0</v>
      </c>
      <c r="R110">
        <f t="shared" si="9"/>
        <v>38</v>
      </c>
      <c r="S110" t="str">
        <f t="shared" si="10"/>
        <v>S</v>
      </c>
      <c r="U110">
        <f t="shared" si="11"/>
        <v>0</v>
      </c>
      <c r="V110">
        <f t="shared" si="14"/>
        <v>0</v>
      </c>
      <c r="W110">
        <f t="shared" si="14"/>
        <v>0</v>
      </c>
      <c r="X110">
        <f t="shared" si="14"/>
        <v>1</v>
      </c>
      <c r="Y110">
        <f t="shared" si="12"/>
        <v>1</v>
      </c>
      <c r="Z110">
        <f t="shared" si="12"/>
        <v>0</v>
      </c>
      <c r="AA110">
        <f t="shared" si="12"/>
        <v>0</v>
      </c>
    </row>
    <row r="111" spans="1:27" x14ac:dyDescent="0.4">
      <c r="A111">
        <v>110</v>
      </c>
      <c r="B111">
        <v>3</v>
      </c>
      <c r="C111" t="s">
        <v>253</v>
      </c>
      <c r="D111" t="s">
        <v>18</v>
      </c>
      <c r="F111">
        <v>1</v>
      </c>
      <c r="G111">
        <v>0</v>
      </c>
      <c r="H111" t="s">
        <v>254</v>
      </c>
      <c r="I111">
        <v>24.15</v>
      </c>
      <c r="J111" t="s">
        <v>15</v>
      </c>
      <c r="K111" t="s">
        <v>31</v>
      </c>
      <c r="L111">
        <v>1</v>
      </c>
      <c r="R111">
        <f t="shared" si="9"/>
        <v>28</v>
      </c>
      <c r="S111" t="str">
        <f t="shared" si="10"/>
        <v>Q</v>
      </c>
      <c r="U111">
        <f t="shared" si="11"/>
        <v>1</v>
      </c>
      <c r="V111">
        <f t="shared" si="14"/>
        <v>0</v>
      </c>
      <c r="W111">
        <f t="shared" si="14"/>
        <v>0</v>
      </c>
      <c r="X111">
        <f t="shared" si="14"/>
        <v>1</v>
      </c>
      <c r="Y111">
        <f t="shared" si="12"/>
        <v>0</v>
      </c>
      <c r="Z111">
        <f t="shared" si="12"/>
        <v>1</v>
      </c>
      <c r="AA111">
        <f t="shared" si="12"/>
        <v>0</v>
      </c>
    </row>
    <row r="112" spans="1:27" x14ac:dyDescent="0.4">
      <c r="A112">
        <v>111</v>
      </c>
      <c r="B112">
        <v>1</v>
      </c>
      <c r="C112" t="s">
        <v>255</v>
      </c>
      <c r="D112" t="s">
        <v>13</v>
      </c>
      <c r="E112">
        <v>47</v>
      </c>
      <c r="F112">
        <v>0</v>
      </c>
      <c r="G112">
        <v>0</v>
      </c>
      <c r="H112" t="s">
        <v>256</v>
      </c>
      <c r="I112">
        <v>52</v>
      </c>
      <c r="J112" t="s">
        <v>257</v>
      </c>
      <c r="K112" t="s">
        <v>16</v>
      </c>
      <c r="L112">
        <v>0</v>
      </c>
      <c r="R112">
        <f t="shared" si="9"/>
        <v>47</v>
      </c>
      <c r="S112" t="str">
        <f t="shared" si="10"/>
        <v>S</v>
      </c>
      <c r="U112">
        <f t="shared" si="11"/>
        <v>0</v>
      </c>
      <c r="V112">
        <f t="shared" si="14"/>
        <v>1</v>
      </c>
      <c r="W112">
        <f t="shared" si="14"/>
        <v>0</v>
      </c>
      <c r="X112">
        <f t="shared" si="14"/>
        <v>0</v>
      </c>
      <c r="Y112">
        <f t="shared" si="12"/>
        <v>1</v>
      </c>
      <c r="Z112">
        <f t="shared" si="12"/>
        <v>0</v>
      </c>
      <c r="AA112">
        <f t="shared" si="12"/>
        <v>0</v>
      </c>
    </row>
    <row r="113" spans="1:27" x14ac:dyDescent="0.4">
      <c r="A113">
        <v>112</v>
      </c>
      <c r="B113">
        <v>3</v>
      </c>
      <c r="C113" t="s">
        <v>258</v>
      </c>
      <c r="D113" t="s">
        <v>18</v>
      </c>
      <c r="E113">
        <v>14.5</v>
      </c>
      <c r="F113">
        <v>1</v>
      </c>
      <c r="G113">
        <v>0</v>
      </c>
      <c r="H113" t="s">
        <v>259</v>
      </c>
      <c r="I113">
        <v>14.4542</v>
      </c>
      <c r="J113" t="s">
        <v>15</v>
      </c>
      <c r="K113" t="s">
        <v>21</v>
      </c>
      <c r="L113">
        <v>0</v>
      </c>
      <c r="R113">
        <f t="shared" si="9"/>
        <v>14.5</v>
      </c>
      <c r="S113" t="str">
        <f t="shared" si="10"/>
        <v>C</v>
      </c>
      <c r="U113">
        <f t="shared" si="11"/>
        <v>1</v>
      </c>
      <c r="V113">
        <f t="shared" si="14"/>
        <v>0</v>
      </c>
      <c r="W113">
        <f t="shared" si="14"/>
        <v>0</v>
      </c>
      <c r="X113">
        <f t="shared" si="14"/>
        <v>1</v>
      </c>
      <c r="Y113">
        <f t="shared" si="12"/>
        <v>0</v>
      </c>
      <c r="Z113">
        <f t="shared" si="12"/>
        <v>0</v>
      </c>
      <c r="AA113">
        <f t="shared" si="12"/>
        <v>1</v>
      </c>
    </row>
    <row r="114" spans="1:27" x14ac:dyDescent="0.4">
      <c r="A114">
        <v>113</v>
      </c>
      <c r="B114">
        <v>3</v>
      </c>
      <c r="C114" t="s">
        <v>260</v>
      </c>
      <c r="D114" t="s">
        <v>13</v>
      </c>
      <c r="E114">
        <v>22</v>
      </c>
      <c r="F114">
        <v>0</v>
      </c>
      <c r="G114">
        <v>0</v>
      </c>
      <c r="H114" t="s">
        <v>261</v>
      </c>
      <c r="I114">
        <v>8.0500000000000007</v>
      </c>
      <c r="J114" t="s">
        <v>15</v>
      </c>
      <c r="K114" t="s">
        <v>16</v>
      </c>
      <c r="L114">
        <v>0</v>
      </c>
      <c r="R114">
        <f t="shared" si="9"/>
        <v>22</v>
      </c>
      <c r="S114" t="str">
        <f t="shared" si="10"/>
        <v>S</v>
      </c>
      <c r="U114">
        <f t="shared" si="11"/>
        <v>0</v>
      </c>
      <c r="V114">
        <f t="shared" si="14"/>
        <v>0</v>
      </c>
      <c r="W114">
        <f t="shared" si="14"/>
        <v>0</v>
      </c>
      <c r="X114">
        <f t="shared" si="14"/>
        <v>1</v>
      </c>
      <c r="Y114">
        <f t="shared" si="12"/>
        <v>1</v>
      </c>
      <c r="Z114">
        <f t="shared" si="12"/>
        <v>0</v>
      </c>
      <c r="AA114">
        <f t="shared" si="12"/>
        <v>0</v>
      </c>
    </row>
    <row r="115" spans="1:27" x14ac:dyDescent="0.4">
      <c r="A115">
        <v>114</v>
      </c>
      <c r="B115">
        <v>3</v>
      </c>
      <c r="C115" t="s">
        <v>262</v>
      </c>
      <c r="D115" t="s">
        <v>18</v>
      </c>
      <c r="E115">
        <v>20</v>
      </c>
      <c r="F115">
        <v>1</v>
      </c>
      <c r="G115">
        <v>0</v>
      </c>
      <c r="H115" t="s">
        <v>263</v>
      </c>
      <c r="I115">
        <v>9.8249999999999993</v>
      </c>
      <c r="J115" t="s">
        <v>15</v>
      </c>
      <c r="K115" t="s">
        <v>16</v>
      </c>
      <c r="L115">
        <v>0</v>
      </c>
      <c r="R115">
        <f t="shared" si="9"/>
        <v>20</v>
      </c>
      <c r="S115" t="str">
        <f t="shared" si="10"/>
        <v>S</v>
      </c>
      <c r="U115">
        <f t="shared" si="11"/>
        <v>1</v>
      </c>
      <c r="V115">
        <f t="shared" si="14"/>
        <v>0</v>
      </c>
      <c r="W115">
        <f t="shared" si="14"/>
        <v>0</v>
      </c>
      <c r="X115">
        <f t="shared" si="14"/>
        <v>1</v>
      </c>
      <c r="Y115">
        <f t="shared" si="12"/>
        <v>1</v>
      </c>
      <c r="Z115">
        <f t="shared" si="12"/>
        <v>0</v>
      </c>
      <c r="AA115">
        <f t="shared" si="12"/>
        <v>0</v>
      </c>
    </row>
    <row r="116" spans="1:27" x14ac:dyDescent="0.4">
      <c r="A116">
        <v>115</v>
      </c>
      <c r="B116">
        <v>3</v>
      </c>
      <c r="C116" t="s">
        <v>264</v>
      </c>
      <c r="D116" t="s">
        <v>18</v>
      </c>
      <c r="E116">
        <v>17</v>
      </c>
      <c r="F116">
        <v>0</v>
      </c>
      <c r="G116">
        <v>0</v>
      </c>
      <c r="H116" t="s">
        <v>265</v>
      </c>
      <c r="I116">
        <v>14.458299999999999</v>
      </c>
      <c r="J116" t="s">
        <v>15</v>
      </c>
      <c r="K116" t="s">
        <v>21</v>
      </c>
      <c r="L116">
        <v>0</v>
      </c>
      <c r="R116">
        <f t="shared" si="9"/>
        <v>17</v>
      </c>
      <c r="S116" t="str">
        <f t="shared" si="10"/>
        <v>C</v>
      </c>
      <c r="U116">
        <f t="shared" si="11"/>
        <v>1</v>
      </c>
      <c r="V116">
        <f t="shared" si="14"/>
        <v>0</v>
      </c>
      <c r="W116">
        <f t="shared" si="14"/>
        <v>0</v>
      </c>
      <c r="X116">
        <f t="shared" si="14"/>
        <v>1</v>
      </c>
      <c r="Y116">
        <f t="shared" si="12"/>
        <v>0</v>
      </c>
      <c r="Z116">
        <f t="shared" si="12"/>
        <v>0</v>
      </c>
      <c r="AA116">
        <f t="shared" si="12"/>
        <v>1</v>
      </c>
    </row>
    <row r="117" spans="1:27" x14ac:dyDescent="0.4">
      <c r="A117">
        <v>116</v>
      </c>
      <c r="B117">
        <v>3</v>
      </c>
      <c r="C117" t="s">
        <v>266</v>
      </c>
      <c r="D117" t="s">
        <v>13</v>
      </c>
      <c r="E117">
        <v>21</v>
      </c>
      <c r="F117">
        <v>0</v>
      </c>
      <c r="G117">
        <v>0</v>
      </c>
      <c r="H117" t="s">
        <v>267</v>
      </c>
      <c r="I117">
        <v>7.9249999999999998</v>
      </c>
      <c r="J117" t="s">
        <v>15</v>
      </c>
      <c r="K117" t="s">
        <v>16</v>
      </c>
      <c r="L117">
        <v>0</v>
      </c>
      <c r="R117">
        <f t="shared" si="9"/>
        <v>21</v>
      </c>
      <c r="S117" t="str">
        <f t="shared" si="10"/>
        <v>S</v>
      </c>
      <c r="U117">
        <f t="shared" si="11"/>
        <v>0</v>
      </c>
      <c r="V117">
        <f t="shared" si="14"/>
        <v>0</v>
      </c>
      <c r="W117">
        <f t="shared" si="14"/>
        <v>0</v>
      </c>
      <c r="X117">
        <f t="shared" si="14"/>
        <v>1</v>
      </c>
      <c r="Y117">
        <f t="shared" si="12"/>
        <v>1</v>
      </c>
      <c r="Z117">
        <f t="shared" si="12"/>
        <v>0</v>
      </c>
      <c r="AA117">
        <f t="shared" si="12"/>
        <v>0</v>
      </c>
    </row>
    <row r="118" spans="1:27" x14ac:dyDescent="0.4">
      <c r="A118">
        <v>117</v>
      </c>
      <c r="B118">
        <v>3</v>
      </c>
      <c r="C118" t="s">
        <v>268</v>
      </c>
      <c r="D118" t="s">
        <v>13</v>
      </c>
      <c r="E118">
        <v>70.5</v>
      </c>
      <c r="F118">
        <v>0</v>
      </c>
      <c r="G118">
        <v>0</v>
      </c>
      <c r="H118" t="s">
        <v>269</v>
      </c>
      <c r="I118">
        <v>7.75</v>
      </c>
      <c r="J118" t="s">
        <v>15</v>
      </c>
      <c r="K118" t="s">
        <v>31</v>
      </c>
      <c r="L118">
        <v>0</v>
      </c>
      <c r="R118">
        <f t="shared" si="9"/>
        <v>70.5</v>
      </c>
      <c r="S118" t="str">
        <f t="shared" si="10"/>
        <v>Q</v>
      </c>
      <c r="U118">
        <f t="shared" si="11"/>
        <v>0</v>
      </c>
      <c r="V118">
        <f t="shared" si="14"/>
        <v>0</v>
      </c>
      <c r="W118">
        <f t="shared" si="14"/>
        <v>0</v>
      </c>
      <c r="X118">
        <f t="shared" si="14"/>
        <v>1</v>
      </c>
      <c r="Y118">
        <f t="shared" si="12"/>
        <v>0</v>
      </c>
      <c r="Z118">
        <f t="shared" si="12"/>
        <v>1</v>
      </c>
      <c r="AA118">
        <f t="shared" si="12"/>
        <v>0</v>
      </c>
    </row>
    <row r="119" spans="1:27" x14ac:dyDescent="0.4">
      <c r="A119">
        <v>118</v>
      </c>
      <c r="B119">
        <v>2</v>
      </c>
      <c r="C119" t="s">
        <v>270</v>
      </c>
      <c r="D119" t="s">
        <v>13</v>
      </c>
      <c r="E119">
        <v>29</v>
      </c>
      <c r="F119">
        <v>1</v>
      </c>
      <c r="G119">
        <v>0</v>
      </c>
      <c r="H119" t="s">
        <v>109</v>
      </c>
      <c r="I119">
        <v>21</v>
      </c>
      <c r="J119" t="s">
        <v>15</v>
      </c>
      <c r="K119" t="s">
        <v>16</v>
      </c>
      <c r="L119">
        <v>0</v>
      </c>
      <c r="R119">
        <f t="shared" si="9"/>
        <v>29</v>
      </c>
      <c r="S119" t="str">
        <f t="shared" si="10"/>
        <v>S</v>
      </c>
      <c r="U119">
        <f t="shared" si="11"/>
        <v>0</v>
      </c>
      <c r="V119">
        <f t="shared" si="14"/>
        <v>0</v>
      </c>
      <c r="W119">
        <f t="shared" si="14"/>
        <v>1</v>
      </c>
      <c r="X119">
        <f t="shared" si="14"/>
        <v>0</v>
      </c>
      <c r="Y119">
        <f t="shared" si="12"/>
        <v>1</v>
      </c>
      <c r="Z119">
        <f t="shared" si="12"/>
        <v>0</v>
      </c>
      <c r="AA119">
        <f t="shared" si="12"/>
        <v>0</v>
      </c>
    </row>
    <row r="120" spans="1:27" x14ac:dyDescent="0.4">
      <c r="A120">
        <v>119</v>
      </c>
      <c r="B120">
        <v>1</v>
      </c>
      <c r="C120" t="s">
        <v>271</v>
      </c>
      <c r="D120" t="s">
        <v>13</v>
      </c>
      <c r="E120">
        <v>24</v>
      </c>
      <c r="F120">
        <v>0</v>
      </c>
      <c r="G120">
        <v>1</v>
      </c>
      <c r="H120" t="s">
        <v>272</v>
      </c>
      <c r="I120">
        <v>247.52080000000001</v>
      </c>
      <c r="J120" t="s">
        <v>273</v>
      </c>
      <c r="K120" t="s">
        <v>21</v>
      </c>
      <c r="L120">
        <v>0</v>
      </c>
      <c r="R120">
        <f t="shared" si="9"/>
        <v>24</v>
      </c>
      <c r="S120" t="str">
        <f t="shared" si="10"/>
        <v>C</v>
      </c>
      <c r="U120">
        <f t="shared" si="11"/>
        <v>0</v>
      </c>
      <c r="V120">
        <f t="shared" si="14"/>
        <v>1</v>
      </c>
      <c r="W120">
        <f t="shared" si="14"/>
        <v>0</v>
      </c>
      <c r="X120">
        <f t="shared" si="14"/>
        <v>0</v>
      </c>
      <c r="Y120">
        <f t="shared" si="12"/>
        <v>0</v>
      </c>
      <c r="Z120">
        <f t="shared" si="12"/>
        <v>0</v>
      </c>
      <c r="AA120">
        <f t="shared" si="12"/>
        <v>1</v>
      </c>
    </row>
    <row r="121" spans="1:27" x14ac:dyDescent="0.4">
      <c r="A121">
        <v>120</v>
      </c>
      <c r="B121">
        <v>3</v>
      </c>
      <c r="C121" t="s">
        <v>274</v>
      </c>
      <c r="D121" t="s">
        <v>18</v>
      </c>
      <c r="E121">
        <v>2</v>
      </c>
      <c r="F121">
        <v>4</v>
      </c>
      <c r="G121">
        <v>2</v>
      </c>
      <c r="H121" t="s">
        <v>50</v>
      </c>
      <c r="I121">
        <v>31.274999999999999</v>
      </c>
      <c r="J121" t="s">
        <v>15</v>
      </c>
      <c r="K121" t="s">
        <v>16</v>
      </c>
      <c r="L121">
        <v>0</v>
      </c>
      <c r="R121">
        <f t="shared" si="9"/>
        <v>2</v>
      </c>
      <c r="S121" t="str">
        <f t="shared" si="10"/>
        <v>S</v>
      </c>
      <c r="U121">
        <f t="shared" si="11"/>
        <v>1</v>
      </c>
      <c r="V121">
        <f t="shared" si="14"/>
        <v>0</v>
      </c>
      <c r="W121">
        <f t="shared" si="14"/>
        <v>0</v>
      </c>
      <c r="X121">
        <f t="shared" si="14"/>
        <v>1</v>
      </c>
      <c r="Y121">
        <f t="shared" si="12"/>
        <v>1</v>
      </c>
      <c r="Z121">
        <f t="shared" si="12"/>
        <v>0</v>
      </c>
      <c r="AA121">
        <f t="shared" si="12"/>
        <v>0</v>
      </c>
    </row>
    <row r="122" spans="1:27" x14ac:dyDescent="0.4">
      <c r="A122">
        <v>121</v>
      </c>
      <c r="B122">
        <v>2</v>
      </c>
      <c r="C122" t="s">
        <v>275</v>
      </c>
      <c r="D122" t="s">
        <v>13</v>
      </c>
      <c r="E122">
        <v>21</v>
      </c>
      <c r="F122">
        <v>2</v>
      </c>
      <c r="G122">
        <v>0</v>
      </c>
      <c r="H122" t="s">
        <v>176</v>
      </c>
      <c r="I122">
        <v>73.5</v>
      </c>
      <c r="J122" t="s">
        <v>15</v>
      </c>
      <c r="K122" t="s">
        <v>16</v>
      </c>
      <c r="L122">
        <v>0</v>
      </c>
      <c r="R122">
        <f t="shared" si="9"/>
        <v>21</v>
      </c>
      <c r="S122" t="str">
        <f t="shared" si="10"/>
        <v>S</v>
      </c>
      <c r="U122">
        <f t="shared" si="11"/>
        <v>0</v>
      </c>
      <c r="V122">
        <f t="shared" ref="V122:X141" si="15">IF("Pclass_"&amp;$B122=V$1,1,0)</f>
        <v>0</v>
      </c>
      <c r="W122">
        <f t="shared" si="15"/>
        <v>1</v>
      </c>
      <c r="X122">
        <f t="shared" si="15"/>
        <v>0</v>
      </c>
      <c r="Y122">
        <f t="shared" si="12"/>
        <v>1</v>
      </c>
      <c r="Z122">
        <f t="shared" si="12"/>
        <v>0</v>
      </c>
      <c r="AA122">
        <f t="shared" si="12"/>
        <v>0</v>
      </c>
    </row>
    <row r="123" spans="1:27" x14ac:dyDescent="0.4">
      <c r="A123">
        <v>122</v>
      </c>
      <c r="B123">
        <v>3</v>
      </c>
      <c r="C123" t="s">
        <v>276</v>
      </c>
      <c r="D123" t="s">
        <v>13</v>
      </c>
      <c r="F123">
        <v>0</v>
      </c>
      <c r="G123">
        <v>0</v>
      </c>
      <c r="H123" t="s">
        <v>277</v>
      </c>
      <c r="I123">
        <v>8.0500000000000007</v>
      </c>
      <c r="J123" t="s">
        <v>15</v>
      </c>
      <c r="K123" t="s">
        <v>16</v>
      </c>
      <c r="L123">
        <v>0</v>
      </c>
      <c r="R123">
        <f t="shared" si="9"/>
        <v>28</v>
      </c>
      <c r="S123" t="str">
        <f t="shared" si="10"/>
        <v>S</v>
      </c>
      <c r="U123">
        <f t="shared" si="11"/>
        <v>0</v>
      </c>
      <c r="V123">
        <f t="shared" si="15"/>
        <v>0</v>
      </c>
      <c r="W123">
        <f t="shared" si="15"/>
        <v>0</v>
      </c>
      <c r="X123">
        <f t="shared" si="15"/>
        <v>1</v>
      </c>
      <c r="Y123">
        <f t="shared" si="12"/>
        <v>1</v>
      </c>
      <c r="Z123">
        <f t="shared" si="12"/>
        <v>0</v>
      </c>
      <c r="AA123">
        <f t="shared" si="12"/>
        <v>0</v>
      </c>
    </row>
    <row r="124" spans="1:27" x14ac:dyDescent="0.4">
      <c r="A124">
        <v>123</v>
      </c>
      <c r="B124">
        <v>2</v>
      </c>
      <c r="C124" t="s">
        <v>278</v>
      </c>
      <c r="D124" t="s">
        <v>13</v>
      </c>
      <c r="E124">
        <v>32.5</v>
      </c>
      <c r="F124">
        <v>1</v>
      </c>
      <c r="G124">
        <v>0</v>
      </c>
      <c r="H124" t="s">
        <v>40</v>
      </c>
      <c r="I124">
        <v>30.070799999999998</v>
      </c>
      <c r="J124" t="s">
        <v>15</v>
      </c>
      <c r="K124" t="s">
        <v>21</v>
      </c>
      <c r="L124">
        <v>0</v>
      </c>
      <c r="R124">
        <f t="shared" si="9"/>
        <v>32.5</v>
      </c>
      <c r="S124" t="str">
        <f t="shared" si="10"/>
        <v>C</v>
      </c>
      <c r="U124">
        <f t="shared" si="11"/>
        <v>0</v>
      </c>
      <c r="V124">
        <f t="shared" si="15"/>
        <v>0</v>
      </c>
      <c r="W124">
        <f t="shared" si="15"/>
        <v>1</v>
      </c>
      <c r="X124">
        <f t="shared" si="15"/>
        <v>0</v>
      </c>
      <c r="Y124">
        <f t="shared" si="12"/>
        <v>0</v>
      </c>
      <c r="Z124">
        <f t="shared" si="12"/>
        <v>0</v>
      </c>
      <c r="AA124">
        <f t="shared" si="12"/>
        <v>1</v>
      </c>
    </row>
    <row r="125" spans="1:27" x14ac:dyDescent="0.4">
      <c r="A125">
        <v>124</v>
      </c>
      <c r="B125">
        <v>2</v>
      </c>
      <c r="C125" t="s">
        <v>279</v>
      </c>
      <c r="D125" t="s">
        <v>18</v>
      </c>
      <c r="E125">
        <v>32.5</v>
      </c>
      <c r="F125">
        <v>0</v>
      </c>
      <c r="G125">
        <v>0</v>
      </c>
      <c r="H125" t="s">
        <v>280</v>
      </c>
      <c r="I125">
        <v>13</v>
      </c>
      <c r="J125" t="s">
        <v>281</v>
      </c>
      <c r="K125" t="s">
        <v>16</v>
      </c>
      <c r="L125">
        <v>1</v>
      </c>
      <c r="R125">
        <f t="shared" si="9"/>
        <v>32.5</v>
      </c>
      <c r="S125" t="str">
        <f t="shared" si="10"/>
        <v>S</v>
      </c>
      <c r="U125">
        <f t="shared" si="11"/>
        <v>1</v>
      </c>
      <c r="V125">
        <f t="shared" si="15"/>
        <v>0</v>
      </c>
      <c r="W125">
        <f t="shared" si="15"/>
        <v>1</v>
      </c>
      <c r="X125">
        <f t="shared" si="15"/>
        <v>0</v>
      </c>
      <c r="Y125">
        <f t="shared" si="12"/>
        <v>1</v>
      </c>
      <c r="Z125">
        <f t="shared" si="12"/>
        <v>0</v>
      </c>
      <c r="AA125">
        <f t="shared" si="12"/>
        <v>0</v>
      </c>
    </row>
    <row r="126" spans="1:27" x14ac:dyDescent="0.4">
      <c r="A126">
        <v>125</v>
      </c>
      <c r="B126">
        <v>1</v>
      </c>
      <c r="C126" t="s">
        <v>282</v>
      </c>
      <c r="D126" t="s">
        <v>13</v>
      </c>
      <c r="E126">
        <v>54</v>
      </c>
      <c r="F126">
        <v>0</v>
      </c>
      <c r="G126">
        <v>1</v>
      </c>
      <c r="H126" t="s">
        <v>239</v>
      </c>
      <c r="I126">
        <v>77.287499999999994</v>
      </c>
      <c r="J126" t="s">
        <v>240</v>
      </c>
      <c r="K126" t="s">
        <v>16</v>
      </c>
      <c r="L126">
        <v>0</v>
      </c>
      <c r="R126">
        <f t="shared" si="9"/>
        <v>54</v>
      </c>
      <c r="S126" t="str">
        <f t="shared" si="10"/>
        <v>S</v>
      </c>
      <c r="U126">
        <f t="shared" si="11"/>
        <v>0</v>
      </c>
      <c r="V126">
        <f t="shared" si="15"/>
        <v>1</v>
      </c>
      <c r="W126">
        <f t="shared" si="15"/>
        <v>0</v>
      </c>
      <c r="X126">
        <f t="shared" si="15"/>
        <v>0</v>
      </c>
      <c r="Y126">
        <f t="shared" si="12"/>
        <v>1</v>
      </c>
      <c r="Z126">
        <f t="shared" si="12"/>
        <v>0</v>
      </c>
      <c r="AA126">
        <f t="shared" si="12"/>
        <v>0</v>
      </c>
    </row>
    <row r="127" spans="1:27" x14ac:dyDescent="0.4">
      <c r="A127">
        <v>126</v>
      </c>
      <c r="B127">
        <v>3</v>
      </c>
      <c r="C127" t="s">
        <v>283</v>
      </c>
      <c r="D127" t="s">
        <v>13</v>
      </c>
      <c r="E127">
        <v>12</v>
      </c>
      <c r="F127">
        <v>1</v>
      </c>
      <c r="G127">
        <v>0</v>
      </c>
      <c r="H127" t="s">
        <v>105</v>
      </c>
      <c r="I127">
        <v>11.2417</v>
      </c>
      <c r="J127" t="s">
        <v>15</v>
      </c>
      <c r="K127" t="s">
        <v>21</v>
      </c>
      <c r="L127">
        <v>1</v>
      </c>
      <c r="R127">
        <f t="shared" si="9"/>
        <v>12</v>
      </c>
      <c r="S127" t="str">
        <f t="shared" si="10"/>
        <v>C</v>
      </c>
      <c r="U127">
        <f t="shared" si="11"/>
        <v>0</v>
      </c>
      <c r="V127">
        <f t="shared" si="15"/>
        <v>0</v>
      </c>
      <c r="W127">
        <f t="shared" si="15"/>
        <v>0</v>
      </c>
      <c r="X127">
        <f t="shared" si="15"/>
        <v>1</v>
      </c>
      <c r="Y127">
        <f t="shared" si="12"/>
        <v>0</v>
      </c>
      <c r="Z127">
        <f t="shared" si="12"/>
        <v>0</v>
      </c>
      <c r="AA127">
        <f t="shared" si="12"/>
        <v>1</v>
      </c>
    </row>
    <row r="128" spans="1:27" x14ac:dyDescent="0.4">
      <c r="A128">
        <v>127</v>
      </c>
      <c r="B128">
        <v>3</v>
      </c>
      <c r="C128" t="s">
        <v>284</v>
      </c>
      <c r="D128" t="s">
        <v>13</v>
      </c>
      <c r="F128">
        <v>0</v>
      </c>
      <c r="G128">
        <v>0</v>
      </c>
      <c r="H128" t="s">
        <v>285</v>
      </c>
      <c r="I128">
        <v>7.75</v>
      </c>
      <c r="J128" t="s">
        <v>15</v>
      </c>
      <c r="K128" t="s">
        <v>31</v>
      </c>
      <c r="L128">
        <v>0</v>
      </c>
      <c r="R128">
        <f t="shared" si="9"/>
        <v>28</v>
      </c>
      <c r="S128" t="str">
        <f t="shared" si="10"/>
        <v>Q</v>
      </c>
      <c r="U128">
        <f t="shared" si="11"/>
        <v>0</v>
      </c>
      <c r="V128">
        <f t="shared" si="15"/>
        <v>0</v>
      </c>
      <c r="W128">
        <f t="shared" si="15"/>
        <v>0</v>
      </c>
      <c r="X128">
        <f t="shared" si="15"/>
        <v>1</v>
      </c>
      <c r="Y128">
        <f t="shared" si="12"/>
        <v>0</v>
      </c>
      <c r="Z128">
        <f t="shared" si="12"/>
        <v>1</v>
      </c>
      <c r="AA128">
        <f t="shared" si="12"/>
        <v>0</v>
      </c>
    </row>
    <row r="129" spans="1:27" x14ac:dyDescent="0.4">
      <c r="A129">
        <v>128</v>
      </c>
      <c r="B129">
        <v>3</v>
      </c>
      <c r="C129" t="s">
        <v>286</v>
      </c>
      <c r="D129" t="s">
        <v>13</v>
      </c>
      <c r="E129">
        <v>24</v>
      </c>
      <c r="F129">
        <v>0</v>
      </c>
      <c r="G129">
        <v>0</v>
      </c>
      <c r="H129" t="s">
        <v>287</v>
      </c>
      <c r="I129">
        <v>7.1417000000000002</v>
      </c>
      <c r="J129" t="s">
        <v>15</v>
      </c>
      <c r="K129" t="s">
        <v>16</v>
      </c>
      <c r="L129">
        <v>1</v>
      </c>
      <c r="R129">
        <f t="shared" si="9"/>
        <v>24</v>
      </c>
      <c r="S129" t="str">
        <f t="shared" si="10"/>
        <v>S</v>
      </c>
      <c r="U129">
        <f t="shared" si="11"/>
        <v>0</v>
      </c>
      <c r="V129">
        <f t="shared" si="15"/>
        <v>0</v>
      </c>
      <c r="W129">
        <f t="shared" si="15"/>
        <v>0</v>
      </c>
      <c r="X129">
        <f t="shared" si="15"/>
        <v>1</v>
      </c>
      <c r="Y129">
        <f t="shared" si="12"/>
        <v>1</v>
      </c>
      <c r="Z129">
        <f t="shared" si="12"/>
        <v>0</v>
      </c>
      <c r="AA129">
        <f t="shared" si="12"/>
        <v>0</v>
      </c>
    </row>
    <row r="130" spans="1:27" x14ac:dyDescent="0.4">
      <c r="A130">
        <v>129</v>
      </c>
      <c r="B130">
        <v>3</v>
      </c>
      <c r="C130" t="s">
        <v>288</v>
      </c>
      <c r="D130" t="s">
        <v>18</v>
      </c>
      <c r="F130">
        <v>1</v>
      </c>
      <c r="G130">
        <v>1</v>
      </c>
      <c r="H130" t="s">
        <v>289</v>
      </c>
      <c r="I130">
        <v>22.3583</v>
      </c>
      <c r="J130" t="s">
        <v>290</v>
      </c>
      <c r="K130" t="s">
        <v>21</v>
      </c>
      <c r="L130">
        <v>1</v>
      </c>
      <c r="R130">
        <f t="shared" si="9"/>
        <v>28</v>
      </c>
      <c r="S130" t="str">
        <f t="shared" si="10"/>
        <v>C</v>
      </c>
      <c r="U130">
        <f t="shared" si="11"/>
        <v>1</v>
      </c>
      <c r="V130">
        <f t="shared" si="15"/>
        <v>0</v>
      </c>
      <c r="W130">
        <f t="shared" si="15"/>
        <v>0</v>
      </c>
      <c r="X130">
        <f t="shared" si="15"/>
        <v>1</v>
      </c>
      <c r="Y130">
        <f t="shared" si="12"/>
        <v>0</v>
      </c>
      <c r="Z130">
        <f t="shared" si="12"/>
        <v>0</v>
      </c>
      <c r="AA130">
        <f t="shared" si="12"/>
        <v>1</v>
      </c>
    </row>
    <row r="131" spans="1:27" x14ac:dyDescent="0.4">
      <c r="A131">
        <v>130</v>
      </c>
      <c r="B131">
        <v>3</v>
      </c>
      <c r="C131" t="s">
        <v>291</v>
      </c>
      <c r="D131" t="s">
        <v>13</v>
      </c>
      <c r="E131">
        <v>45</v>
      </c>
      <c r="F131">
        <v>0</v>
      </c>
      <c r="G131">
        <v>0</v>
      </c>
      <c r="H131" t="s">
        <v>292</v>
      </c>
      <c r="I131">
        <v>6.9749999999999996</v>
      </c>
      <c r="J131" t="s">
        <v>15</v>
      </c>
      <c r="K131" t="s">
        <v>16</v>
      </c>
      <c r="L131">
        <v>0</v>
      </c>
      <c r="R131">
        <f t="shared" ref="R131:R194" si="16">IF(E131&lt;&gt;"",E131,$O$18)</f>
        <v>45</v>
      </c>
      <c r="S131" t="str">
        <f t="shared" ref="S131:S194" si="17">IF(K131&lt;&gt;"",K131,$N$9)</f>
        <v>S</v>
      </c>
      <c r="U131">
        <f t="shared" ref="U131:U194" si="18">IF(D131="male",0,1)</f>
        <v>0</v>
      </c>
      <c r="V131">
        <f t="shared" si="15"/>
        <v>0</v>
      </c>
      <c r="W131">
        <f t="shared" si="15"/>
        <v>0</v>
      </c>
      <c r="X131">
        <f t="shared" si="15"/>
        <v>1</v>
      </c>
      <c r="Y131">
        <f t="shared" ref="Y131:AA194" si="19">IF($S131=RIGHT(Y$1,1),1,0)</f>
        <v>1</v>
      </c>
      <c r="Z131">
        <f t="shared" si="19"/>
        <v>0</v>
      </c>
      <c r="AA131">
        <f t="shared" si="19"/>
        <v>0</v>
      </c>
    </row>
    <row r="132" spans="1:27" x14ac:dyDescent="0.4">
      <c r="A132">
        <v>131</v>
      </c>
      <c r="B132">
        <v>3</v>
      </c>
      <c r="C132" t="s">
        <v>293</v>
      </c>
      <c r="D132" t="s">
        <v>13</v>
      </c>
      <c r="E132">
        <v>33</v>
      </c>
      <c r="F132">
        <v>0</v>
      </c>
      <c r="G132">
        <v>0</v>
      </c>
      <c r="H132" t="s">
        <v>294</v>
      </c>
      <c r="I132">
        <v>7.8958000000000004</v>
      </c>
      <c r="J132" t="s">
        <v>15</v>
      </c>
      <c r="K132" t="s">
        <v>21</v>
      </c>
      <c r="L132">
        <v>0</v>
      </c>
      <c r="R132">
        <f t="shared" si="16"/>
        <v>33</v>
      </c>
      <c r="S132" t="str">
        <f t="shared" si="17"/>
        <v>C</v>
      </c>
      <c r="U132">
        <f t="shared" si="18"/>
        <v>0</v>
      </c>
      <c r="V132">
        <f t="shared" si="15"/>
        <v>0</v>
      </c>
      <c r="W132">
        <f t="shared" si="15"/>
        <v>0</v>
      </c>
      <c r="X132">
        <f t="shared" si="15"/>
        <v>1</v>
      </c>
      <c r="Y132">
        <f t="shared" si="19"/>
        <v>0</v>
      </c>
      <c r="Z132">
        <f t="shared" si="19"/>
        <v>0</v>
      </c>
      <c r="AA132">
        <f t="shared" si="19"/>
        <v>1</v>
      </c>
    </row>
    <row r="133" spans="1:27" x14ac:dyDescent="0.4">
      <c r="A133">
        <v>132</v>
      </c>
      <c r="B133">
        <v>3</v>
      </c>
      <c r="C133" t="s">
        <v>295</v>
      </c>
      <c r="D133" t="s">
        <v>13</v>
      </c>
      <c r="E133">
        <v>20</v>
      </c>
      <c r="F133">
        <v>0</v>
      </c>
      <c r="G133">
        <v>0</v>
      </c>
      <c r="H133" t="s">
        <v>296</v>
      </c>
      <c r="I133">
        <v>7.05</v>
      </c>
      <c r="J133" t="s">
        <v>15</v>
      </c>
      <c r="K133" t="s">
        <v>16</v>
      </c>
      <c r="L133">
        <v>0</v>
      </c>
      <c r="R133">
        <f t="shared" si="16"/>
        <v>20</v>
      </c>
      <c r="S133" t="str">
        <f t="shared" si="17"/>
        <v>S</v>
      </c>
      <c r="U133">
        <f t="shared" si="18"/>
        <v>0</v>
      </c>
      <c r="V133">
        <f t="shared" si="15"/>
        <v>0</v>
      </c>
      <c r="W133">
        <f t="shared" si="15"/>
        <v>0</v>
      </c>
      <c r="X133">
        <f t="shared" si="15"/>
        <v>1</v>
      </c>
      <c r="Y133">
        <f t="shared" si="19"/>
        <v>1</v>
      </c>
      <c r="Z133">
        <f t="shared" si="19"/>
        <v>0</v>
      </c>
      <c r="AA133">
        <f t="shared" si="19"/>
        <v>0</v>
      </c>
    </row>
    <row r="134" spans="1:27" x14ac:dyDescent="0.4">
      <c r="A134">
        <v>133</v>
      </c>
      <c r="B134">
        <v>3</v>
      </c>
      <c r="C134" t="s">
        <v>297</v>
      </c>
      <c r="D134" t="s">
        <v>18</v>
      </c>
      <c r="E134">
        <v>47</v>
      </c>
      <c r="F134">
        <v>1</v>
      </c>
      <c r="G134">
        <v>0</v>
      </c>
      <c r="H134" t="s">
        <v>298</v>
      </c>
      <c r="I134">
        <v>14.5</v>
      </c>
      <c r="J134" t="s">
        <v>15</v>
      </c>
      <c r="K134" t="s">
        <v>16</v>
      </c>
      <c r="L134">
        <v>0</v>
      </c>
      <c r="R134">
        <f t="shared" si="16"/>
        <v>47</v>
      </c>
      <c r="S134" t="str">
        <f t="shared" si="17"/>
        <v>S</v>
      </c>
      <c r="U134">
        <f t="shared" si="18"/>
        <v>1</v>
      </c>
      <c r="V134">
        <f t="shared" si="15"/>
        <v>0</v>
      </c>
      <c r="W134">
        <f t="shared" si="15"/>
        <v>0</v>
      </c>
      <c r="X134">
        <f t="shared" si="15"/>
        <v>1</v>
      </c>
      <c r="Y134">
        <f t="shared" si="19"/>
        <v>1</v>
      </c>
      <c r="Z134">
        <f t="shared" si="19"/>
        <v>0</v>
      </c>
      <c r="AA134">
        <f t="shared" si="19"/>
        <v>0</v>
      </c>
    </row>
    <row r="135" spans="1:27" x14ac:dyDescent="0.4">
      <c r="A135">
        <v>134</v>
      </c>
      <c r="B135">
        <v>2</v>
      </c>
      <c r="C135" t="s">
        <v>299</v>
      </c>
      <c r="D135" t="s">
        <v>18</v>
      </c>
      <c r="E135">
        <v>29</v>
      </c>
      <c r="F135">
        <v>1</v>
      </c>
      <c r="G135">
        <v>0</v>
      </c>
      <c r="H135" t="s">
        <v>300</v>
      </c>
      <c r="I135">
        <v>26</v>
      </c>
      <c r="J135" t="s">
        <v>15</v>
      </c>
      <c r="K135" t="s">
        <v>16</v>
      </c>
      <c r="L135">
        <v>1</v>
      </c>
      <c r="R135">
        <f t="shared" si="16"/>
        <v>29</v>
      </c>
      <c r="S135" t="str">
        <f t="shared" si="17"/>
        <v>S</v>
      </c>
      <c r="U135">
        <f t="shared" si="18"/>
        <v>1</v>
      </c>
      <c r="V135">
        <f t="shared" si="15"/>
        <v>0</v>
      </c>
      <c r="W135">
        <f t="shared" si="15"/>
        <v>1</v>
      </c>
      <c r="X135">
        <f t="shared" si="15"/>
        <v>0</v>
      </c>
      <c r="Y135">
        <f t="shared" si="19"/>
        <v>1</v>
      </c>
      <c r="Z135">
        <f t="shared" si="19"/>
        <v>0</v>
      </c>
      <c r="AA135">
        <f t="shared" si="19"/>
        <v>0</v>
      </c>
    </row>
    <row r="136" spans="1:27" x14ac:dyDescent="0.4">
      <c r="A136">
        <v>135</v>
      </c>
      <c r="B136">
        <v>2</v>
      </c>
      <c r="C136" t="s">
        <v>301</v>
      </c>
      <c r="D136" t="s">
        <v>13</v>
      </c>
      <c r="E136">
        <v>25</v>
      </c>
      <c r="F136">
        <v>0</v>
      </c>
      <c r="G136">
        <v>0</v>
      </c>
      <c r="H136" t="s">
        <v>302</v>
      </c>
      <c r="I136">
        <v>13</v>
      </c>
      <c r="J136" t="s">
        <v>15</v>
      </c>
      <c r="K136" t="s">
        <v>16</v>
      </c>
      <c r="L136">
        <v>0</v>
      </c>
      <c r="R136">
        <f t="shared" si="16"/>
        <v>25</v>
      </c>
      <c r="S136" t="str">
        <f t="shared" si="17"/>
        <v>S</v>
      </c>
      <c r="U136">
        <f t="shared" si="18"/>
        <v>0</v>
      </c>
      <c r="V136">
        <f t="shared" si="15"/>
        <v>0</v>
      </c>
      <c r="W136">
        <f t="shared" si="15"/>
        <v>1</v>
      </c>
      <c r="X136">
        <f t="shared" si="15"/>
        <v>0</v>
      </c>
      <c r="Y136">
        <f t="shared" si="19"/>
        <v>1</v>
      </c>
      <c r="Z136">
        <f t="shared" si="19"/>
        <v>0</v>
      </c>
      <c r="AA136">
        <f t="shared" si="19"/>
        <v>0</v>
      </c>
    </row>
    <row r="137" spans="1:27" x14ac:dyDescent="0.4">
      <c r="A137">
        <v>136</v>
      </c>
      <c r="B137">
        <v>2</v>
      </c>
      <c r="C137" t="s">
        <v>303</v>
      </c>
      <c r="D137" t="s">
        <v>13</v>
      </c>
      <c r="E137">
        <v>23</v>
      </c>
      <c r="F137">
        <v>0</v>
      </c>
      <c r="G137">
        <v>0</v>
      </c>
      <c r="H137" t="s">
        <v>304</v>
      </c>
      <c r="I137">
        <v>15.0458</v>
      </c>
      <c r="J137" t="s">
        <v>15</v>
      </c>
      <c r="K137" t="s">
        <v>21</v>
      </c>
      <c r="L137">
        <v>0</v>
      </c>
      <c r="R137">
        <f t="shared" si="16"/>
        <v>23</v>
      </c>
      <c r="S137" t="str">
        <f t="shared" si="17"/>
        <v>C</v>
      </c>
      <c r="U137">
        <f t="shared" si="18"/>
        <v>0</v>
      </c>
      <c r="V137">
        <f t="shared" si="15"/>
        <v>0</v>
      </c>
      <c r="W137">
        <f t="shared" si="15"/>
        <v>1</v>
      </c>
      <c r="X137">
        <f t="shared" si="15"/>
        <v>0</v>
      </c>
      <c r="Y137">
        <f t="shared" si="19"/>
        <v>0</v>
      </c>
      <c r="Z137">
        <f t="shared" si="19"/>
        <v>0</v>
      </c>
      <c r="AA137">
        <f t="shared" si="19"/>
        <v>1</v>
      </c>
    </row>
    <row r="138" spans="1:27" x14ac:dyDescent="0.4">
      <c r="A138">
        <v>137</v>
      </c>
      <c r="B138">
        <v>1</v>
      </c>
      <c r="C138" t="s">
        <v>305</v>
      </c>
      <c r="D138" t="s">
        <v>18</v>
      </c>
      <c r="E138">
        <v>19</v>
      </c>
      <c r="F138">
        <v>0</v>
      </c>
      <c r="G138">
        <v>2</v>
      </c>
      <c r="H138" t="s">
        <v>306</v>
      </c>
      <c r="I138">
        <v>26.283300000000001</v>
      </c>
      <c r="J138" t="s">
        <v>307</v>
      </c>
      <c r="K138" t="s">
        <v>16</v>
      </c>
      <c r="L138">
        <v>1</v>
      </c>
      <c r="R138">
        <f t="shared" si="16"/>
        <v>19</v>
      </c>
      <c r="S138" t="str">
        <f t="shared" si="17"/>
        <v>S</v>
      </c>
      <c r="U138">
        <f t="shared" si="18"/>
        <v>1</v>
      </c>
      <c r="V138">
        <f t="shared" si="15"/>
        <v>1</v>
      </c>
      <c r="W138">
        <f t="shared" si="15"/>
        <v>0</v>
      </c>
      <c r="X138">
        <f t="shared" si="15"/>
        <v>0</v>
      </c>
      <c r="Y138">
        <f t="shared" si="19"/>
        <v>1</v>
      </c>
      <c r="Z138">
        <f t="shared" si="19"/>
        <v>0</v>
      </c>
      <c r="AA138">
        <f t="shared" si="19"/>
        <v>0</v>
      </c>
    </row>
    <row r="139" spans="1:27" x14ac:dyDescent="0.4">
      <c r="A139">
        <v>138</v>
      </c>
      <c r="B139">
        <v>1</v>
      </c>
      <c r="C139" t="s">
        <v>308</v>
      </c>
      <c r="D139" t="s">
        <v>13</v>
      </c>
      <c r="E139">
        <v>37</v>
      </c>
      <c r="F139">
        <v>1</v>
      </c>
      <c r="G139">
        <v>0</v>
      </c>
      <c r="H139" t="s">
        <v>25</v>
      </c>
      <c r="I139">
        <v>53.1</v>
      </c>
      <c r="J139" t="s">
        <v>26</v>
      </c>
      <c r="K139" t="s">
        <v>16</v>
      </c>
      <c r="L139">
        <v>0</v>
      </c>
      <c r="R139">
        <f t="shared" si="16"/>
        <v>37</v>
      </c>
      <c r="S139" t="str">
        <f t="shared" si="17"/>
        <v>S</v>
      </c>
      <c r="U139">
        <f t="shared" si="18"/>
        <v>0</v>
      </c>
      <c r="V139">
        <f t="shared" si="15"/>
        <v>1</v>
      </c>
      <c r="W139">
        <f t="shared" si="15"/>
        <v>0</v>
      </c>
      <c r="X139">
        <f t="shared" si="15"/>
        <v>0</v>
      </c>
      <c r="Y139">
        <f t="shared" si="19"/>
        <v>1</v>
      </c>
      <c r="Z139">
        <f t="shared" si="19"/>
        <v>0</v>
      </c>
      <c r="AA139">
        <f t="shared" si="19"/>
        <v>0</v>
      </c>
    </row>
    <row r="140" spans="1:27" x14ac:dyDescent="0.4">
      <c r="A140">
        <v>139</v>
      </c>
      <c r="B140">
        <v>3</v>
      </c>
      <c r="C140" t="s">
        <v>309</v>
      </c>
      <c r="D140" t="s">
        <v>13</v>
      </c>
      <c r="E140">
        <v>16</v>
      </c>
      <c r="F140">
        <v>0</v>
      </c>
      <c r="G140">
        <v>0</v>
      </c>
      <c r="H140" t="s">
        <v>310</v>
      </c>
      <c r="I140">
        <v>9.2166999999999994</v>
      </c>
      <c r="J140" t="s">
        <v>15</v>
      </c>
      <c r="K140" t="s">
        <v>16</v>
      </c>
      <c r="L140">
        <v>0</v>
      </c>
      <c r="R140">
        <f t="shared" si="16"/>
        <v>16</v>
      </c>
      <c r="S140" t="str">
        <f t="shared" si="17"/>
        <v>S</v>
      </c>
      <c r="U140">
        <f t="shared" si="18"/>
        <v>0</v>
      </c>
      <c r="V140">
        <f t="shared" si="15"/>
        <v>0</v>
      </c>
      <c r="W140">
        <f t="shared" si="15"/>
        <v>0</v>
      </c>
      <c r="X140">
        <f t="shared" si="15"/>
        <v>1</v>
      </c>
      <c r="Y140">
        <f t="shared" si="19"/>
        <v>1</v>
      </c>
      <c r="Z140">
        <f t="shared" si="19"/>
        <v>0</v>
      </c>
      <c r="AA140">
        <f t="shared" si="19"/>
        <v>0</v>
      </c>
    </row>
    <row r="141" spans="1:27" x14ac:dyDescent="0.4">
      <c r="A141">
        <v>140</v>
      </c>
      <c r="B141">
        <v>1</v>
      </c>
      <c r="C141" t="s">
        <v>311</v>
      </c>
      <c r="D141" t="s">
        <v>13</v>
      </c>
      <c r="E141">
        <v>24</v>
      </c>
      <c r="F141">
        <v>0</v>
      </c>
      <c r="G141">
        <v>0</v>
      </c>
      <c r="H141" t="s">
        <v>312</v>
      </c>
      <c r="I141">
        <v>79.2</v>
      </c>
      <c r="J141" t="s">
        <v>313</v>
      </c>
      <c r="K141" t="s">
        <v>21</v>
      </c>
      <c r="L141">
        <v>0</v>
      </c>
      <c r="R141">
        <f t="shared" si="16"/>
        <v>24</v>
      </c>
      <c r="S141" t="str">
        <f t="shared" si="17"/>
        <v>C</v>
      </c>
      <c r="U141">
        <f t="shared" si="18"/>
        <v>0</v>
      </c>
      <c r="V141">
        <f t="shared" si="15"/>
        <v>1</v>
      </c>
      <c r="W141">
        <f t="shared" si="15"/>
        <v>0</v>
      </c>
      <c r="X141">
        <f t="shared" si="15"/>
        <v>0</v>
      </c>
      <c r="Y141">
        <f t="shared" si="19"/>
        <v>0</v>
      </c>
      <c r="Z141">
        <f t="shared" si="19"/>
        <v>0</v>
      </c>
      <c r="AA141">
        <f t="shared" si="19"/>
        <v>1</v>
      </c>
    </row>
    <row r="142" spans="1:27" x14ac:dyDescent="0.4">
      <c r="A142">
        <v>141</v>
      </c>
      <c r="B142">
        <v>3</v>
      </c>
      <c r="C142" t="s">
        <v>314</v>
      </c>
      <c r="D142" t="s">
        <v>18</v>
      </c>
      <c r="F142">
        <v>0</v>
      </c>
      <c r="G142">
        <v>2</v>
      </c>
      <c r="H142" t="s">
        <v>315</v>
      </c>
      <c r="I142">
        <v>15.245799999999999</v>
      </c>
      <c r="J142" t="s">
        <v>15</v>
      </c>
      <c r="K142" t="s">
        <v>21</v>
      </c>
      <c r="L142">
        <v>0</v>
      </c>
      <c r="R142">
        <f t="shared" si="16"/>
        <v>28</v>
      </c>
      <c r="S142" t="str">
        <f t="shared" si="17"/>
        <v>C</v>
      </c>
      <c r="U142">
        <f t="shared" si="18"/>
        <v>1</v>
      </c>
      <c r="V142">
        <f t="shared" ref="V142:X161" si="20">IF("Pclass_"&amp;$B142=V$1,1,0)</f>
        <v>0</v>
      </c>
      <c r="W142">
        <f t="shared" si="20"/>
        <v>0</v>
      </c>
      <c r="X142">
        <f t="shared" si="20"/>
        <v>1</v>
      </c>
      <c r="Y142">
        <f t="shared" si="19"/>
        <v>0</v>
      </c>
      <c r="Z142">
        <f t="shared" si="19"/>
        <v>0</v>
      </c>
      <c r="AA142">
        <f t="shared" si="19"/>
        <v>1</v>
      </c>
    </row>
    <row r="143" spans="1:27" x14ac:dyDescent="0.4">
      <c r="A143">
        <v>142</v>
      </c>
      <c r="B143">
        <v>3</v>
      </c>
      <c r="C143" t="s">
        <v>316</v>
      </c>
      <c r="D143" t="s">
        <v>18</v>
      </c>
      <c r="E143">
        <v>22</v>
      </c>
      <c r="F143">
        <v>0</v>
      </c>
      <c r="G143">
        <v>0</v>
      </c>
      <c r="H143" t="s">
        <v>317</v>
      </c>
      <c r="I143">
        <v>7.75</v>
      </c>
      <c r="J143" t="s">
        <v>15</v>
      </c>
      <c r="K143" t="s">
        <v>16</v>
      </c>
      <c r="L143">
        <v>1</v>
      </c>
      <c r="R143">
        <f t="shared" si="16"/>
        <v>22</v>
      </c>
      <c r="S143" t="str">
        <f t="shared" si="17"/>
        <v>S</v>
      </c>
      <c r="U143">
        <f t="shared" si="18"/>
        <v>1</v>
      </c>
      <c r="V143">
        <f t="shared" si="20"/>
        <v>0</v>
      </c>
      <c r="W143">
        <f t="shared" si="20"/>
        <v>0</v>
      </c>
      <c r="X143">
        <f t="shared" si="20"/>
        <v>1</v>
      </c>
      <c r="Y143">
        <f t="shared" si="19"/>
        <v>1</v>
      </c>
      <c r="Z143">
        <f t="shared" si="19"/>
        <v>0</v>
      </c>
      <c r="AA143">
        <f t="shared" si="19"/>
        <v>0</v>
      </c>
    </row>
    <row r="144" spans="1:27" x14ac:dyDescent="0.4">
      <c r="A144">
        <v>143</v>
      </c>
      <c r="B144">
        <v>3</v>
      </c>
      <c r="C144" t="s">
        <v>318</v>
      </c>
      <c r="D144" t="s">
        <v>18</v>
      </c>
      <c r="E144">
        <v>24</v>
      </c>
      <c r="F144">
        <v>1</v>
      </c>
      <c r="G144">
        <v>0</v>
      </c>
      <c r="H144" t="s">
        <v>319</v>
      </c>
      <c r="I144">
        <v>15.85</v>
      </c>
      <c r="J144" t="s">
        <v>15</v>
      </c>
      <c r="K144" t="s">
        <v>16</v>
      </c>
      <c r="L144">
        <v>1</v>
      </c>
      <c r="R144">
        <f t="shared" si="16"/>
        <v>24</v>
      </c>
      <c r="S144" t="str">
        <f t="shared" si="17"/>
        <v>S</v>
      </c>
      <c r="U144">
        <f t="shared" si="18"/>
        <v>1</v>
      </c>
      <c r="V144">
        <f t="shared" si="20"/>
        <v>0</v>
      </c>
      <c r="W144">
        <f t="shared" si="20"/>
        <v>0</v>
      </c>
      <c r="X144">
        <f t="shared" si="20"/>
        <v>1</v>
      </c>
      <c r="Y144">
        <f t="shared" si="19"/>
        <v>1</v>
      </c>
      <c r="Z144">
        <f t="shared" si="19"/>
        <v>0</v>
      </c>
      <c r="AA144">
        <f t="shared" si="19"/>
        <v>0</v>
      </c>
    </row>
    <row r="145" spans="1:27" x14ac:dyDescent="0.4">
      <c r="A145">
        <v>144</v>
      </c>
      <c r="B145">
        <v>3</v>
      </c>
      <c r="C145" t="s">
        <v>320</v>
      </c>
      <c r="D145" t="s">
        <v>13</v>
      </c>
      <c r="E145">
        <v>19</v>
      </c>
      <c r="F145">
        <v>0</v>
      </c>
      <c r="G145">
        <v>0</v>
      </c>
      <c r="H145" t="s">
        <v>321</v>
      </c>
      <c r="I145">
        <v>6.75</v>
      </c>
      <c r="J145" t="s">
        <v>15</v>
      </c>
      <c r="K145" t="s">
        <v>31</v>
      </c>
      <c r="L145">
        <v>0</v>
      </c>
      <c r="R145">
        <f t="shared" si="16"/>
        <v>19</v>
      </c>
      <c r="S145" t="str">
        <f t="shared" si="17"/>
        <v>Q</v>
      </c>
      <c r="U145">
        <f t="shared" si="18"/>
        <v>0</v>
      </c>
      <c r="V145">
        <f t="shared" si="20"/>
        <v>0</v>
      </c>
      <c r="W145">
        <f t="shared" si="20"/>
        <v>0</v>
      </c>
      <c r="X145">
        <f t="shared" si="20"/>
        <v>1</v>
      </c>
      <c r="Y145">
        <f t="shared" si="19"/>
        <v>0</v>
      </c>
      <c r="Z145">
        <f t="shared" si="19"/>
        <v>1</v>
      </c>
      <c r="AA145">
        <f t="shared" si="19"/>
        <v>0</v>
      </c>
    </row>
    <row r="146" spans="1:27" x14ac:dyDescent="0.4">
      <c r="A146">
        <v>145</v>
      </c>
      <c r="B146">
        <v>2</v>
      </c>
      <c r="C146" t="s">
        <v>322</v>
      </c>
      <c r="D146" t="s">
        <v>13</v>
      </c>
      <c r="E146">
        <v>18</v>
      </c>
      <c r="F146">
        <v>0</v>
      </c>
      <c r="G146">
        <v>0</v>
      </c>
      <c r="H146" t="s">
        <v>323</v>
      </c>
      <c r="I146">
        <v>11.5</v>
      </c>
      <c r="J146" t="s">
        <v>15</v>
      </c>
      <c r="K146" t="s">
        <v>16</v>
      </c>
      <c r="L146">
        <v>0</v>
      </c>
      <c r="R146">
        <f t="shared" si="16"/>
        <v>18</v>
      </c>
      <c r="S146" t="str">
        <f t="shared" si="17"/>
        <v>S</v>
      </c>
      <c r="U146">
        <f t="shared" si="18"/>
        <v>0</v>
      </c>
      <c r="V146">
        <f t="shared" si="20"/>
        <v>0</v>
      </c>
      <c r="W146">
        <f t="shared" si="20"/>
        <v>1</v>
      </c>
      <c r="X146">
        <f t="shared" si="20"/>
        <v>0</v>
      </c>
      <c r="Y146">
        <f t="shared" si="19"/>
        <v>1</v>
      </c>
      <c r="Z146">
        <f t="shared" si="19"/>
        <v>0</v>
      </c>
      <c r="AA146">
        <f t="shared" si="19"/>
        <v>0</v>
      </c>
    </row>
    <row r="147" spans="1:27" x14ac:dyDescent="0.4">
      <c r="A147">
        <v>146</v>
      </c>
      <c r="B147">
        <v>2</v>
      </c>
      <c r="C147" t="s">
        <v>324</v>
      </c>
      <c r="D147" t="s">
        <v>13</v>
      </c>
      <c r="E147">
        <v>19</v>
      </c>
      <c r="F147">
        <v>1</v>
      </c>
      <c r="G147">
        <v>1</v>
      </c>
      <c r="H147" t="s">
        <v>325</v>
      </c>
      <c r="I147">
        <v>36.75</v>
      </c>
      <c r="J147" t="s">
        <v>15</v>
      </c>
      <c r="K147" t="s">
        <v>16</v>
      </c>
      <c r="L147">
        <v>0</v>
      </c>
      <c r="R147">
        <f t="shared" si="16"/>
        <v>19</v>
      </c>
      <c r="S147" t="str">
        <f t="shared" si="17"/>
        <v>S</v>
      </c>
      <c r="U147">
        <f t="shared" si="18"/>
        <v>0</v>
      </c>
      <c r="V147">
        <f t="shared" si="20"/>
        <v>0</v>
      </c>
      <c r="W147">
        <f t="shared" si="20"/>
        <v>1</v>
      </c>
      <c r="X147">
        <f t="shared" si="20"/>
        <v>0</v>
      </c>
      <c r="Y147">
        <f t="shared" si="19"/>
        <v>1</v>
      </c>
      <c r="Z147">
        <f t="shared" si="19"/>
        <v>0</v>
      </c>
      <c r="AA147">
        <f t="shared" si="19"/>
        <v>0</v>
      </c>
    </row>
    <row r="148" spans="1:27" x14ac:dyDescent="0.4">
      <c r="A148">
        <v>147</v>
      </c>
      <c r="B148">
        <v>3</v>
      </c>
      <c r="C148" t="s">
        <v>326</v>
      </c>
      <c r="D148" t="s">
        <v>13</v>
      </c>
      <c r="E148">
        <v>27</v>
      </c>
      <c r="F148">
        <v>0</v>
      </c>
      <c r="G148">
        <v>0</v>
      </c>
      <c r="H148" t="s">
        <v>327</v>
      </c>
      <c r="I148">
        <v>7.7957999999999998</v>
      </c>
      <c r="J148" t="s">
        <v>15</v>
      </c>
      <c r="K148" t="s">
        <v>16</v>
      </c>
      <c r="L148">
        <v>1</v>
      </c>
      <c r="R148">
        <f t="shared" si="16"/>
        <v>27</v>
      </c>
      <c r="S148" t="str">
        <f t="shared" si="17"/>
        <v>S</v>
      </c>
      <c r="U148">
        <f t="shared" si="18"/>
        <v>0</v>
      </c>
      <c r="V148">
        <f t="shared" si="20"/>
        <v>0</v>
      </c>
      <c r="W148">
        <f t="shared" si="20"/>
        <v>0</v>
      </c>
      <c r="X148">
        <f t="shared" si="20"/>
        <v>1</v>
      </c>
      <c r="Y148">
        <f t="shared" si="19"/>
        <v>1</v>
      </c>
      <c r="Z148">
        <f t="shared" si="19"/>
        <v>0</v>
      </c>
      <c r="AA148">
        <f t="shared" si="19"/>
        <v>0</v>
      </c>
    </row>
    <row r="149" spans="1:27" x14ac:dyDescent="0.4">
      <c r="A149">
        <v>148</v>
      </c>
      <c r="B149">
        <v>3</v>
      </c>
      <c r="C149" t="s">
        <v>328</v>
      </c>
      <c r="D149" t="s">
        <v>18</v>
      </c>
      <c r="E149">
        <v>9</v>
      </c>
      <c r="F149">
        <v>2</v>
      </c>
      <c r="G149">
        <v>2</v>
      </c>
      <c r="H149" t="s">
        <v>205</v>
      </c>
      <c r="I149">
        <v>34.375</v>
      </c>
      <c r="J149" t="s">
        <v>15</v>
      </c>
      <c r="K149" t="s">
        <v>16</v>
      </c>
      <c r="L149">
        <v>0</v>
      </c>
      <c r="R149">
        <f t="shared" si="16"/>
        <v>9</v>
      </c>
      <c r="S149" t="str">
        <f t="shared" si="17"/>
        <v>S</v>
      </c>
      <c r="U149">
        <f t="shared" si="18"/>
        <v>1</v>
      </c>
      <c r="V149">
        <f t="shared" si="20"/>
        <v>0</v>
      </c>
      <c r="W149">
        <f t="shared" si="20"/>
        <v>0</v>
      </c>
      <c r="X149">
        <f t="shared" si="20"/>
        <v>1</v>
      </c>
      <c r="Y149">
        <f t="shared" si="19"/>
        <v>1</v>
      </c>
      <c r="Z149">
        <f t="shared" si="19"/>
        <v>0</v>
      </c>
      <c r="AA149">
        <f t="shared" si="19"/>
        <v>0</v>
      </c>
    </row>
    <row r="150" spans="1:27" x14ac:dyDescent="0.4">
      <c r="A150">
        <v>149</v>
      </c>
      <c r="B150">
        <v>2</v>
      </c>
      <c r="C150" t="s">
        <v>329</v>
      </c>
      <c r="D150" t="s">
        <v>13</v>
      </c>
      <c r="E150">
        <v>36.5</v>
      </c>
      <c r="F150">
        <v>0</v>
      </c>
      <c r="G150">
        <v>2</v>
      </c>
      <c r="H150" t="s">
        <v>330</v>
      </c>
      <c r="I150">
        <v>26</v>
      </c>
      <c r="J150" t="s">
        <v>331</v>
      </c>
      <c r="K150" t="s">
        <v>16</v>
      </c>
      <c r="L150">
        <v>0</v>
      </c>
      <c r="R150">
        <f t="shared" si="16"/>
        <v>36.5</v>
      </c>
      <c r="S150" t="str">
        <f t="shared" si="17"/>
        <v>S</v>
      </c>
      <c r="U150">
        <f t="shared" si="18"/>
        <v>0</v>
      </c>
      <c r="V150">
        <f t="shared" si="20"/>
        <v>0</v>
      </c>
      <c r="W150">
        <f t="shared" si="20"/>
        <v>1</v>
      </c>
      <c r="X150">
        <f t="shared" si="20"/>
        <v>0</v>
      </c>
      <c r="Y150">
        <f t="shared" si="19"/>
        <v>1</v>
      </c>
      <c r="Z150">
        <f t="shared" si="19"/>
        <v>0</v>
      </c>
      <c r="AA150">
        <f t="shared" si="19"/>
        <v>0</v>
      </c>
    </row>
    <row r="151" spans="1:27" x14ac:dyDescent="0.4">
      <c r="A151">
        <v>150</v>
      </c>
      <c r="B151">
        <v>2</v>
      </c>
      <c r="C151" t="s">
        <v>332</v>
      </c>
      <c r="D151" t="s">
        <v>13</v>
      </c>
      <c r="E151">
        <v>42</v>
      </c>
      <c r="F151">
        <v>0</v>
      </c>
      <c r="G151">
        <v>0</v>
      </c>
      <c r="H151" t="s">
        <v>333</v>
      </c>
      <c r="I151">
        <v>13</v>
      </c>
      <c r="J151" t="s">
        <v>15</v>
      </c>
      <c r="K151" t="s">
        <v>16</v>
      </c>
      <c r="L151">
        <v>0</v>
      </c>
      <c r="R151">
        <f t="shared" si="16"/>
        <v>42</v>
      </c>
      <c r="S151" t="str">
        <f t="shared" si="17"/>
        <v>S</v>
      </c>
      <c r="U151">
        <f t="shared" si="18"/>
        <v>0</v>
      </c>
      <c r="V151">
        <f t="shared" si="20"/>
        <v>0</v>
      </c>
      <c r="W151">
        <f t="shared" si="20"/>
        <v>1</v>
      </c>
      <c r="X151">
        <f t="shared" si="20"/>
        <v>0</v>
      </c>
      <c r="Y151">
        <f t="shared" si="19"/>
        <v>1</v>
      </c>
      <c r="Z151">
        <f t="shared" si="19"/>
        <v>0</v>
      </c>
      <c r="AA151">
        <f t="shared" si="19"/>
        <v>0</v>
      </c>
    </row>
    <row r="152" spans="1:27" x14ac:dyDescent="0.4">
      <c r="A152">
        <v>151</v>
      </c>
      <c r="B152">
        <v>2</v>
      </c>
      <c r="C152" t="s">
        <v>334</v>
      </c>
      <c r="D152" t="s">
        <v>13</v>
      </c>
      <c r="E152">
        <v>51</v>
      </c>
      <c r="F152">
        <v>0</v>
      </c>
      <c r="G152">
        <v>0</v>
      </c>
      <c r="H152" t="s">
        <v>335</v>
      </c>
      <c r="I152">
        <v>12.525</v>
      </c>
      <c r="J152" t="s">
        <v>15</v>
      </c>
      <c r="K152" t="s">
        <v>16</v>
      </c>
      <c r="L152">
        <v>0</v>
      </c>
      <c r="R152">
        <f t="shared" si="16"/>
        <v>51</v>
      </c>
      <c r="S152" t="str">
        <f t="shared" si="17"/>
        <v>S</v>
      </c>
      <c r="U152">
        <f t="shared" si="18"/>
        <v>0</v>
      </c>
      <c r="V152">
        <f t="shared" si="20"/>
        <v>0</v>
      </c>
      <c r="W152">
        <f t="shared" si="20"/>
        <v>1</v>
      </c>
      <c r="X152">
        <f t="shared" si="20"/>
        <v>0</v>
      </c>
      <c r="Y152">
        <f t="shared" si="19"/>
        <v>1</v>
      </c>
      <c r="Z152">
        <f t="shared" si="19"/>
        <v>0</v>
      </c>
      <c r="AA152">
        <f t="shared" si="19"/>
        <v>0</v>
      </c>
    </row>
    <row r="153" spans="1:27" x14ac:dyDescent="0.4">
      <c r="A153">
        <v>152</v>
      </c>
      <c r="B153">
        <v>1</v>
      </c>
      <c r="C153" t="s">
        <v>336</v>
      </c>
      <c r="D153" t="s">
        <v>18</v>
      </c>
      <c r="E153">
        <v>22</v>
      </c>
      <c r="F153">
        <v>1</v>
      </c>
      <c r="G153">
        <v>0</v>
      </c>
      <c r="H153" t="s">
        <v>337</v>
      </c>
      <c r="I153">
        <v>66.599999999999994</v>
      </c>
      <c r="J153" t="s">
        <v>338</v>
      </c>
      <c r="K153" t="s">
        <v>16</v>
      </c>
      <c r="L153">
        <v>1</v>
      </c>
      <c r="R153">
        <f t="shared" si="16"/>
        <v>22</v>
      </c>
      <c r="S153" t="str">
        <f t="shared" si="17"/>
        <v>S</v>
      </c>
      <c r="U153">
        <f t="shared" si="18"/>
        <v>1</v>
      </c>
      <c r="V153">
        <f t="shared" si="20"/>
        <v>1</v>
      </c>
      <c r="W153">
        <f t="shared" si="20"/>
        <v>0</v>
      </c>
      <c r="X153">
        <f t="shared" si="20"/>
        <v>0</v>
      </c>
      <c r="Y153">
        <f t="shared" si="19"/>
        <v>1</v>
      </c>
      <c r="Z153">
        <f t="shared" si="19"/>
        <v>0</v>
      </c>
      <c r="AA153">
        <f t="shared" si="19"/>
        <v>0</v>
      </c>
    </row>
    <row r="154" spans="1:27" x14ac:dyDescent="0.4">
      <c r="A154">
        <v>153</v>
      </c>
      <c r="B154">
        <v>3</v>
      </c>
      <c r="C154" t="s">
        <v>339</v>
      </c>
      <c r="D154" t="s">
        <v>13</v>
      </c>
      <c r="E154">
        <v>55.5</v>
      </c>
      <c r="F154">
        <v>0</v>
      </c>
      <c r="G154">
        <v>0</v>
      </c>
      <c r="H154" t="s">
        <v>340</v>
      </c>
      <c r="I154">
        <v>8.0500000000000007</v>
      </c>
      <c r="J154" t="s">
        <v>15</v>
      </c>
      <c r="K154" t="s">
        <v>16</v>
      </c>
      <c r="L154">
        <v>0</v>
      </c>
      <c r="R154">
        <f t="shared" si="16"/>
        <v>55.5</v>
      </c>
      <c r="S154" t="str">
        <f t="shared" si="17"/>
        <v>S</v>
      </c>
      <c r="U154">
        <f t="shared" si="18"/>
        <v>0</v>
      </c>
      <c r="V154">
        <f t="shared" si="20"/>
        <v>0</v>
      </c>
      <c r="W154">
        <f t="shared" si="20"/>
        <v>0</v>
      </c>
      <c r="X154">
        <f t="shared" si="20"/>
        <v>1</v>
      </c>
      <c r="Y154">
        <f t="shared" si="19"/>
        <v>1</v>
      </c>
      <c r="Z154">
        <f t="shared" si="19"/>
        <v>0</v>
      </c>
      <c r="AA154">
        <f t="shared" si="19"/>
        <v>0</v>
      </c>
    </row>
    <row r="155" spans="1:27" x14ac:dyDescent="0.4">
      <c r="A155">
        <v>154</v>
      </c>
      <c r="B155">
        <v>3</v>
      </c>
      <c r="C155" t="s">
        <v>341</v>
      </c>
      <c r="D155" t="s">
        <v>13</v>
      </c>
      <c r="E155">
        <v>40.5</v>
      </c>
      <c r="F155">
        <v>0</v>
      </c>
      <c r="G155">
        <v>2</v>
      </c>
      <c r="H155" t="s">
        <v>342</v>
      </c>
      <c r="I155">
        <v>14.5</v>
      </c>
      <c r="J155" t="s">
        <v>15</v>
      </c>
      <c r="K155" t="s">
        <v>16</v>
      </c>
      <c r="L155">
        <v>0</v>
      </c>
      <c r="R155">
        <f t="shared" si="16"/>
        <v>40.5</v>
      </c>
      <c r="S155" t="str">
        <f t="shared" si="17"/>
        <v>S</v>
      </c>
      <c r="U155">
        <f t="shared" si="18"/>
        <v>0</v>
      </c>
      <c r="V155">
        <f t="shared" si="20"/>
        <v>0</v>
      </c>
      <c r="W155">
        <f t="shared" si="20"/>
        <v>0</v>
      </c>
      <c r="X155">
        <f t="shared" si="20"/>
        <v>1</v>
      </c>
      <c r="Y155">
        <f t="shared" si="19"/>
        <v>1</v>
      </c>
      <c r="Z155">
        <f t="shared" si="19"/>
        <v>0</v>
      </c>
      <c r="AA155">
        <f t="shared" si="19"/>
        <v>0</v>
      </c>
    </row>
    <row r="156" spans="1:27" x14ac:dyDescent="0.4">
      <c r="A156">
        <v>155</v>
      </c>
      <c r="B156">
        <v>3</v>
      </c>
      <c r="C156" t="s">
        <v>343</v>
      </c>
      <c r="D156" t="s">
        <v>13</v>
      </c>
      <c r="F156">
        <v>0</v>
      </c>
      <c r="G156">
        <v>0</v>
      </c>
      <c r="H156" t="s">
        <v>344</v>
      </c>
      <c r="I156">
        <v>7.3125</v>
      </c>
      <c r="J156" t="s">
        <v>15</v>
      </c>
      <c r="K156" t="s">
        <v>16</v>
      </c>
      <c r="L156">
        <v>0</v>
      </c>
      <c r="R156">
        <f t="shared" si="16"/>
        <v>28</v>
      </c>
      <c r="S156" t="str">
        <f t="shared" si="17"/>
        <v>S</v>
      </c>
      <c r="U156">
        <f t="shared" si="18"/>
        <v>0</v>
      </c>
      <c r="V156">
        <f t="shared" si="20"/>
        <v>0</v>
      </c>
      <c r="W156">
        <f t="shared" si="20"/>
        <v>0</v>
      </c>
      <c r="X156">
        <f t="shared" si="20"/>
        <v>1</v>
      </c>
      <c r="Y156">
        <f t="shared" si="19"/>
        <v>1</v>
      </c>
      <c r="Z156">
        <f t="shared" si="19"/>
        <v>0</v>
      </c>
      <c r="AA156">
        <f t="shared" si="19"/>
        <v>0</v>
      </c>
    </row>
    <row r="157" spans="1:27" x14ac:dyDescent="0.4">
      <c r="A157">
        <v>156</v>
      </c>
      <c r="B157">
        <v>1</v>
      </c>
      <c r="C157" t="s">
        <v>345</v>
      </c>
      <c r="D157" t="s">
        <v>13</v>
      </c>
      <c r="E157">
        <v>51</v>
      </c>
      <c r="F157">
        <v>0</v>
      </c>
      <c r="G157">
        <v>1</v>
      </c>
      <c r="H157" t="s">
        <v>346</v>
      </c>
      <c r="I157">
        <v>61.379199999999997</v>
      </c>
      <c r="J157" t="s">
        <v>15</v>
      </c>
      <c r="K157" t="s">
        <v>21</v>
      </c>
      <c r="L157">
        <v>0</v>
      </c>
      <c r="R157">
        <f t="shared" si="16"/>
        <v>51</v>
      </c>
      <c r="S157" t="str">
        <f t="shared" si="17"/>
        <v>C</v>
      </c>
      <c r="U157">
        <f t="shared" si="18"/>
        <v>0</v>
      </c>
      <c r="V157">
        <f t="shared" si="20"/>
        <v>1</v>
      </c>
      <c r="W157">
        <f t="shared" si="20"/>
        <v>0</v>
      </c>
      <c r="X157">
        <f t="shared" si="20"/>
        <v>0</v>
      </c>
      <c r="Y157">
        <f t="shared" si="19"/>
        <v>0</v>
      </c>
      <c r="Z157">
        <f t="shared" si="19"/>
        <v>0</v>
      </c>
      <c r="AA157">
        <f t="shared" si="19"/>
        <v>1</v>
      </c>
    </row>
    <row r="158" spans="1:27" x14ac:dyDescent="0.4">
      <c r="A158">
        <v>157</v>
      </c>
      <c r="B158">
        <v>3</v>
      </c>
      <c r="C158" t="s">
        <v>347</v>
      </c>
      <c r="D158" t="s">
        <v>18</v>
      </c>
      <c r="E158">
        <v>16</v>
      </c>
      <c r="F158">
        <v>0</v>
      </c>
      <c r="G158">
        <v>0</v>
      </c>
      <c r="H158" t="s">
        <v>348</v>
      </c>
      <c r="I158">
        <v>7.7332999999999998</v>
      </c>
      <c r="J158" t="s">
        <v>15</v>
      </c>
      <c r="K158" t="s">
        <v>31</v>
      </c>
      <c r="L158">
        <v>1</v>
      </c>
      <c r="R158">
        <f t="shared" si="16"/>
        <v>16</v>
      </c>
      <c r="S158" t="str">
        <f t="shared" si="17"/>
        <v>Q</v>
      </c>
      <c r="U158">
        <f t="shared" si="18"/>
        <v>1</v>
      </c>
      <c r="V158">
        <f t="shared" si="20"/>
        <v>0</v>
      </c>
      <c r="W158">
        <f t="shared" si="20"/>
        <v>0</v>
      </c>
      <c r="X158">
        <f t="shared" si="20"/>
        <v>1</v>
      </c>
      <c r="Y158">
        <f t="shared" si="19"/>
        <v>0</v>
      </c>
      <c r="Z158">
        <f t="shared" si="19"/>
        <v>1</v>
      </c>
      <c r="AA158">
        <f t="shared" si="19"/>
        <v>0</v>
      </c>
    </row>
    <row r="159" spans="1:27" x14ac:dyDescent="0.4">
      <c r="A159">
        <v>158</v>
      </c>
      <c r="B159">
        <v>3</v>
      </c>
      <c r="C159" t="s">
        <v>349</v>
      </c>
      <c r="D159" t="s">
        <v>13</v>
      </c>
      <c r="E159">
        <v>30</v>
      </c>
      <c r="F159">
        <v>0</v>
      </c>
      <c r="G159">
        <v>0</v>
      </c>
      <c r="H159" t="s">
        <v>350</v>
      </c>
      <c r="I159">
        <v>8.0500000000000007</v>
      </c>
      <c r="J159" t="s">
        <v>15</v>
      </c>
      <c r="K159" t="s">
        <v>16</v>
      </c>
      <c r="L159">
        <v>0</v>
      </c>
      <c r="R159">
        <f t="shared" si="16"/>
        <v>30</v>
      </c>
      <c r="S159" t="str">
        <f t="shared" si="17"/>
        <v>S</v>
      </c>
      <c r="U159">
        <f t="shared" si="18"/>
        <v>0</v>
      </c>
      <c r="V159">
        <f t="shared" si="20"/>
        <v>0</v>
      </c>
      <c r="W159">
        <f t="shared" si="20"/>
        <v>0</v>
      </c>
      <c r="X159">
        <f t="shared" si="20"/>
        <v>1</v>
      </c>
      <c r="Y159">
        <f t="shared" si="19"/>
        <v>1</v>
      </c>
      <c r="Z159">
        <f t="shared" si="19"/>
        <v>0</v>
      </c>
      <c r="AA159">
        <f t="shared" si="19"/>
        <v>0</v>
      </c>
    </row>
    <row r="160" spans="1:27" x14ac:dyDescent="0.4">
      <c r="A160">
        <v>159</v>
      </c>
      <c r="B160">
        <v>3</v>
      </c>
      <c r="C160" t="s">
        <v>351</v>
      </c>
      <c r="D160" t="s">
        <v>13</v>
      </c>
      <c r="F160">
        <v>0</v>
      </c>
      <c r="G160">
        <v>0</v>
      </c>
      <c r="H160" t="s">
        <v>352</v>
      </c>
      <c r="I160">
        <v>8.6624999999999996</v>
      </c>
      <c r="J160" t="s">
        <v>15</v>
      </c>
      <c r="K160" t="s">
        <v>16</v>
      </c>
      <c r="L160">
        <v>0</v>
      </c>
      <c r="R160">
        <f t="shared" si="16"/>
        <v>28</v>
      </c>
      <c r="S160" t="str">
        <f t="shared" si="17"/>
        <v>S</v>
      </c>
      <c r="U160">
        <f t="shared" si="18"/>
        <v>0</v>
      </c>
      <c r="V160">
        <f t="shared" si="20"/>
        <v>0</v>
      </c>
      <c r="W160">
        <f t="shared" si="20"/>
        <v>0</v>
      </c>
      <c r="X160">
        <f t="shared" si="20"/>
        <v>1</v>
      </c>
      <c r="Y160">
        <f t="shared" si="19"/>
        <v>1</v>
      </c>
      <c r="Z160">
        <f t="shared" si="19"/>
        <v>0</v>
      </c>
      <c r="AA160">
        <f t="shared" si="19"/>
        <v>0</v>
      </c>
    </row>
    <row r="161" spans="1:27" x14ac:dyDescent="0.4">
      <c r="A161">
        <v>160</v>
      </c>
      <c r="B161">
        <v>3</v>
      </c>
      <c r="C161" t="s">
        <v>353</v>
      </c>
      <c r="D161" t="s">
        <v>13</v>
      </c>
      <c r="F161">
        <v>8</v>
      </c>
      <c r="G161">
        <v>2</v>
      </c>
      <c r="H161" t="s">
        <v>354</v>
      </c>
      <c r="I161">
        <v>69.55</v>
      </c>
      <c r="J161" t="s">
        <v>15</v>
      </c>
      <c r="K161" t="s">
        <v>16</v>
      </c>
      <c r="L161">
        <v>0</v>
      </c>
      <c r="R161">
        <f t="shared" si="16"/>
        <v>28</v>
      </c>
      <c r="S161" t="str">
        <f t="shared" si="17"/>
        <v>S</v>
      </c>
      <c r="U161">
        <f t="shared" si="18"/>
        <v>0</v>
      </c>
      <c r="V161">
        <f t="shared" si="20"/>
        <v>0</v>
      </c>
      <c r="W161">
        <f t="shared" si="20"/>
        <v>0</v>
      </c>
      <c r="X161">
        <f t="shared" si="20"/>
        <v>1</v>
      </c>
      <c r="Y161">
        <f t="shared" si="19"/>
        <v>1</v>
      </c>
      <c r="Z161">
        <f t="shared" si="19"/>
        <v>0</v>
      </c>
      <c r="AA161">
        <f t="shared" si="19"/>
        <v>0</v>
      </c>
    </row>
    <row r="162" spans="1:27" x14ac:dyDescent="0.4">
      <c r="A162">
        <v>161</v>
      </c>
      <c r="B162">
        <v>3</v>
      </c>
      <c r="C162" t="s">
        <v>355</v>
      </c>
      <c r="D162" t="s">
        <v>13</v>
      </c>
      <c r="E162">
        <v>44</v>
      </c>
      <c r="F162">
        <v>0</v>
      </c>
      <c r="G162">
        <v>1</v>
      </c>
      <c r="H162" t="s">
        <v>356</v>
      </c>
      <c r="I162">
        <v>16.100000000000001</v>
      </c>
      <c r="J162" t="s">
        <v>15</v>
      </c>
      <c r="K162" t="s">
        <v>16</v>
      </c>
      <c r="L162">
        <v>0</v>
      </c>
      <c r="R162">
        <f t="shared" si="16"/>
        <v>44</v>
      </c>
      <c r="S162" t="str">
        <f t="shared" si="17"/>
        <v>S</v>
      </c>
      <c r="U162">
        <f t="shared" si="18"/>
        <v>0</v>
      </c>
      <c r="V162">
        <f t="shared" ref="V162:X181" si="21">IF("Pclass_"&amp;$B162=V$1,1,0)</f>
        <v>0</v>
      </c>
      <c r="W162">
        <f t="shared" si="21"/>
        <v>0</v>
      </c>
      <c r="X162">
        <f t="shared" si="21"/>
        <v>1</v>
      </c>
      <c r="Y162">
        <f t="shared" si="19"/>
        <v>1</v>
      </c>
      <c r="Z162">
        <f t="shared" si="19"/>
        <v>0</v>
      </c>
      <c r="AA162">
        <f t="shared" si="19"/>
        <v>0</v>
      </c>
    </row>
    <row r="163" spans="1:27" x14ac:dyDescent="0.4">
      <c r="A163">
        <v>162</v>
      </c>
      <c r="B163">
        <v>2</v>
      </c>
      <c r="C163" t="s">
        <v>357</v>
      </c>
      <c r="D163" t="s">
        <v>18</v>
      </c>
      <c r="E163">
        <v>40</v>
      </c>
      <c r="F163">
        <v>0</v>
      </c>
      <c r="G163">
        <v>0</v>
      </c>
      <c r="H163" t="s">
        <v>358</v>
      </c>
      <c r="I163">
        <v>15.75</v>
      </c>
      <c r="J163" t="s">
        <v>15</v>
      </c>
      <c r="K163" t="s">
        <v>16</v>
      </c>
      <c r="L163">
        <v>1</v>
      </c>
      <c r="R163">
        <f t="shared" si="16"/>
        <v>40</v>
      </c>
      <c r="S163" t="str">
        <f t="shared" si="17"/>
        <v>S</v>
      </c>
      <c r="U163">
        <f t="shared" si="18"/>
        <v>1</v>
      </c>
      <c r="V163">
        <f t="shared" si="21"/>
        <v>0</v>
      </c>
      <c r="W163">
        <f t="shared" si="21"/>
        <v>1</v>
      </c>
      <c r="X163">
        <f t="shared" si="21"/>
        <v>0</v>
      </c>
      <c r="Y163">
        <f t="shared" si="19"/>
        <v>1</v>
      </c>
      <c r="Z163">
        <f t="shared" si="19"/>
        <v>0</v>
      </c>
      <c r="AA163">
        <f t="shared" si="19"/>
        <v>0</v>
      </c>
    </row>
    <row r="164" spans="1:27" x14ac:dyDescent="0.4">
      <c r="A164">
        <v>163</v>
      </c>
      <c r="B164">
        <v>3</v>
      </c>
      <c r="C164" t="s">
        <v>359</v>
      </c>
      <c r="D164" t="s">
        <v>13</v>
      </c>
      <c r="E164">
        <v>26</v>
      </c>
      <c r="F164">
        <v>0</v>
      </c>
      <c r="G164">
        <v>0</v>
      </c>
      <c r="H164" t="s">
        <v>360</v>
      </c>
      <c r="I164">
        <v>7.7750000000000004</v>
      </c>
      <c r="J164" t="s">
        <v>15</v>
      </c>
      <c r="K164" t="s">
        <v>16</v>
      </c>
      <c r="L164">
        <v>0</v>
      </c>
      <c r="R164">
        <f t="shared" si="16"/>
        <v>26</v>
      </c>
      <c r="S164" t="str">
        <f t="shared" si="17"/>
        <v>S</v>
      </c>
      <c r="U164">
        <f t="shared" si="18"/>
        <v>0</v>
      </c>
      <c r="V164">
        <f t="shared" si="21"/>
        <v>0</v>
      </c>
      <c r="W164">
        <f t="shared" si="21"/>
        <v>0</v>
      </c>
      <c r="X164">
        <f t="shared" si="21"/>
        <v>1</v>
      </c>
      <c r="Y164">
        <f t="shared" si="19"/>
        <v>1</v>
      </c>
      <c r="Z164">
        <f t="shared" si="19"/>
        <v>0</v>
      </c>
      <c r="AA164">
        <f t="shared" si="19"/>
        <v>0</v>
      </c>
    </row>
    <row r="165" spans="1:27" x14ac:dyDescent="0.4">
      <c r="A165">
        <v>164</v>
      </c>
      <c r="B165">
        <v>3</v>
      </c>
      <c r="C165" t="s">
        <v>361</v>
      </c>
      <c r="D165" t="s">
        <v>13</v>
      </c>
      <c r="E165">
        <v>17</v>
      </c>
      <c r="F165">
        <v>0</v>
      </c>
      <c r="G165">
        <v>0</v>
      </c>
      <c r="H165" t="s">
        <v>362</v>
      </c>
      <c r="I165">
        <v>8.6624999999999996</v>
      </c>
      <c r="J165" t="s">
        <v>15</v>
      </c>
      <c r="K165" t="s">
        <v>16</v>
      </c>
      <c r="L165">
        <v>0</v>
      </c>
      <c r="R165">
        <f t="shared" si="16"/>
        <v>17</v>
      </c>
      <c r="S165" t="str">
        <f t="shared" si="17"/>
        <v>S</v>
      </c>
      <c r="U165">
        <f t="shared" si="18"/>
        <v>0</v>
      </c>
      <c r="V165">
        <f t="shared" si="21"/>
        <v>0</v>
      </c>
      <c r="W165">
        <f t="shared" si="21"/>
        <v>0</v>
      </c>
      <c r="X165">
        <f t="shared" si="21"/>
        <v>1</v>
      </c>
      <c r="Y165">
        <f t="shared" si="19"/>
        <v>1</v>
      </c>
      <c r="Z165">
        <f t="shared" si="19"/>
        <v>0</v>
      </c>
      <c r="AA165">
        <f t="shared" si="19"/>
        <v>0</v>
      </c>
    </row>
    <row r="166" spans="1:27" x14ac:dyDescent="0.4">
      <c r="A166">
        <v>165</v>
      </c>
      <c r="B166">
        <v>3</v>
      </c>
      <c r="C166" t="s">
        <v>363</v>
      </c>
      <c r="D166" t="s">
        <v>13</v>
      </c>
      <c r="E166">
        <v>1</v>
      </c>
      <c r="F166">
        <v>4</v>
      </c>
      <c r="G166">
        <v>1</v>
      </c>
      <c r="H166" t="s">
        <v>127</v>
      </c>
      <c r="I166">
        <v>39.6875</v>
      </c>
      <c r="J166" t="s">
        <v>15</v>
      </c>
      <c r="K166" t="s">
        <v>16</v>
      </c>
      <c r="L166">
        <v>0</v>
      </c>
      <c r="R166">
        <f t="shared" si="16"/>
        <v>1</v>
      </c>
      <c r="S166" t="str">
        <f t="shared" si="17"/>
        <v>S</v>
      </c>
      <c r="U166">
        <f t="shared" si="18"/>
        <v>0</v>
      </c>
      <c r="V166">
        <f t="shared" si="21"/>
        <v>0</v>
      </c>
      <c r="W166">
        <f t="shared" si="21"/>
        <v>0</v>
      </c>
      <c r="X166">
        <f t="shared" si="21"/>
        <v>1</v>
      </c>
      <c r="Y166">
        <f t="shared" si="19"/>
        <v>1</v>
      </c>
      <c r="Z166">
        <f t="shared" si="19"/>
        <v>0</v>
      </c>
      <c r="AA166">
        <f t="shared" si="19"/>
        <v>0</v>
      </c>
    </row>
    <row r="167" spans="1:27" x14ac:dyDescent="0.4">
      <c r="A167">
        <v>166</v>
      </c>
      <c r="B167">
        <v>3</v>
      </c>
      <c r="C167" t="s">
        <v>364</v>
      </c>
      <c r="D167" t="s">
        <v>13</v>
      </c>
      <c r="E167">
        <v>9</v>
      </c>
      <c r="F167">
        <v>0</v>
      </c>
      <c r="G167">
        <v>2</v>
      </c>
      <c r="H167" t="s">
        <v>365</v>
      </c>
      <c r="I167">
        <v>20.524999999999999</v>
      </c>
      <c r="J167" t="s">
        <v>15</v>
      </c>
      <c r="K167" t="s">
        <v>16</v>
      </c>
      <c r="L167">
        <v>1</v>
      </c>
      <c r="R167">
        <f t="shared" si="16"/>
        <v>9</v>
      </c>
      <c r="S167" t="str">
        <f t="shared" si="17"/>
        <v>S</v>
      </c>
      <c r="U167">
        <f t="shared" si="18"/>
        <v>0</v>
      </c>
      <c r="V167">
        <f t="shared" si="21"/>
        <v>0</v>
      </c>
      <c r="W167">
        <f t="shared" si="21"/>
        <v>0</v>
      </c>
      <c r="X167">
        <f t="shared" si="21"/>
        <v>1</v>
      </c>
      <c r="Y167">
        <f t="shared" si="19"/>
        <v>1</v>
      </c>
      <c r="Z167">
        <f t="shared" si="19"/>
        <v>0</v>
      </c>
      <c r="AA167">
        <f t="shared" si="19"/>
        <v>0</v>
      </c>
    </row>
    <row r="168" spans="1:27" x14ac:dyDescent="0.4">
      <c r="A168">
        <v>167</v>
      </c>
      <c r="B168">
        <v>1</v>
      </c>
      <c r="C168" t="s">
        <v>366</v>
      </c>
      <c r="D168" t="s">
        <v>18</v>
      </c>
      <c r="F168">
        <v>0</v>
      </c>
      <c r="G168">
        <v>1</v>
      </c>
      <c r="H168" t="s">
        <v>367</v>
      </c>
      <c r="I168">
        <v>55</v>
      </c>
      <c r="J168" t="s">
        <v>368</v>
      </c>
      <c r="K168" t="s">
        <v>16</v>
      </c>
      <c r="L168">
        <v>1</v>
      </c>
      <c r="R168">
        <f t="shared" si="16"/>
        <v>28</v>
      </c>
      <c r="S168" t="str">
        <f t="shared" si="17"/>
        <v>S</v>
      </c>
      <c r="U168">
        <f t="shared" si="18"/>
        <v>1</v>
      </c>
      <c r="V168">
        <f t="shared" si="21"/>
        <v>1</v>
      </c>
      <c r="W168">
        <f t="shared" si="21"/>
        <v>0</v>
      </c>
      <c r="X168">
        <f t="shared" si="21"/>
        <v>0</v>
      </c>
      <c r="Y168">
        <f t="shared" si="19"/>
        <v>1</v>
      </c>
      <c r="Z168">
        <f t="shared" si="19"/>
        <v>0</v>
      </c>
      <c r="AA168">
        <f t="shared" si="19"/>
        <v>0</v>
      </c>
    </row>
    <row r="169" spans="1:27" x14ac:dyDescent="0.4">
      <c r="A169">
        <v>168</v>
      </c>
      <c r="B169">
        <v>3</v>
      </c>
      <c r="C169" t="s">
        <v>369</v>
      </c>
      <c r="D169" t="s">
        <v>18</v>
      </c>
      <c r="E169">
        <v>45</v>
      </c>
      <c r="F169">
        <v>1</v>
      </c>
      <c r="G169">
        <v>4</v>
      </c>
      <c r="H169" t="s">
        <v>158</v>
      </c>
      <c r="I169">
        <v>27.9</v>
      </c>
      <c r="J169" t="s">
        <v>15</v>
      </c>
      <c r="K169" t="s">
        <v>16</v>
      </c>
      <c r="L169">
        <v>0</v>
      </c>
      <c r="R169">
        <f t="shared" si="16"/>
        <v>45</v>
      </c>
      <c r="S169" t="str">
        <f t="shared" si="17"/>
        <v>S</v>
      </c>
      <c r="U169">
        <f t="shared" si="18"/>
        <v>1</v>
      </c>
      <c r="V169">
        <f t="shared" si="21"/>
        <v>0</v>
      </c>
      <c r="W169">
        <f t="shared" si="21"/>
        <v>0</v>
      </c>
      <c r="X169">
        <f t="shared" si="21"/>
        <v>1</v>
      </c>
      <c r="Y169">
        <f t="shared" si="19"/>
        <v>1</v>
      </c>
      <c r="Z169">
        <f t="shared" si="19"/>
        <v>0</v>
      </c>
      <c r="AA169">
        <f t="shared" si="19"/>
        <v>0</v>
      </c>
    </row>
    <row r="170" spans="1:27" x14ac:dyDescent="0.4">
      <c r="A170">
        <v>169</v>
      </c>
      <c r="B170">
        <v>1</v>
      </c>
      <c r="C170" t="s">
        <v>370</v>
      </c>
      <c r="D170" t="s">
        <v>13</v>
      </c>
      <c r="F170">
        <v>0</v>
      </c>
      <c r="G170">
        <v>0</v>
      </c>
      <c r="H170" t="s">
        <v>371</v>
      </c>
      <c r="I170">
        <v>25.925000000000001</v>
      </c>
      <c r="J170" t="s">
        <v>15</v>
      </c>
      <c r="K170" t="s">
        <v>16</v>
      </c>
      <c r="L170">
        <v>0</v>
      </c>
      <c r="R170">
        <f t="shared" si="16"/>
        <v>28</v>
      </c>
      <c r="S170" t="str">
        <f t="shared" si="17"/>
        <v>S</v>
      </c>
      <c r="U170">
        <f t="shared" si="18"/>
        <v>0</v>
      </c>
      <c r="V170">
        <f t="shared" si="21"/>
        <v>1</v>
      </c>
      <c r="W170">
        <f t="shared" si="21"/>
        <v>0</v>
      </c>
      <c r="X170">
        <f t="shared" si="21"/>
        <v>0</v>
      </c>
      <c r="Y170">
        <f t="shared" si="19"/>
        <v>1</v>
      </c>
      <c r="Z170">
        <f t="shared" si="19"/>
        <v>0</v>
      </c>
      <c r="AA170">
        <f t="shared" si="19"/>
        <v>0</v>
      </c>
    </row>
    <row r="171" spans="1:27" x14ac:dyDescent="0.4">
      <c r="A171">
        <v>170</v>
      </c>
      <c r="B171">
        <v>3</v>
      </c>
      <c r="C171" t="s">
        <v>372</v>
      </c>
      <c r="D171" t="s">
        <v>13</v>
      </c>
      <c r="E171">
        <v>28</v>
      </c>
      <c r="F171">
        <v>0</v>
      </c>
      <c r="G171">
        <v>0</v>
      </c>
      <c r="H171" t="s">
        <v>180</v>
      </c>
      <c r="I171">
        <v>56.495800000000003</v>
      </c>
      <c r="J171" t="s">
        <v>15</v>
      </c>
      <c r="K171" t="s">
        <v>16</v>
      </c>
      <c r="L171">
        <v>0</v>
      </c>
      <c r="R171">
        <f t="shared" si="16"/>
        <v>28</v>
      </c>
      <c r="S171" t="str">
        <f t="shared" si="17"/>
        <v>S</v>
      </c>
      <c r="U171">
        <f t="shared" si="18"/>
        <v>0</v>
      </c>
      <c r="V171">
        <f t="shared" si="21"/>
        <v>0</v>
      </c>
      <c r="W171">
        <f t="shared" si="21"/>
        <v>0</v>
      </c>
      <c r="X171">
        <f t="shared" si="21"/>
        <v>1</v>
      </c>
      <c r="Y171">
        <f t="shared" si="19"/>
        <v>1</v>
      </c>
      <c r="Z171">
        <f t="shared" si="19"/>
        <v>0</v>
      </c>
      <c r="AA171">
        <f t="shared" si="19"/>
        <v>0</v>
      </c>
    </row>
    <row r="172" spans="1:27" x14ac:dyDescent="0.4">
      <c r="A172">
        <v>171</v>
      </c>
      <c r="B172">
        <v>1</v>
      </c>
      <c r="C172" t="s">
        <v>373</v>
      </c>
      <c r="D172" t="s">
        <v>13</v>
      </c>
      <c r="E172">
        <v>61</v>
      </c>
      <c r="F172">
        <v>0</v>
      </c>
      <c r="G172">
        <v>0</v>
      </c>
      <c r="H172" t="s">
        <v>374</v>
      </c>
      <c r="I172">
        <v>33.5</v>
      </c>
      <c r="J172" t="s">
        <v>375</v>
      </c>
      <c r="K172" t="s">
        <v>16</v>
      </c>
      <c r="L172">
        <v>0</v>
      </c>
      <c r="R172">
        <f t="shared" si="16"/>
        <v>61</v>
      </c>
      <c r="S172" t="str">
        <f t="shared" si="17"/>
        <v>S</v>
      </c>
      <c r="U172">
        <f t="shared" si="18"/>
        <v>0</v>
      </c>
      <c r="V172">
        <f t="shared" si="21"/>
        <v>1</v>
      </c>
      <c r="W172">
        <f t="shared" si="21"/>
        <v>0</v>
      </c>
      <c r="X172">
        <f t="shared" si="21"/>
        <v>0</v>
      </c>
      <c r="Y172">
        <f t="shared" si="19"/>
        <v>1</v>
      </c>
      <c r="Z172">
        <f t="shared" si="19"/>
        <v>0</v>
      </c>
      <c r="AA172">
        <f t="shared" si="19"/>
        <v>0</v>
      </c>
    </row>
    <row r="173" spans="1:27" x14ac:dyDescent="0.4">
      <c r="A173">
        <v>172</v>
      </c>
      <c r="B173">
        <v>3</v>
      </c>
      <c r="C173" t="s">
        <v>376</v>
      </c>
      <c r="D173" t="s">
        <v>13</v>
      </c>
      <c r="E173">
        <v>4</v>
      </c>
      <c r="F173">
        <v>4</v>
      </c>
      <c r="G173">
        <v>1</v>
      </c>
      <c r="H173" t="s">
        <v>56</v>
      </c>
      <c r="I173">
        <v>29.125</v>
      </c>
      <c r="J173" t="s">
        <v>15</v>
      </c>
      <c r="K173" t="s">
        <v>31</v>
      </c>
      <c r="L173">
        <v>0</v>
      </c>
      <c r="R173">
        <f t="shared" si="16"/>
        <v>4</v>
      </c>
      <c r="S173" t="str">
        <f t="shared" si="17"/>
        <v>Q</v>
      </c>
      <c r="U173">
        <f t="shared" si="18"/>
        <v>0</v>
      </c>
      <c r="V173">
        <f t="shared" si="21"/>
        <v>0</v>
      </c>
      <c r="W173">
        <f t="shared" si="21"/>
        <v>0</v>
      </c>
      <c r="X173">
        <f t="shared" si="21"/>
        <v>1</v>
      </c>
      <c r="Y173">
        <f t="shared" si="19"/>
        <v>0</v>
      </c>
      <c r="Z173">
        <f t="shared" si="19"/>
        <v>1</v>
      </c>
      <c r="AA173">
        <f t="shared" si="19"/>
        <v>0</v>
      </c>
    </row>
    <row r="174" spans="1:27" x14ac:dyDescent="0.4">
      <c r="A174">
        <v>173</v>
      </c>
      <c r="B174">
        <v>3</v>
      </c>
      <c r="C174" t="s">
        <v>377</v>
      </c>
      <c r="D174" t="s">
        <v>18</v>
      </c>
      <c r="E174">
        <v>1</v>
      </c>
      <c r="F174">
        <v>1</v>
      </c>
      <c r="G174">
        <v>1</v>
      </c>
      <c r="H174" t="s">
        <v>38</v>
      </c>
      <c r="I174">
        <v>11.1333</v>
      </c>
      <c r="J174" t="s">
        <v>15</v>
      </c>
      <c r="K174" t="s">
        <v>16</v>
      </c>
      <c r="L174">
        <v>1</v>
      </c>
      <c r="R174">
        <f t="shared" si="16"/>
        <v>1</v>
      </c>
      <c r="S174" t="str">
        <f t="shared" si="17"/>
        <v>S</v>
      </c>
      <c r="U174">
        <f t="shared" si="18"/>
        <v>1</v>
      </c>
      <c r="V174">
        <f t="shared" si="21"/>
        <v>0</v>
      </c>
      <c r="W174">
        <f t="shared" si="21"/>
        <v>0</v>
      </c>
      <c r="X174">
        <f t="shared" si="21"/>
        <v>1</v>
      </c>
      <c r="Y174">
        <f t="shared" si="19"/>
        <v>1</v>
      </c>
      <c r="Z174">
        <f t="shared" si="19"/>
        <v>0</v>
      </c>
      <c r="AA174">
        <f t="shared" si="19"/>
        <v>0</v>
      </c>
    </row>
    <row r="175" spans="1:27" x14ac:dyDescent="0.4">
      <c r="A175">
        <v>174</v>
      </c>
      <c r="B175">
        <v>3</v>
      </c>
      <c r="C175" t="s">
        <v>378</v>
      </c>
      <c r="D175" t="s">
        <v>13</v>
      </c>
      <c r="E175">
        <v>21</v>
      </c>
      <c r="F175">
        <v>0</v>
      </c>
      <c r="G175">
        <v>0</v>
      </c>
      <c r="H175" t="s">
        <v>379</v>
      </c>
      <c r="I175">
        <v>7.9249999999999998</v>
      </c>
      <c r="J175" t="s">
        <v>15</v>
      </c>
      <c r="K175" t="s">
        <v>16</v>
      </c>
      <c r="L175">
        <v>0</v>
      </c>
      <c r="R175">
        <f t="shared" si="16"/>
        <v>21</v>
      </c>
      <c r="S175" t="str">
        <f t="shared" si="17"/>
        <v>S</v>
      </c>
      <c r="U175">
        <f t="shared" si="18"/>
        <v>0</v>
      </c>
      <c r="V175">
        <f t="shared" si="21"/>
        <v>0</v>
      </c>
      <c r="W175">
        <f t="shared" si="21"/>
        <v>0</v>
      </c>
      <c r="X175">
        <f t="shared" si="21"/>
        <v>1</v>
      </c>
      <c r="Y175">
        <f t="shared" si="19"/>
        <v>1</v>
      </c>
      <c r="Z175">
        <f t="shared" si="19"/>
        <v>0</v>
      </c>
      <c r="AA175">
        <f t="shared" si="19"/>
        <v>0</v>
      </c>
    </row>
    <row r="176" spans="1:27" x14ac:dyDescent="0.4">
      <c r="A176">
        <v>175</v>
      </c>
      <c r="B176">
        <v>1</v>
      </c>
      <c r="C176" t="s">
        <v>380</v>
      </c>
      <c r="D176" t="s">
        <v>13</v>
      </c>
      <c r="E176">
        <v>56</v>
      </c>
      <c r="F176">
        <v>0</v>
      </c>
      <c r="G176">
        <v>0</v>
      </c>
      <c r="H176" t="s">
        <v>381</v>
      </c>
      <c r="I176">
        <v>30.695799999999998</v>
      </c>
      <c r="J176" t="s">
        <v>382</v>
      </c>
      <c r="K176" t="s">
        <v>21</v>
      </c>
      <c r="L176">
        <v>0</v>
      </c>
      <c r="R176">
        <f t="shared" si="16"/>
        <v>56</v>
      </c>
      <c r="S176" t="str">
        <f t="shared" si="17"/>
        <v>C</v>
      </c>
      <c r="U176">
        <f t="shared" si="18"/>
        <v>0</v>
      </c>
      <c r="V176">
        <f t="shared" si="21"/>
        <v>1</v>
      </c>
      <c r="W176">
        <f t="shared" si="21"/>
        <v>0</v>
      </c>
      <c r="X176">
        <f t="shared" si="21"/>
        <v>0</v>
      </c>
      <c r="Y176">
        <f t="shared" si="19"/>
        <v>0</v>
      </c>
      <c r="Z176">
        <f t="shared" si="19"/>
        <v>0</v>
      </c>
      <c r="AA176">
        <f t="shared" si="19"/>
        <v>1</v>
      </c>
    </row>
    <row r="177" spans="1:27" x14ac:dyDescent="0.4">
      <c r="A177">
        <v>176</v>
      </c>
      <c r="B177">
        <v>3</v>
      </c>
      <c r="C177" t="s">
        <v>383</v>
      </c>
      <c r="D177" t="s">
        <v>13</v>
      </c>
      <c r="E177">
        <v>18</v>
      </c>
      <c r="F177">
        <v>1</v>
      </c>
      <c r="G177">
        <v>1</v>
      </c>
      <c r="H177" t="s">
        <v>384</v>
      </c>
      <c r="I177">
        <v>7.8541999999999996</v>
      </c>
      <c r="J177" t="s">
        <v>15</v>
      </c>
      <c r="K177" t="s">
        <v>16</v>
      </c>
      <c r="L177">
        <v>0</v>
      </c>
      <c r="R177">
        <f t="shared" si="16"/>
        <v>18</v>
      </c>
      <c r="S177" t="str">
        <f t="shared" si="17"/>
        <v>S</v>
      </c>
      <c r="U177">
        <f t="shared" si="18"/>
        <v>0</v>
      </c>
      <c r="V177">
        <f t="shared" si="21"/>
        <v>0</v>
      </c>
      <c r="W177">
        <f t="shared" si="21"/>
        <v>0</v>
      </c>
      <c r="X177">
        <f t="shared" si="21"/>
        <v>1</v>
      </c>
      <c r="Y177">
        <f t="shared" si="19"/>
        <v>1</v>
      </c>
      <c r="Z177">
        <f t="shared" si="19"/>
        <v>0</v>
      </c>
      <c r="AA177">
        <f t="shared" si="19"/>
        <v>0</v>
      </c>
    </row>
    <row r="178" spans="1:27" x14ac:dyDescent="0.4">
      <c r="A178">
        <v>177</v>
      </c>
      <c r="B178">
        <v>3</v>
      </c>
      <c r="C178" t="s">
        <v>385</v>
      </c>
      <c r="D178" t="s">
        <v>13</v>
      </c>
      <c r="F178">
        <v>3</v>
      </c>
      <c r="G178">
        <v>1</v>
      </c>
      <c r="H178" t="s">
        <v>386</v>
      </c>
      <c r="I178">
        <v>25.466699999999999</v>
      </c>
      <c r="J178" t="s">
        <v>15</v>
      </c>
      <c r="K178" t="s">
        <v>16</v>
      </c>
      <c r="L178">
        <v>0</v>
      </c>
      <c r="R178">
        <f t="shared" si="16"/>
        <v>28</v>
      </c>
      <c r="S178" t="str">
        <f t="shared" si="17"/>
        <v>S</v>
      </c>
      <c r="U178">
        <f t="shared" si="18"/>
        <v>0</v>
      </c>
      <c r="V178">
        <f t="shared" si="21"/>
        <v>0</v>
      </c>
      <c r="W178">
        <f t="shared" si="21"/>
        <v>0</v>
      </c>
      <c r="X178">
        <f t="shared" si="21"/>
        <v>1</v>
      </c>
      <c r="Y178">
        <f t="shared" si="19"/>
        <v>1</v>
      </c>
      <c r="Z178">
        <f t="shared" si="19"/>
        <v>0</v>
      </c>
      <c r="AA178">
        <f t="shared" si="19"/>
        <v>0</v>
      </c>
    </row>
    <row r="179" spans="1:27" x14ac:dyDescent="0.4">
      <c r="A179">
        <v>178</v>
      </c>
      <c r="B179">
        <v>1</v>
      </c>
      <c r="C179" t="s">
        <v>387</v>
      </c>
      <c r="D179" t="s">
        <v>18</v>
      </c>
      <c r="E179">
        <v>50</v>
      </c>
      <c r="F179">
        <v>0</v>
      </c>
      <c r="G179">
        <v>0</v>
      </c>
      <c r="H179" t="s">
        <v>388</v>
      </c>
      <c r="I179">
        <v>28.712499999999999</v>
      </c>
      <c r="J179" t="s">
        <v>389</v>
      </c>
      <c r="K179" t="s">
        <v>21</v>
      </c>
      <c r="L179">
        <v>0</v>
      </c>
      <c r="R179">
        <f t="shared" si="16"/>
        <v>50</v>
      </c>
      <c r="S179" t="str">
        <f t="shared" si="17"/>
        <v>C</v>
      </c>
      <c r="U179">
        <f t="shared" si="18"/>
        <v>1</v>
      </c>
      <c r="V179">
        <f t="shared" si="21"/>
        <v>1</v>
      </c>
      <c r="W179">
        <f t="shared" si="21"/>
        <v>0</v>
      </c>
      <c r="X179">
        <f t="shared" si="21"/>
        <v>0</v>
      </c>
      <c r="Y179">
        <f t="shared" si="19"/>
        <v>0</v>
      </c>
      <c r="Z179">
        <f t="shared" si="19"/>
        <v>0</v>
      </c>
      <c r="AA179">
        <f t="shared" si="19"/>
        <v>1</v>
      </c>
    </row>
    <row r="180" spans="1:27" x14ac:dyDescent="0.4">
      <c r="A180">
        <v>179</v>
      </c>
      <c r="B180">
        <v>2</v>
      </c>
      <c r="C180" t="s">
        <v>390</v>
      </c>
      <c r="D180" t="s">
        <v>13</v>
      </c>
      <c r="E180">
        <v>30</v>
      </c>
      <c r="F180">
        <v>0</v>
      </c>
      <c r="G180">
        <v>0</v>
      </c>
      <c r="H180" t="s">
        <v>391</v>
      </c>
      <c r="I180">
        <v>13</v>
      </c>
      <c r="J180" t="s">
        <v>15</v>
      </c>
      <c r="K180" t="s">
        <v>16</v>
      </c>
      <c r="L180">
        <v>0</v>
      </c>
      <c r="R180">
        <f t="shared" si="16"/>
        <v>30</v>
      </c>
      <c r="S180" t="str">
        <f t="shared" si="17"/>
        <v>S</v>
      </c>
      <c r="U180">
        <f t="shared" si="18"/>
        <v>0</v>
      </c>
      <c r="V180">
        <f t="shared" si="21"/>
        <v>0</v>
      </c>
      <c r="W180">
        <f t="shared" si="21"/>
        <v>1</v>
      </c>
      <c r="X180">
        <f t="shared" si="21"/>
        <v>0</v>
      </c>
      <c r="Y180">
        <f t="shared" si="19"/>
        <v>1</v>
      </c>
      <c r="Z180">
        <f t="shared" si="19"/>
        <v>0</v>
      </c>
      <c r="AA180">
        <f t="shared" si="19"/>
        <v>0</v>
      </c>
    </row>
    <row r="181" spans="1:27" x14ac:dyDescent="0.4">
      <c r="A181">
        <v>180</v>
      </c>
      <c r="B181">
        <v>3</v>
      </c>
      <c r="C181" t="s">
        <v>392</v>
      </c>
      <c r="D181" t="s">
        <v>13</v>
      </c>
      <c r="E181">
        <v>36</v>
      </c>
      <c r="F181">
        <v>0</v>
      </c>
      <c r="G181">
        <v>0</v>
      </c>
      <c r="H181" t="s">
        <v>393</v>
      </c>
      <c r="I181">
        <v>0</v>
      </c>
      <c r="J181" t="s">
        <v>15</v>
      </c>
      <c r="K181" t="s">
        <v>16</v>
      </c>
      <c r="L181">
        <v>0</v>
      </c>
      <c r="R181">
        <f t="shared" si="16"/>
        <v>36</v>
      </c>
      <c r="S181" t="str">
        <f t="shared" si="17"/>
        <v>S</v>
      </c>
      <c r="U181">
        <f t="shared" si="18"/>
        <v>0</v>
      </c>
      <c r="V181">
        <f t="shared" si="21"/>
        <v>0</v>
      </c>
      <c r="W181">
        <f t="shared" si="21"/>
        <v>0</v>
      </c>
      <c r="X181">
        <f t="shared" si="21"/>
        <v>1</v>
      </c>
      <c r="Y181">
        <f t="shared" si="19"/>
        <v>1</v>
      </c>
      <c r="Z181">
        <f t="shared" si="19"/>
        <v>0</v>
      </c>
      <c r="AA181">
        <f t="shared" si="19"/>
        <v>0</v>
      </c>
    </row>
    <row r="182" spans="1:27" x14ac:dyDescent="0.4">
      <c r="A182">
        <v>181</v>
      </c>
      <c r="B182">
        <v>3</v>
      </c>
      <c r="C182" t="s">
        <v>394</v>
      </c>
      <c r="D182" t="s">
        <v>18</v>
      </c>
      <c r="F182">
        <v>8</v>
      </c>
      <c r="G182">
        <v>2</v>
      </c>
      <c r="H182" t="s">
        <v>354</v>
      </c>
      <c r="I182">
        <v>69.55</v>
      </c>
      <c r="J182" t="s">
        <v>15</v>
      </c>
      <c r="K182" t="s">
        <v>16</v>
      </c>
      <c r="L182">
        <v>0</v>
      </c>
      <c r="R182">
        <f t="shared" si="16"/>
        <v>28</v>
      </c>
      <c r="S182" t="str">
        <f t="shared" si="17"/>
        <v>S</v>
      </c>
      <c r="U182">
        <f t="shared" si="18"/>
        <v>1</v>
      </c>
      <c r="V182">
        <f t="shared" ref="V182:X201" si="22">IF("Pclass_"&amp;$B182=V$1,1,0)</f>
        <v>0</v>
      </c>
      <c r="W182">
        <f t="shared" si="22"/>
        <v>0</v>
      </c>
      <c r="X182">
        <f t="shared" si="22"/>
        <v>1</v>
      </c>
      <c r="Y182">
        <f t="shared" si="19"/>
        <v>1</v>
      </c>
      <c r="Z182">
        <f t="shared" si="19"/>
        <v>0</v>
      </c>
      <c r="AA182">
        <f t="shared" si="19"/>
        <v>0</v>
      </c>
    </row>
    <row r="183" spans="1:27" x14ac:dyDescent="0.4">
      <c r="A183">
        <v>182</v>
      </c>
      <c r="B183">
        <v>2</v>
      </c>
      <c r="C183" t="s">
        <v>395</v>
      </c>
      <c r="D183" t="s">
        <v>13</v>
      </c>
      <c r="F183">
        <v>0</v>
      </c>
      <c r="G183">
        <v>0</v>
      </c>
      <c r="H183" t="s">
        <v>396</v>
      </c>
      <c r="I183">
        <v>15.05</v>
      </c>
      <c r="J183" t="s">
        <v>15</v>
      </c>
      <c r="K183" t="s">
        <v>21</v>
      </c>
      <c r="L183">
        <v>0</v>
      </c>
      <c r="R183">
        <f t="shared" si="16"/>
        <v>28</v>
      </c>
      <c r="S183" t="str">
        <f t="shared" si="17"/>
        <v>C</v>
      </c>
      <c r="U183">
        <f t="shared" si="18"/>
        <v>0</v>
      </c>
      <c r="V183">
        <f t="shared" si="22"/>
        <v>0</v>
      </c>
      <c r="W183">
        <f t="shared" si="22"/>
        <v>1</v>
      </c>
      <c r="X183">
        <f t="shared" si="22"/>
        <v>0</v>
      </c>
      <c r="Y183">
        <f t="shared" si="19"/>
        <v>0</v>
      </c>
      <c r="Z183">
        <f t="shared" si="19"/>
        <v>0</v>
      </c>
      <c r="AA183">
        <f t="shared" si="19"/>
        <v>1</v>
      </c>
    </row>
    <row r="184" spans="1:27" x14ac:dyDescent="0.4">
      <c r="A184">
        <v>183</v>
      </c>
      <c r="B184">
        <v>3</v>
      </c>
      <c r="C184" t="s">
        <v>397</v>
      </c>
      <c r="D184" t="s">
        <v>13</v>
      </c>
      <c r="E184">
        <v>9</v>
      </c>
      <c r="F184">
        <v>4</v>
      </c>
      <c r="G184">
        <v>2</v>
      </c>
      <c r="H184" t="s">
        <v>75</v>
      </c>
      <c r="I184">
        <v>31.387499999999999</v>
      </c>
      <c r="J184" t="s">
        <v>15</v>
      </c>
      <c r="K184" t="s">
        <v>16</v>
      </c>
      <c r="L184">
        <v>0</v>
      </c>
      <c r="R184">
        <f t="shared" si="16"/>
        <v>9</v>
      </c>
      <c r="S184" t="str">
        <f t="shared" si="17"/>
        <v>S</v>
      </c>
      <c r="U184">
        <f t="shared" si="18"/>
        <v>0</v>
      </c>
      <c r="V184">
        <f t="shared" si="22"/>
        <v>0</v>
      </c>
      <c r="W184">
        <f t="shared" si="22"/>
        <v>0</v>
      </c>
      <c r="X184">
        <f t="shared" si="22"/>
        <v>1</v>
      </c>
      <c r="Y184">
        <f t="shared" si="19"/>
        <v>1</v>
      </c>
      <c r="Z184">
        <f t="shared" si="19"/>
        <v>0</v>
      </c>
      <c r="AA184">
        <f t="shared" si="19"/>
        <v>0</v>
      </c>
    </row>
    <row r="185" spans="1:27" x14ac:dyDescent="0.4">
      <c r="A185">
        <v>184</v>
      </c>
      <c r="B185">
        <v>2</v>
      </c>
      <c r="C185" t="s">
        <v>398</v>
      </c>
      <c r="D185" t="s">
        <v>13</v>
      </c>
      <c r="E185">
        <v>1</v>
      </c>
      <c r="F185">
        <v>2</v>
      </c>
      <c r="G185">
        <v>1</v>
      </c>
      <c r="H185" t="s">
        <v>399</v>
      </c>
      <c r="I185">
        <v>39</v>
      </c>
      <c r="J185" t="s">
        <v>400</v>
      </c>
      <c r="K185" t="s">
        <v>16</v>
      </c>
      <c r="L185">
        <v>1</v>
      </c>
      <c r="R185">
        <f t="shared" si="16"/>
        <v>1</v>
      </c>
      <c r="S185" t="str">
        <f t="shared" si="17"/>
        <v>S</v>
      </c>
      <c r="U185">
        <f t="shared" si="18"/>
        <v>0</v>
      </c>
      <c r="V185">
        <f t="shared" si="22"/>
        <v>0</v>
      </c>
      <c r="W185">
        <f t="shared" si="22"/>
        <v>1</v>
      </c>
      <c r="X185">
        <f t="shared" si="22"/>
        <v>0</v>
      </c>
      <c r="Y185">
        <f t="shared" si="19"/>
        <v>1</v>
      </c>
      <c r="Z185">
        <f t="shared" si="19"/>
        <v>0</v>
      </c>
      <c r="AA185">
        <f t="shared" si="19"/>
        <v>0</v>
      </c>
    </row>
    <row r="186" spans="1:27" x14ac:dyDescent="0.4">
      <c r="A186">
        <v>185</v>
      </c>
      <c r="B186">
        <v>3</v>
      </c>
      <c r="C186" t="s">
        <v>401</v>
      </c>
      <c r="D186" t="s">
        <v>18</v>
      </c>
      <c r="E186">
        <v>4</v>
      </c>
      <c r="F186">
        <v>0</v>
      </c>
      <c r="G186">
        <v>2</v>
      </c>
      <c r="H186" t="s">
        <v>402</v>
      </c>
      <c r="I186">
        <v>22.024999999999999</v>
      </c>
      <c r="J186" t="s">
        <v>15</v>
      </c>
      <c r="K186" t="s">
        <v>16</v>
      </c>
      <c r="L186">
        <v>1</v>
      </c>
      <c r="R186">
        <f t="shared" si="16"/>
        <v>4</v>
      </c>
      <c r="S186" t="str">
        <f t="shared" si="17"/>
        <v>S</v>
      </c>
      <c r="U186">
        <f t="shared" si="18"/>
        <v>1</v>
      </c>
      <c r="V186">
        <f t="shared" si="22"/>
        <v>0</v>
      </c>
      <c r="W186">
        <f t="shared" si="22"/>
        <v>0</v>
      </c>
      <c r="X186">
        <f t="shared" si="22"/>
        <v>1</v>
      </c>
      <c r="Y186">
        <f t="shared" si="19"/>
        <v>1</v>
      </c>
      <c r="Z186">
        <f t="shared" si="19"/>
        <v>0</v>
      </c>
      <c r="AA186">
        <f t="shared" si="19"/>
        <v>0</v>
      </c>
    </row>
    <row r="187" spans="1:27" x14ac:dyDescent="0.4">
      <c r="A187">
        <v>186</v>
      </c>
      <c r="B187">
        <v>1</v>
      </c>
      <c r="C187" t="s">
        <v>403</v>
      </c>
      <c r="D187" t="s">
        <v>13</v>
      </c>
      <c r="F187">
        <v>0</v>
      </c>
      <c r="G187">
        <v>0</v>
      </c>
      <c r="H187" t="s">
        <v>404</v>
      </c>
      <c r="I187">
        <v>50</v>
      </c>
      <c r="J187" t="s">
        <v>405</v>
      </c>
      <c r="K187" t="s">
        <v>16</v>
      </c>
      <c r="L187">
        <v>0</v>
      </c>
      <c r="R187">
        <f t="shared" si="16"/>
        <v>28</v>
      </c>
      <c r="S187" t="str">
        <f t="shared" si="17"/>
        <v>S</v>
      </c>
      <c r="U187">
        <f t="shared" si="18"/>
        <v>0</v>
      </c>
      <c r="V187">
        <f t="shared" si="22"/>
        <v>1</v>
      </c>
      <c r="W187">
        <f t="shared" si="22"/>
        <v>0</v>
      </c>
      <c r="X187">
        <f t="shared" si="22"/>
        <v>0</v>
      </c>
      <c r="Y187">
        <f t="shared" si="19"/>
        <v>1</v>
      </c>
      <c r="Z187">
        <f t="shared" si="19"/>
        <v>0</v>
      </c>
      <c r="AA187">
        <f t="shared" si="19"/>
        <v>0</v>
      </c>
    </row>
    <row r="188" spans="1:27" x14ac:dyDescent="0.4">
      <c r="A188">
        <v>187</v>
      </c>
      <c r="B188">
        <v>3</v>
      </c>
      <c r="C188" t="s">
        <v>406</v>
      </c>
      <c r="D188" t="s">
        <v>18</v>
      </c>
      <c r="F188">
        <v>1</v>
      </c>
      <c r="G188">
        <v>0</v>
      </c>
      <c r="H188" t="s">
        <v>407</v>
      </c>
      <c r="I188">
        <v>15.5</v>
      </c>
      <c r="J188" t="s">
        <v>15</v>
      </c>
      <c r="K188" t="s">
        <v>31</v>
      </c>
      <c r="L188">
        <v>1</v>
      </c>
      <c r="R188">
        <f t="shared" si="16"/>
        <v>28</v>
      </c>
      <c r="S188" t="str">
        <f t="shared" si="17"/>
        <v>Q</v>
      </c>
      <c r="U188">
        <f t="shared" si="18"/>
        <v>1</v>
      </c>
      <c r="V188">
        <f t="shared" si="22"/>
        <v>0</v>
      </c>
      <c r="W188">
        <f t="shared" si="22"/>
        <v>0</v>
      </c>
      <c r="X188">
        <f t="shared" si="22"/>
        <v>1</v>
      </c>
      <c r="Y188">
        <f t="shared" si="19"/>
        <v>0</v>
      </c>
      <c r="Z188">
        <f t="shared" si="19"/>
        <v>1</v>
      </c>
      <c r="AA188">
        <f t="shared" si="19"/>
        <v>0</v>
      </c>
    </row>
    <row r="189" spans="1:27" x14ac:dyDescent="0.4">
      <c r="A189">
        <v>188</v>
      </c>
      <c r="B189">
        <v>1</v>
      </c>
      <c r="C189" t="s">
        <v>408</v>
      </c>
      <c r="D189" t="s">
        <v>13</v>
      </c>
      <c r="E189">
        <v>45</v>
      </c>
      <c r="F189">
        <v>0</v>
      </c>
      <c r="G189">
        <v>0</v>
      </c>
      <c r="H189" t="s">
        <v>409</v>
      </c>
      <c r="I189">
        <v>26.55</v>
      </c>
      <c r="J189" t="s">
        <v>15</v>
      </c>
      <c r="K189" t="s">
        <v>16</v>
      </c>
      <c r="L189">
        <v>1</v>
      </c>
      <c r="R189">
        <f t="shared" si="16"/>
        <v>45</v>
      </c>
      <c r="S189" t="str">
        <f t="shared" si="17"/>
        <v>S</v>
      </c>
      <c r="U189">
        <f t="shared" si="18"/>
        <v>0</v>
      </c>
      <c r="V189">
        <f t="shared" si="22"/>
        <v>1</v>
      </c>
      <c r="W189">
        <f t="shared" si="22"/>
        <v>0</v>
      </c>
      <c r="X189">
        <f t="shared" si="22"/>
        <v>0</v>
      </c>
      <c r="Y189">
        <f t="shared" si="19"/>
        <v>1</v>
      </c>
      <c r="Z189">
        <f t="shared" si="19"/>
        <v>0</v>
      </c>
      <c r="AA189">
        <f t="shared" si="19"/>
        <v>0</v>
      </c>
    </row>
    <row r="190" spans="1:27" x14ac:dyDescent="0.4">
      <c r="A190">
        <v>189</v>
      </c>
      <c r="B190">
        <v>3</v>
      </c>
      <c r="C190" t="s">
        <v>410</v>
      </c>
      <c r="D190" t="s">
        <v>13</v>
      </c>
      <c r="E190">
        <v>40</v>
      </c>
      <c r="F190">
        <v>1</v>
      </c>
      <c r="G190">
        <v>1</v>
      </c>
      <c r="H190" t="s">
        <v>411</v>
      </c>
      <c r="I190">
        <v>15.5</v>
      </c>
      <c r="J190" t="s">
        <v>15</v>
      </c>
      <c r="K190" t="s">
        <v>31</v>
      </c>
      <c r="L190">
        <v>0</v>
      </c>
      <c r="R190">
        <f t="shared" si="16"/>
        <v>40</v>
      </c>
      <c r="S190" t="str">
        <f t="shared" si="17"/>
        <v>Q</v>
      </c>
      <c r="U190">
        <f t="shared" si="18"/>
        <v>0</v>
      </c>
      <c r="V190">
        <f t="shared" si="22"/>
        <v>0</v>
      </c>
      <c r="W190">
        <f t="shared" si="22"/>
        <v>0</v>
      </c>
      <c r="X190">
        <f t="shared" si="22"/>
        <v>1</v>
      </c>
      <c r="Y190">
        <f t="shared" si="19"/>
        <v>0</v>
      </c>
      <c r="Z190">
        <f t="shared" si="19"/>
        <v>1</v>
      </c>
      <c r="AA190">
        <f t="shared" si="19"/>
        <v>0</v>
      </c>
    </row>
    <row r="191" spans="1:27" x14ac:dyDescent="0.4">
      <c r="A191">
        <v>190</v>
      </c>
      <c r="B191">
        <v>3</v>
      </c>
      <c r="C191" t="s">
        <v>412</v>
      </c>
      <c r="D191" t="s">
        <v>13</v>
      </c>
      <c r="E191">
        <v>36</v>
      </c>
      <c r="F191">
        <v>0</v>
      </c>
      <c r="G191">
        <v>0</v>
      </c>
      <c r="H191" t="s">
        <v>413</v>
      </c>
      <c r="I191">
        <v>7.8958000000000004</v>
      </c>
      <c r="J191" t="s">
        <v>15</v>
      </c>
      <c r="K191" t="s">
        <v>16</v>
      </c>
      <c r="L191">
        <v>0</v>
      </c>
      <c r="R191">
        <f t="shared" si="16"/>
        <v>36</v>
      </c>
      <c r="S191" t="str">
        <f t="shared" si="17"/>
        <v>S</v>
      </c>
      <c r="U191">
        <f t="shared" si="18"/>
        <v>0</v>
      </c>
      <c r="V191">
        <f t="shared" si="22"/>
        <v>0</v>
      </c>
      <c r="W191">
        <f t="shared" si="22"/>
        <v>0</v>
      </c>
      <c r="X191">
        <f t="shared" si="22"/>
        <v>1</v>
      </c>
      <c r="Y191">
        <f t="shared" si="19"/>
        <v>1</v>
      </c>
      <c r="Z191">
        <f t="shared" si="19"/>
        <v>0</v>
      </c>
      <c r="AA191">
        <f t="shared" si="19"/>
        <v>0</v>
      </c>
    </row>
    <row r="192" spans="1:27" x14ac:dyDescent="0.4">
      <c r="A192">
        <v>191</v>
      </c>
      <c r="B192">
        <v>2</v>
      </c>
      <c r="C192" t="s">
        <v>414</v>
      </c>
      <c r="D192" t="s">
        <v>18</v>
      </c>
      <c r="E192">
        <v>32</v>
      </c>
      <c r="F192">
        <v>0</v>
      </c>
      <c r="G192">
        <v>0</v>
      </c>
      <c r="H192" t="s">
        <v>415</v>
      </c>
      <c r="I192">
        <v>13</v>
      </c>
      <c r="J192" t="s">
        <v>15</v>
      </c>
      <c r="K192" t="s">
        <v>16</v>
      </c>
      <c r="L192">
        <v>1</v>
      </c>
      <c r="R192">
        <f t="shared" si="16"/>
        <v>32</v>
      </c>
      <c r="S192" t="str">
        <f t="shared" si="17"/>
        <v>S</v>
      </c>
      <c r="U192">
        <f t="shared" si="18"/>
        <v>1</v>
      </c>
      <c r="V192">
        <f t="shared" si="22"/>
        <v>0</v>
      </c>
      <c r="W192">
        <f t="shared" si="22"/>
        <v>1</v>
      </c>
      <c r="X192">
        <f t="shared" si="22"/>
        <v>0</v>
      </c>
      <c r="Y192">
        <f t="shared" si="19"/>
        <v>1</v>
      </c>
      <c r="Z192">
        <f t="shared" si="19"/>
        <v>0</v>
      </c>
      <c r="AA192">
        <f t="shared" si="19"/>
        <v>0</v>
      </c>
    </row>
    <row r="193" spans="1:27" x14ac:dyDescent="0.4">
      <c r="A193">
        <v>192</v>
      </c>
      <c r="B193">
        <v>2</v>
      </c>
      <c r="C193" t="s">
        <v>416</v>
      </c>
      <c r="D193" t="s">
        <v>13</v>
      </c>
      <c r="E193">
        <v>19</v>
      </c>
      <c r="F193">
        <v>0</v>
      </c>
      <c r="G193">
        <v>0</v>
      </c>
      <c r="H193" t="s">
        <v>417</v>
      </c>
      <c r="I193">
        <v>13</v>
      </c>
      <c r="J193" t="s">
        <v>15</v>
      </c>
      <c r="K193" t="s">
        <v>16</v>
      </c>
      <c r="L193">
        <v>0</v>
      </c>
      <c r="R193">
        <f t="shared" si="16"/>
        <v>19</v>
      </c>
      <c r="S193" t="str">
        <f t="shared" si="17"/>
        <v>S</v>
      </c>
      <c r="U193">
        <f t="shared" si="18"/>
        <v>0</v>
      </c>
      <c r="V193">
        <f t="shared" si="22"/>
        <v>0</v>
      </c>
      <c r="W193">
        <f t="shared" si="22"/>
        <v>1</v>
      </c>
      <c r="X193">
        <f t="shared" si="22"/>
        <v>0</v>
      </c>
      <c r="Y193">
        <f t="shared" si="19"/>
        <v>1</v>
      </c>
      <c r="Z193">
        <f t="shared" si="19"/>
        <v>0</v>
      </c>
      <c r="AA193">
        <f t="shared" si="19"/>
        <v>0</v>
      </c>
    </row>
    <row r="194" spans="1:27" x14ac:dyDescent="0.4">
      <c r="A194">
        <v>193</v>
      </c>
      <c r="B194">
        <v>3</v>
      </c>
      <c r="C194" t="s">
        <v>418</v>
      </c>
      <c r="D194" t="s">
        <v>18</v>
      </c>
      <c r="E194">
        <v>19</v>
      </c>
      <c r="F194">
        <v>1</v>
      </c>
      <c r="G194">
        <v>0</v>
      </c>
      <c r="H194" t="s">
        <v>419</v>
      </c>
      <c r="I194">
        <v>7.8541999999999996</v>
      </c>
      <c r="J194" t="s">
        <v>15</v>
      </c>
      <c r="K194" t="s">
        <v>16</v>
      </c>
      <c r="L194">
        <v>1</v>
      </c>
      <c r="R194">
        <f t="shared" si="16"/>
        <v>19</v>
      </c>
      <c r="S194" t="str">
        <f t="shared" si="17"/>
        <v>S</v>
      </c>
      <c r="U194">
        <f t="shared" si="18"/>
        <v>1</v>
      </c>
      <c r="V194">
        <f t="shared" si="22"/>
        <v>0</v>
      </c>
      <c r="W194">
        <f t="shared" si="22"/>
        <v>0</v>
      </c>
      <c r="X194">
        <f t="shared" si="22"/>
        <v>1</v>
      </c>
      <c r="Y194">
        <f t="shared" si="19"/>
        <v>1</v>
      </c>
      <c r="Z194">
        <f t="shared" si="19"/>
        <v>0</v>
      </c>
      <c r="AA194">
        <f t="shared" si="19"/>
        <v>0</v>
      </c>
    </row>
    <row r="195" spans="1:27" x14ac:dyDescent="0.4">
      <c r="A195">
        <v>194</v>
      </c>
      <c r="B195">
        <v>2</v>
      </c>
      <c r="C195" t="s">
        <v>420</v>
      </c>
      <c r="D195" t="s">
        <v>13</v>
      </c>
      <c r="E195">
        <v>3</v>
      </c>
      <c r="F195">
        <v>1</v>
      </c>
      <c r="G195">
        <v>1</v>
      </c>
      <c r="H195" t="s">
        <v>330</v>
      </c>
      <c r="I195">
        <v>26</v>
      </c>
      <c r="J195" t="s">
        <v>331</v>
      </c>
      <c r="K195" t="s">
        <v>16</v>
      </c>
      <c r="L195">
        <v>1</v>
      </c>
      <c r="R195">
        <f t="shared" ref="R195:R258" si="23">IF(E195&lt;&gt;"",E195,$O$18)</f>
        <v>3</v>
      </c>
      <c r="S195" t="str">
        <f t="shared" ref="S195:S258" si="24">IF(K195&lt;&gt;"",K195,$N$9)</f>
        <v>S</v>
      </c>
      <c r="U195">
        <f t="shared" ref="U195:U258" si="25">IF(D195="male",0,1)</f>
        <v>0</v>
      </c>
      <c r="V195">
        <f t="shared" si="22"/>
        <v>0</v>
      </c>
      <c r="W195">
        <f t="shared" si="22"/>
        <v>1</v>
      </c>
      <c r="X195">
        <f t="shared" si="22"/>
        <v>0</v>
      </c>
      <c r="Y195">
        <f t="shared" ref="Y195:AA258" si="26">IF($S195=RIGHT(Y$1,1),1,0)</f>
        <v>1</v>
      </c>
      <c r="Z195">
        <f t="shared" si="26"/>
        <v>0</v>
      </c>
      <c r="AA195">
        <f t="shared" si="26"/>
        <v>0</v>
      </c>
    </row>
    <row r="196" spans="1:27" x14ac:dyDescent="0.4">
      <c r="A196">
        <v>195</v>
      </c>
      <c r="B196">
        <v>1</v>
      </c>
      <c r="C196" t="s">
        <v>421</v>
      </c>
      <c r="D196" t="s">
        <v>18</v>
      </c>
      <c r="E196">
        <v>44</v>
      </c>
      <c r="F196">
        <v>0</v>
      </c>
      <c r="G196">
        <v>0</v>
      </c>
      <c r="H196" t="s">
        <v>422</v>
      </c>
      <c r="I196">
        <v>27.720800000000001</v>
      </c>
      <c r="J196" t="s">
        <v>423</v>
      </c>
      <c r="K196" t="s">
        <v>21</v>
      </c>
      <c r="L196">
        <v>1</v>
      </c>
      <c r="R196">
        <f t="shared" si="23"/>
        <v>44</v>
      </c>
      <c r="S196" t="str">
        <f t="shared" si="24"/>
        <v>C</v>
      </c>
      <c r="U196">
        <f t="shared" si="25"/>
        <v>1</v>
      </c>
      <c r="V196">
        <f t="shared" si="22"/>
        <v>1</v>
      </c>
      <c r="W196">
        <f t="shared" si="22"/>
        <v>0</v>
      </c>
      <c r="X196">
        <f t="shared" si="22"/>
        <v>0</v>
      </c>
      <c r="Y196">
        <f t="shared" si="26"/>
        <v>0</v>
      </c>
      <c r="Z196">
        <f t="shared" si="26"/>
        <v>0</v>
      </c>
      <c r="AA196">
        <f t="shared" si="26"/>
        <v>1</v>
      </c>
    </row>
    <row r="197" spans="1:27" x14ac:dyDescent="0.4">
      <c r="A197">
        <v>196</v>
      </c>
      <c r="B197">
        <v>1</v>
      </c>
      <c r="C197" t="s">
        <v>424</v>
      </c>
      <c r="D197" t="s">
        <v>18</v>
      </c>
      <c r="E197">
        <v>58</v>
      </c>
      <c r="F197">
        <v>0</v>
      </c>
      <c r="G197">
        <v>0</v>
      </c>
      <c r="H197" t="s">
        <v>88</v>
      </c>
      <c r="I197">
        <v>146.52080000000001</v>
      </c>
      <c r="J197" t="s">
        <v>425</v>
      </c>
      <c r="K197" t="s">
        <v>21</v>
      </c>
      <c r="L197">
        <v>1</v>
      </c>
      <c r="R197">
        <f t="shared" si="23"/>
        <v>58</v>
      </c>
      <c r="S197" t="str">
        <f t="shared" si="24"/>
        <v>C</v>
      </c>
      <c r="U197">
        <f t="shared" si="25"/>
        <v>1</v>
      </c>
      <c r="V197">
        <f t="shared" si="22"/>
        <v>1</v>
      </c>
      <c r="W197">
        <f t="shared" si="22"/>
        <v>0</v>
      </c>
      <c r="X197">
        <f t="shared" si="22"/>
        <v>0</v>
      </c>
      <c r="Y197">
        <f t="shared" si="26"/>
        <v>0</v>
      </c>
      <c r="Z197">
        <f t="shared" si="26"/>
        <v>0</v>
      </c>
      <c r="AA197">
        <f t="shared" si="26"/>
        <v>1</v>
      </c>
    </row>
    <row r="198" spans="1:27" x14ac:dyDescent="0.4">
      <c r="A198">
        <v>197</v>
      </c>
      <c r="B198">
        <v>3</v>
      </c>
      <c r="C198" t="s">
        <v>426</v>
      </c>
      <c r="D198" t="s">
        <v>13</v>
      </c>
      <c r="F198">
        <v>0</v>
      </c>
      <c r="G198">
        <v>0</v>
      </c>
      <c r="H198" t="s">
        <v>427</v>
      </c>
      <c r="I198">
        <v>7.75</v>
      </c>
      <c r="J198" t="s">
        <v>15</v>
      </c>
      <c r="K198" t="s">
        <v>31</v>
      </c>
      <c r="L198">
        <v>0</v>
      </c>
      <c r="R198">
        <f t="shared" si="23"/>
        <v>28</v>
      </c>
      <c r="S198" t="str">
        <f t="shared" si="24"/>
        <v>Q</v>
      </c>
      <c r="U198">
        <f t="shared" si="25"/>
        <v>0</v>
      </c>
      <c r="V198">
        <f t="shared" si="22"/>
        <v>0</v>
      </c>
      <c r="W198">
        <f t="shared" si="22"/>
        <v>0</v>
      </c>
      <c r="X198">
        <f t="shared" si="22"/>
        <v>1</v>
      </c>
      <c r="Y198">
        <f t="shared" si="26"/>
        <v>0</v>
      </c>
      <c r="Z198">
        <f t="shared" si="26"/>
        <v>1</v>
      </c>
      <c r="AA198">
        <f t="shared" si="26"/>
        <v>0</v>
      </c>
    </row>
    <row r="199" spans="1:27" x14ac:dyDescent="0.4">
      <c r="A199">
        <v>198</v>
      </c>
      <c r="B199">
        <v>3</v>
      </c>
      <c r="C199" t="s">
        <v>428</v>
      </c>
      <c r="D199" t="s">
        <v>13</v>
      </c>
      <c r="E199">
        <v>42</v>
      </c>
      <c r="F199">
        <v>0</v>
      </c>
      <c r="G199">
        <v>1</v>
      </c>
      <c r="H199" t="s">
        <v>429</v>
      </c>
      <c r="I199">
        <v>8.4041999999999994</v>
      </c>
      <c r="J199" t="s">
        <v>15</v>
      </c>
      <c r="K199" t="s">
        <v>16</v>
      </c>
      <c r="L199">
        <v>0</v>
      </c>
      <c r="R199">
        <f t="shared" si="23"/>
        <v>42</v>
      </c>
      <c r="S199" t="str">
        <f t="shared" si="24"/>
        <v>S</v>
      </c>
      <c r="U199">
        <f t="shared" si="25"/>
        <v>0</v>
      </c>
      <c r="V199">
        <f t="shared" si="22"/>
        <v>0</v>
      </c>
      <c r="W199">
        <f t="shared" si="22"/>
        <v>0</v>
      </c>
      <c r="X199">
        <f t="shared" si="22"/>
        <v>1</v>
      </c>
      <c r="Y199">
        <f t="shared" si="26"/>
        <v>1</v>
      </c>
      <c r="Z199">
        <f t="shared" si="26"/>
        <v>0</v>
      </c>
      <c r="AA199">
        <f t="shared" si="26"/>
        <v>0</v>
      </c>
    </row>
    <row r="200" spans="1:27" x14ac:dyDescent="0.4">
      <c r="A200">
        <v>199</v>
      </c>
      <c r="B200">
        <v>3</v>
      </c>
      <c r="C200" t="s">
        <v>430</v>
      </c>
      <c r="D200" t="s">
        <v>18</v>
      </c>
      <c r="F200">
        <v>0</v>
      </c>
      <c r="G200">
        <v>0</v>
      </c>
      <c r="H200" t="s">
        <v>431</v>
      </c>
      <c r="I200">
        <v>7.75</v>
      </c>
      <c r="J200" t="s">
        <v>15</v>
      </c>
      <c r="K200" t="s">
        <v>31</v>
      </c>
      <c r="L200">
        <v>1</v>
      </c>
      <c r="R200">
        <f t="shared" si="23"/>
        <v>28</v>
      </c>
      <c r="S200" t="str">
        <f t="shared" si="24"/>
        <v>Q</v>
      </c>
      <c r="U200">
        <f t="shared" si="25"/>
        <v>1</v>
      </c>
      <c r="V200">
        <f t="shared" si="22"/>
        <v>0</v>
      </c>
      <c r="W200">
        <f t="shared" si="22"/>
        <v>0</v>
      </c>
      <c r="X200">
        <f t="shared" si="22"/>
        <v>1</v>
      </c>
      <c r="Y200">
        <f t="shared" si="26"/>
        <v>0</v>
      </c>
      <c r="Z200">
        <f t="shared" si="26"/>
        <v>1</v>
      </c>
      <c r="AA200">
        <f t="shared" si="26"/>
        <v>0</v>
      </c>
    </row>
    <row r="201" spans="1:27" x14ac:dyDescent="0.4">
      <c r="A201">
        <v>200</v>
      </c>
      <c r="B201">
        <v>2</v>
      </c>
      <c r="C201" t="s">
        <v>432</v>
      </c>
      <c r="D201" t="s">
        <v>18</v>
      </c>
      <c r="E201">
        <v>24</v>
      </c>
      <c r="F201">
        <v>0</v>
      </c>
      <c r="G201">
        <v>0</v>
      </c>
      <c r="H201" t="s">
        <v>433</v>
      </c>
      <c r="I201">
        <v>13</v>
      </c>
      <c r="J201" t="s">
        <v>15</v>
      </c>
      <c r="K201" t="s">
        <v>16</v>
      </c>
      <c r="L201">
        <v>0</v>
      </c>
      <c r="R201">
        <f t="shared" si="23"/>
        <v>24</v>
      </c>
      <c r="S201" t="str">
        <f t="shared" si="24"/>
        <v>S</v>
      </c>
      <c r="U201">
        <f t="shared" si="25"/>
        <v>1</v>
      </c>
      <c r="V201">
        <f t="shared" si="22"/>
        <v>0</v>
      </c>
      <c r="W201">
        <f t="shared" si="22"/>
        <v>1</v>
      </c>
      <c r="X201">
        <f t="shared" si="22"/>
        <v>0</v>
      </c>
      <c r="Y201">
        <f t="shared" si="26"/>
        <v>1</v>
      </c>
      <c r="Z201">
        <f t="shared" si="26"/>
        <v>0</v>
      </c>
      <c r="AA201">
        <f t="shared" si="26"/>
        <v>0</v>
      </c>
    </row>
    <row r="202" spans="1:27" x14ac:dyDescent="0.4">
      <c r="A202">
        <v>201</v>
      </c>
      <c r="B202">
        <v>3</v>
      </c>
      <c r="C202" t="s">
        <v>434</v>
      </c>
      <c r="D202" t="s">
        <v>13</v>
      </c>
      <c r="E202">
        <v>28</v>
      </c>
      <c r="F202">
        <v>0</v>
      </c>
      <c r="G202">
        <v>0</v>
      </c>
      <c r="H202" t="s">
        <v>435</v>
      </c>
      <c r="I202">
        <v>9.5</v>
      </c>
      <c r="J202" t="s">
        <v>15</v>
      </c>
      <c r="K202" t="s">
        <v>16</v>
      </c>
      <c r="L202">
        <v>0</v>
      </c>
      <c r="R202">
        <f t="shared" si="23"/>
        <v>28</v>
      </c>
      <c r="S202" t="str">
        <f t="shared" si="24"/>
        <v>S</v>
      </c>
      <c r="U202">
        <f t="shared" si="25"/>
        <v>0</v>
      </c>
      <c r="V202">
        <f t="shared" ref="V202:X221" si="27">IF("Pclass_"&amp;$B202=V$1,1,0)</f>
        <v>0</v>
      </c>
      <c r="W202">
        <f t="shared" si="27"/>
        <v>0</v>
      </c>
      <c r="X202">
        <f t="shared" si="27"/>
        <v>1</v>
      </c>
      <c r="Y202">
        <f t="shared" si="26"/>
        <v>1</v>
      </c>
      <c r="Z202">
        <f t="shared" si="26"/>
        <v>0</v>
      </c>
      <c r="AA202">
        <f t="shared" si="26"/>
        <v>0</v>
      </c>
    </row>
    <row r="203" spans="1:27" x14ac:dyDescent="0.4">
      <c r="A203">
        <v>202</v>
      </c>
      <c r="B203">
        <v>3</v>
      </c>
      <c r="C203" t="s">
        <v>436</v>
      </c>
      <c r="D203" t="s">
        <v>13</v>
      </c>
      <c r="F203">
        <v>8</v>
      </c>
      <c r="G203">
        <v>2</v>
      </c>
      <c r="H203" t="s">
        <v>354</v>
      </c>
      <c r="I203">
        <v>69.55</v>
      </c>
      <c r="J203" t="s">
        <v>15</v>
      </c>
      <c r="K203" t="s">
        <v>16</v>
      </c>
      <c r="L203">
        <v>0</v>
      </c>
      <c r="R203">
        <f t="shared" si="23"/>
        <v>28</v>
      </c>
      <c r="S203" t="str">
        <f t="shared" si="24"/>
        <v>S</v>
      </c>
      <c r="U203">
        <f t="shared" si="25"/>
        <v>0</v>
      </c>
      <c r="V203">
        <f t="shared" si="27"/>
        <v>0</v>
      </c>
      <c r="W203">
        <f t="shared" si="27"/>
        <v>0</v>
      </c>
      <c r="X203">
        <f t="shared" si="27"/>
        <v>1</v>
      </c>
      <c r="Y203">
        <f t="shared" si="26"/>
        <v>1</v>
      </c>
      <c r="Z203">
        <f t="shared" si="26"/>
        <v>0</v>
      </c>
      <c r="AA203">
        <f t="shared" si="26"/>
        <v>0</v>
      </c>
    </row>
    <row r="204" spans="1:27" x14ac:dyDescent="0.4">
      <c r="A204">
        <v>203</v>
      </c>
      <c r="B204">
        <v>3</v>
      </c>
      <c r="C204" t="s">
        <v>437</v>
      </c>
      <c r="D204" t="s">
        <v>13</v>
      </c>
      <c r="E204">
        <v>34</v>
      </c>
      <c r="F204">
        <v>0</v>
      </c>
      <c r="G204">
        <v>0</v>
      </c>
      <c r="H204" t="s">
        <v>438</v>
      </c>
      <c r="I204">
        <v>6.4958</v>
      </c>
      <c r="J204" t="s">
        <v>15</v>
      </c>
      <c r="K204" t="s">
        <v>16</v>
      </c>
      <c r="L204">
        <v>0</v>
      </c>
      <c r="R204">
        <f t="shared" si="23"/>
        <v>34</v>
      </c>
      <c r="S204" t="str">
        <f t="shared" si="24"/>
        <v>S</v>
      </c>
      <c r="U204">
        <f t="shared" si="25"/>
        <v>0</v>
      </c>
      <c r="V204">
        <f t="shared" si="27"/>
        <v>0</v>
      </c>
      <c r="W204">
        <f t="shared" si="27"/>
        <v>0</v>
      </c>
      <c r="X204">
        <f t="shared" si="27"/>
        <v>1</v>
      </c>
      <c r="Y204">
        <f t="shared" si="26"/>
        <v>1</v>
      </c>
      <c r="Z204">
        <f t="shared" si="26"/>
        <v>0</v>
      </c>
      <c r="AA204">
        <f t="shared" si="26"/>
        <v>0</v>
      </c>
    </row>
    <row r="205" spans="1:27" x14ac:dyDescent="0.4">
      <c r="A205">
        <v>204</v>
      </c>
      <c r="B205">
        <v>3</v>
      </c>
      <c r="C205" t="s">
        <v>439</v>
      </c>
      <c r="D205" t="s">
        <v>13</v>
      </c>
      <c r="E205">
        <v>45.5</v>
      </c>
      <c r="F205">
        <v>0</v>
      </c>
      <c r="G205">
        <v>0</v>
      </c>
      <c r="H205" t="s">
        <v>440</v>
      </c>
      <c r="I205">
        <v>7.2249999999999996</v>
      </c>
      <c r="J205" t="s">
        <v>15</v>
      </c>
      <c r="K205" t="s">
        <v>21</v>
      </c>
      <c r="L205">
        <v>0</v>
      </c>
      <c r="R205">
        <f t="shared" si="23"/>
        <v>45.5</v>
      </c>
      <c r="S205" t="str">
        <f t="shared" si="24"/>
        <v>C</v>
      </c>
      <c r="U205">
        <f t="shared" si="25"/>
        <v>0</v>
      </c>
      <c r="V205">
        <f t="shared" si="27"/>
        <v>0</v>
      </c>
      <c r="W205">
        <f t="shared" si="27"/>
        <v>0</v>
      </c>
      <c r="X205">
        <f t="shared" si="27"/>
        <v>1</v>
      </c>
      <c r="Y205">
        <f t="shared" si="26"/>
        <v>0</v>
      </c>
      <c r="Z205">
        <f t="shared" si="26"/>
        <v>0</v>
      </c>
      <c r="AA205">
        <f t="shared" si="26"/>
        <v>1</v>
      </c>
    </row>
    <row r="206" spans="1:27" x14ac:dyDescent="0.4">
      <c r="A206">
        <v>205</v>
      </c>
      <c r="B206">
        <v>3</v>
      </c>
      <c r="C206" t="s">
        <v>441</v>
      </c>
      <c r="D206" t="s">
        <v>13</v>
      </c>
      <c r="E206">
        <v>18</v>
      </c>
      <c r="F206">
        <v>0</v>
      </c>
      <c r="G206">
        <v>0</v>
      </c>
      <c r="H206" t="s">
        <v>442</v>
      </c>
      <c r="I206">
        <v>8.0500000000000007</v>
      </c>
      <c r="J206" t="s">
        <v>15</v>
      </c>
      <c r="K206" t="s">
        <v>16</v>
      </c>
      <c r="L206">
        <v>1</v>
      </c>
      <c r="R206">
        <f t="shared" si="23"/>
        <v>18</v>
      </c>
      <c r="S206" t="str">
        <f t="shared" si="24"/>
        <v>S</v>
      </c>
      <c r="U206">
        <f t="shared" si="25"/>
        <v>0</v>
      </c>
      <c r="V206">
        <f t="shared" si="27"/>
        <v>0</v>
      </c>
      <c r="W206">
        <f t="shared" si="27"/>
        <v>0</v>
      </c>
      <c r="X206">
        <f t="shared" si="27"/>
        <v>1</v>
      </c>
      <c r="Y206">
        <f t="shared" si="26"/>
        <v>1</v>
      </c>
      <c r="Z206">
        <f t="shared" si="26"/>
        <v>0</v>
      </c>
      <c r="AA206">
        <f t="shared" si="26"/>
        <v>0</v>
      </c>
    </row>
    <row r="207" spans="1:27" x14ac:dyDescent="0.4">
      <c r="A207">
        <v>206</v>
      </c>
      <c r="B207">
        <v>3</v>
      </c>
      <c r="C207" t="s">
        <v>443</v>
      </c>
      <c r="D207" t="s">
        <v>18</v>
      </c>
      <c r="E207">
        <v>2</v>
      </c>
      <c r="F207">
        <v>0</v>
      </c>
      <c r="G207">
        <v>1</v>
      </c>
      <c r="H207" t="s">
        <v>444</v>
      </c>
      <c r="I207">
        <v>10.4625</v>
      </c>
      <c r="J207" t="s">
        <v>43</v>
      </c>
      <c r="K207" t="s">
        <v>16</v>
      </c>
      <c r="L207">
        <v>0</v>
      </c>
      <c r="R207">
        <f t="shared" si="23"/>
        <v>2</v>
      </c>
      <c r="S207" t="str">
        <f t="shared" si="24"/>
        <v>S</v>
      </c>
      <c r="U207">
        <f t="shared" si="25"/>
        <v>1</v>
      </c>
      <c r="V207">
        <f t="shared" si="27"/>
        <v>0</v>
      </c>
      <c r="W207">
        <f t="shared" si="27"/>
        <v>0</v>
      </c>
      <c r="X207">
        <f t="shared" si="27"/>
        <v>1</v>
      </c>
      <c r="Y207">
        <f t="shared" si="26"/>
        <v>1</v>
      </c>
      <c r="Z207">
        <f t="shared" si="26"/>
        <v>0</v>
      </c>
      <c r="AA207">
        <f t="shared" si="26"/>
        <v>0</v>
      </c>
    </row>
    <row r="208" spans="1:27" x14ac:dyDescent="0.4">
      <c r="A208">
        <v>207</v>
      </c>
      <c r="B208">
        <v>3</v>
      </c>
      <c r="C208" t="s">
        <v>445</v>
      </c>
      <c r="D208" t="s">
        <v>13</v>
      </c>
      <c r="E208">
        <v>32</v>
      </c>
      <c r="F208">
        <v>1</v>
      </c>
      <c r="G208">
        <v>0</v>
      </c>
      <c r="H208" t="s">
        <v>203</v>
      </c>
      <c r="I208">
        <v>15.85</v>
      </c>
      <c r="J208" t="s">
        <v>15</v>
      </c>
      <c r="K208" t="s">
        <v>16</v>
      </c>
      <c r="L208">
        <v>0</v>
      </c>
      <c r="R208">
        <f t="shared" si="23"/>
        <v>32</v>
      </c>
      <c r="S208" t="str">
        <f t="shared" si="24"/>
        <v>S</v>
      </c>
      <c r="U208">
        <f t="shared" si="25"/>
        <v>0</v>
      </c>
      <c r="V208">
        <f t="shared" si="27"/>
        <v>0</v>
      </c>
      <c r="W208">
        <f t="shared" si="27"/>
        <v>0</v>
      </c>
      <c r="X208">
        <f t="shared" si="27"/>
        <v>1</v>
      </c>
      <c r="Y208">
        <f t="shared" si="26"/>
        <v>1</v>
      </c>
      <c r="Z208">
        <f t="shared" si="26"/>
        <v>0</v>
      </c>
      <c r="AA208">
        <f t="shared" si="26"/>
        <v>0</v>
      </c>
    </row>
    <row r="209" spans="1:27" x14ac:dyDescent="0.4">
      <c r="A209">
        <v>208</v>
      </c>
      <c r="B209">
        <v>3</v>
      </c>
      <c r="C209" t="s">
        <v>446</v>
      </c>
      <c r="D209" t="s">
        <v>13</v>
      </c>
      <c r="E209">
        <v>26</v>
      </c>
      <c r="F209">
        <v>0</v>
      </c>
      <c r="G209">
        <v>0</v>
      </c>
      <c r="H209" t="s">
        <v>447</v>
      </c>
      <c r="I209">
        <v>18.787500000000001</v>
      </c>
      <c r="J209" t="s">
        <v>15</v>
      </c>
      <c r="K209" t="s">
        <v>21</v>
      </c>
      <c r="L209">
        <v>1</v>
      </c>
      <c r="R209">
        <f t="shared" si="23"/>
        <v>26</v>
      </c>
      <c r="S209" t="str">
        <f t="shared" si="24"/>
        <v>C</v>
      </c>
      <c r="U209">
        <f t="shared" si="25"/>
        <v>0</v>
      </c>
      <c r="V209">
        <f t="shared" si="27"/>
        <v>0</v>
      </c>
      <c r="W209">
        <f t="shared" si="27"/>
        <v>0</v>
      </c>
      <c r="X209">
        <f t="shared" si="27"/>
        <v>1</v>
      </c>
      <c r="Y209">
        <f t="shared" si="26"/>
        <v>0</v>
      </c>
      <c r="Z209">
        <f t="shared" si="26"/>
        <v>0</v>
      </c>
      <c r="AA209">
        <f t="shared" si="26"/>
        <v>1</v>
      </c>
    </row>
    <row r="210" spans="1:27" x14ac:dyDescent="0.4">
      <c r="A210">
        <v>209</v>
      </c>
      <c r="B210">
        <v>3</v>
      </c>
      <c r="C210" t="s">
        <v>448</v>
      </c>
      <c r="D210" t="s">
        <v>18</v>
      </c>
      <c r="E210">
        <v>16</v>
      </c>
      <c r="F210">
        <v>0</v>
      </c>
      <c r="G210">
        <v>0</v>
      </c>
      <c r="H210" t="s">
        <v>449</v>
      </c>
      <c r="I210">
        <v>7.75</v>
      </c>
      <c r="J210" t="s">
        <v>15</v>
      </c>
      <c r="K210" t="s">
        <v>31</v>
      </c>
      <c r="L210">
        <v>1</v>
      </c>
      <c r="R210">
        <f t="shared" si="23"/>
        <v>16</v>
      </c>
      <c r="S210" t="str">
        <f t="shared" si="24"/>
        <v>Q</v>
      </c>
      <c r="U210">
        <f t="shared" si="25"/>
        <v>1</v>
      </c>
      <c r="V210">
        <f t="shared" si="27"/>
        <v>0</v>
      </c>
      <c r="W210">
        <f t="shared" si="27"/>
        <v>0</v>
      </c>
      <c r="X210">
        <f t="shared" si="27"/>
        <v>1</v>
      </c>
      <c r="Y210">
        <f t="shared" si="26"/>
        <v>0</v>
      </c>
      <c r="Z210">
        <f t="shared" si="26"/>
        <v>1</v>
      </c>
      <c r="AA210">
        <f t="shared" si="26"/>
        <v>0</v>
      </c>
    </row>
    <row r="211" spans="1:27" x14ac:dyDescent="0.4">
      <c r="A211">
        <v>210</v>
      </c>
      <c r="B211">
        <v>1</v>
      </c>
      <c r="C211" t="s">
        <v>450</v>
      </c>
      <c r="D211" t="s">
        <v>13</v>
      </c>
      <c r="E211">
        <v>40</v>
      </c>
      <c r="F211">
        <v>0</v>
      </c>
      <c r="G211">
        <v>0</v>
      </c>
      <c r="H211" t="s">
        <v>451</v>
      </c>
      <c r="I211">
        <v>31</v>
      </c>
      <c r="J211" t="s">
        <v>452</v>
      </c>
      <c r="K211" t="s">
        <v>21</v>
      </c>
      <c r="L211">
        <v>1</v>
      </c>
      <c r="R211">
        <f t="shared" si="23"/>
        <v>40</v>
      </c>
      <c r="S211" t="str">
        <f t="shared" si="24"/>
        <v>C</v>
      </c>
      <c r="U211">
        <f t="shared" si="25"/>
        <v>0</v>
      </c>
      <c r="V211">
        <f t="shared" si="27"/>
        <v>1</v>
      </c>
      <c r="W211">
        <f t="shared" si="27"/>
        <v>0</v>
      </c>
      <c r="X211">
        <f t="shared" si="27"/>
        <v>0</v>
      </c>
      <c r="Y211">
        <f t="shared" si="26"/>
        <v>0</v>
      </c>
      <c r="Z211">
        <f t="shared" si="26"/>
        <v>0</v>
      </c>
      <c r="AA211">
        <f t="shared" si="26"/>
        <v>1</v>
      </c>
    </row>
    <row r="212" spans="1:27" x14ac:dyDescent="0.4">
      <c r="A212">
        <v>211</v>
      </c>
      <c r="B212">
        <v>3</v>
      </c>
      <c r="C212" t="s">
        <v>453</v>
      </c>
      <c r="D212" t="s">
        <v>13</v>
      </c>
      <c r="E212">
        <v>24</v>
      </c>
      <c r="F212">
        <v>0</v>
      </c>
      <c r="G212">
        <v>0</v>
      </c>
      <c r="H212" t="s">
        <v>454</v>
      </c>
      <c r="I212">
        <v>7.05</v>
      </c>
      <c r="J212" t="s">
        <v>15</v>
      </c>
      <c r="K212" t="s">
        <v>16</v>
      </c>
      <c r="L212">
        <v>0</v>
      </c>
      <c r="R212">
        <f t="shared" si="23"/>
        <v>24</v>
      </c>
      <c r="S212" t="str">
        <f t="shared" si="24"/>
        <v>S</v>
      </c>
      <c r="U212">
        <f t="shared" si="25"/>
        <v>0</v>
      </c>
      <c r="V212">
        <f t="shared" si="27"/>
        <v>0</v>
      </c>
      <c r="W212">
        <f t="shared" si="27"/>
        <v>0</v>
      </c>
      <c r="X212">
        <f t="shared" si="27"/>
        <v>1</v>
      </c>
      <c r="Y212">
        <f t="shared" si="26"/>
        <v>1</v>
      </c>
      <c r="Z212">
        <f t="shared" si="26"/>
        <v>0</v>
      </c>
      <c r="AA212">
        <f t="shared" si="26"/>
        <v>0</v>
      </c>
    </row>
    <row r="213" spans="1:27" x14ac:dyDescent="0.4">
      <c r="A213">
        <v>212</v>
      </c>
      <c r="B213">
        <v>2</v>
      </c>
      <c r="C213" t="s">
        <v>455</v>
      </c>
      <c r="D213" t="s">
        <v>18</v>
      </c>
      <c r="E213">
        <v>35</v>
      </c>
      <c r="F213">
        <v>0</v>
      </c>
      <c r="G213">
        <v>0</v>
      </c>
      <c r="H213" t="s">
        <v>456</v>
      </c>
      <c r="I213">
        <v>21</v>
      </c>
      <c r="J213" t="s">
        <v>15</v>
      </c>
      <c r="K213" t="s">
        <v>16</v>
      </c>
      <c r="L213">
        <v>1</v>
      </c>
      <c r="R213">
        <f t="shared" si="23"/>
        <v>35</v>
      </c>
      <c r="S213" t="str">
        <f t="shared" si="24"/>
        <v>S</v>
      </c>
      <c r="U213">
        <f t="shared" si="25"/>
        <v>1</v>
      </c>
      <c r="V213">
        <f t="shared" si="27"/>
        <v>0</v>
      </c>
      <c r="W213">
        <f t="shared" si="27"/>
        <v>1</v>
      </c>
      <c r="X213">
        <f t="shared" si="27"/>
        <v>0</v>
      </c>
      <c r="Y213">
        <f t="shared" si="26"/>
        <v>1</v>
      </c>
      <c r="Z213">
        <f t="shared" si="26"/>
        <v>0</v>
      </c>
      <c r="AA213">
        <f t="shared" si="26"/>
        <v>0</v>
      </c>
    </row>
    <row r="214" spans="1:27" x14ac:dyDescent="0.4">
      <c r="A214">
        <v>213</v>
      </c>
      <c r="B214">
        <v>3</v>
      </c>
      <c r="C214" t="s">
        <v>457</v>
      </c>
      <c r="D214" t="s">
        <v>13</v>
      </c>
      <c r="E214">
        <v>22</v>
      </c>
      <c r="F214">
        <v>0</v>
      </c>
      <c r="G214">
        <v>0</v>
      </c>
      <c r="H214" t="s">
        <v>458</v>
      </c>
      <c r="I214">
        <v>7.25</v>
      </c>
      <c r="J214" t="s">
        <v>15</v>
      </c>
      <c r="K214" t="s">
        <v>16</v>
      </c>
      <c r="L214">
        <v>0</v>
      </c>
      <c r="R214">
        <f t="shared" si="23"/>
        <v>22</v>
      </c>
      <c r="S214" t="str">
        <f t="shared" si="24"/>
        <v>S</v>
      </c>
      <c r="U214">
        <f t="shared" si="25"/>
        <v>0</v>
      </c>
      <c r="V214">
        <f t="shared" si="27"/>
        <v>0</v>
      </c>
      <c r="W214">
        <f t="shared" si="27"/>
        <v>0</v>
      </c>
      <c r="X214">
        <f t="shared" si="27"/>
        <v>1</v>
      </c>
      <c r="Y214">
        <f t="shared" si="26"/>
        <v>1</v>
      </c>
      <c r="Z214">
        <f t="shared" si="26"/>
        <v>0</v>
      </c>
      <c r="AA214">
        <f t="shared" si="26"/>
        <v>0</v>
      </c>
    </row>
    <row r="215" spans="1:27" x14ac:dyDescent="0.4">
      <c r="A215">
        <v>214</v>
      </c>
      <c r="B215">
        <v>2</v>
      </c>
      <c r="C215" t="s">
        <v>459</v>
      </c>
      <c r="D215" t="s">
        <v>13</v>
      </c>
      <c r="E215">
        <v>30</v>
      </c>
      <c r="F215">
        <v>0</v>
      </c>
      <c r="G215">
        <v>0</v>
      </c>
      <c r="H215" t="s">
        <v>460</v>
      </c>
      <c r="I215">
        <v>13</v>
      </c>
      <c r="J215" t="s">
        <v>15</v>
      </c>
      <c r="K215" t="s">
        <v>16</v>
      </c>
      <c r="L215">
        <v>0</v>
      </c>
      <c r="R215">
        <f t="shared" si="23"/>
        <v>30</v>
      </c>
      <c r="S215" t="str">
        <f t="shared" si="24"/>
        <v>S</v>
      </c>
      <c r="U215">
        <f t="shared" si="25"/>
        <v>0</v>
      </c>
      <c r="V215">
        <f t="shared" si="27"/>
        <v>0</v>
      </c>
      <c r="W215">
        <f t="shared" si="27"/>
        <v>1</v>
      </c>
      <c r="X215">
        <f t="shared" si="27"/>
        <v>0</v>
      </c>
      <c r="Y215">
        <f t="shared" si="26"/>
        <v>1</v>
      </c>
      <c r="Z215">
        <f t="shared" si="26"/>
        <v>0</v>
      </c>
      <c r="AA215">
        <f t="shared" si="26"/>
        <v>0</v>
      </c>
    </row>
    <row r="216" spans="1:27" x14ac:dyDescent="0.4">
      <c r="A216">
        <v>215</v>
      </c>
      <c r="B216">
        <v>3</v>
      </c>
      <c r="C216" t="s">
        <v>461</v>
      </c>
      <c r="D216" t="s">
        <v>13</v>
      </c>
      <c r="F216">
        <v>1</v>
      </c>
      <c r="G216">
        <v>0</v>
      </c>
      <c r="H216" t="s">
        <v>462</v>
      </c>
      <c r="I216">
        <v>7.75</v>
      </c>
      <c r="J216" t="s">
        <v>15</v>
      </c>
      <c r="K216" t="s">
        <v>31</v>
      </c>
      <c r="L216">
        <v>0</v>
      </c>
      <c r="R216">
        <f t="shared" si="23"/>
        <v>28</v>
      </c>
      <c r="S216" t="str">
        <f t="shared" si="24"/>
        <v>Q</v>
      </c>
      <c r="U216">
        <f t="shared" si="25"/>
        <v>0</v>
      </c>
      <c r="V216">
        <f t="shared" si="27"/>
        <v>0</v>
      </c>
      <c r="W216">
        <f t="shared" si="27"/>
        <v>0</v>
      </c>
      <c r="X216">
        <f t="shared" si="27"/>
        <v>1</v>
      </c>
      <c r="Y216">
        <f t="shared" si="26"/>
        <v>0</v>
      </c>
      <c r="Z216">
        <f t="shared" si="26"/>
        <v>1</v>
      </c>
      <c r="AA216">
        <f t="shared" si="26"/>
        <v>0</v>
      </c>
    </row>
    <row r="217" spans="1:27" x14ac:dyDescent="0.4">
      <c r="A217">
        <v>216</v>
      </c>
      <c r="B217">
        <v>1</v>
      </c>
      <c r="C217" t="s">
        <v>463</v>
      </c>
      <c r="D217" t="s">
        <v>18</v>
      </c>
      <c r="E217">
        <v>31</v>
      </c>
      <c r="F217">
        <v>1</v>
      </c>
      <c r="G217">
        <v>0</v>
      </c>
      <c r="H217" t="s">
        <v>464</v>
      </c>
      <c r="I217">
        <v>113.27500000000001</v>
      </c>
      <c r="J217" t="s">
        <v>465</v>
      </c>
      <c r="K217" t="s">
        <v>21</v>
      </c>
      <c r="L217">
        <v>1</v>
      </c>
      <c r="R217">
        <f t="shared" si="23"/>
        <v>31</v>
      </c>
      <c r="S217" t="str">
        <f t="shared" si="24"/>
        <v>C</v>
      </c>
      <c r="U217">
        <f t="shared" si="25"/>
        <v>1</v>
      </c>
      <c r="V217">
        <f t="shared" si="27"/>
        <v>1</v>
      </c>
      <c r="W217">
        <f t="shared" si="27"/>
        <v>0</v>
      </c>
      <c r="X217">
        <f t="shared" si="27"/>
        <v>0</v>
      </c>
      <c r="Y217">
        <f t="shared" si="26"/>
        <v>0</v>
      </c>
      <c r="Z217">
        <f t="shared" si="26"/>
        <v>0</v>
      </c>
      <c r="AA217">
        <f t="shared" si="26"/>
        <v>1</v>
      </c>
    </row>
    <row r="218" spans="1:27" x14ac:dyDescent="0.4">
      <c r="A218">
        <v>217</v>
      </c>
      <c r="B218">
        <v>3</v>
      </c>
      <c r="C218" t="s">
        <v>466</v>
      </c>
      <c r="D218" t="s">
        <v>18</v>
      </c>
      <c r="E218">
        <v>27</v>
      </c>
      <c r="F218">
        <v>0</v>
      </c>
      <c r="G218">
        <v>0</v>
      </c>
      <c r="H218" t="s">
        <v>467</v>
      </c>
      <c r="I218">
        <v>7.9249999999999998</v>
      </c>
      <c r="J218" t="s">
        <v>15</v>
      </c>
      <c r="K218" t="s">
        <v>16</v>
      </c>
      <c r="L218">
        <v>1</v>
      </c>
      <c r="R218">
        <f t="shared" si="23"/>
        <v>27</v>
      </c>
      <c r="S218" t="str">
        <f t="shared" si="24"/>
        <v>S</v>
      </c>
      <c r="U218">
        <f t="shared" si="25"/>
        <v>1</v>
      </c>
      <c r="V218">
        <f t="shared" si="27"/>
        <v>0</v>
      </c>
      <c r="W218">
        <f t="shared" si="27"/>
        <v>0</v>
      </c>
      <c r="X218">
        <f t="shared" si="27"/>
        <v>1</v>
      </c>
      <c r="Y218">
        <f t="shared" si="26"/>
        <v>1</v>
      </c>
      <c r="Z218">
        <f t="shared" si="26"/>
        <v>0</v>
      </c>
      <c r="AA218">
        <f t="shared" si="26"/>
        <v>0</v>
      </c>
    </row>
    <row r="219" spans="1:27" x14ac:dyDescent="0.4">
      <c r="A219">
        <v>218</v>
      </c>
      <c r="B219">
        <v>2</v>
      </c>
      <c r="C219" t="s">
        <v>468</v>
      </c>
      <c r="D219" t="s">
        <v>13</v>
      </c>
      <c r="E219">
        <v>42</v>
      </c>
      <c r="F219">
        <v>1</v>
      </c>
      <c r="G219">
        <v>0</v>
      </c>
      <c r="H219" t="s">
        <v>469</v>
      </c>
      <c r="I219">
        <v>27</v>
      </c>
      <c r="J219" t="s">
        <v>15</v>
      </c>
      <c r="K219" t="s">
        <v>16</v>
      </c>
      <c r="L219">
        <v>0</v>
      </c>
      <c r="R219">
        <f t="shared" si="23"/>
        <v>42</v>
      </c>
      <c r="S219" t="str">
        <f t="shared" si="24"/>
        <v>S</v>
      </c>
      <c r="U219">
        <f t="shared" si="25"/>
        <v>0</v>
      </c>
      <c r="V219">
        <f t="shared" si="27"/>
        <v>0</v>
      </c>
      <c r="W219">
        <f t="shared" si="27"/>
        <v>1</v>
      </c>
      <c r="X219">
        <f t="shared" si="27"/>
        <v>0</v>
      </c>
      <c r="Y219">
        <f t="shared" si="26"/>
        <v>1</v>
      </c>
      <c r="Z219">
        <f t="shared" si="26"/>
        <v>0</v>
      </c>
      <c r="AA219">
        <f t="shared" si="26"/>
        <v>0</v>
      </c>
    </row>
    <row r="220" spans="1:27" x14ac:dyDescent="0.4">
      <c r="A220">
        <v>219</v>
      </c>
      <c r="B220">
        <v>1</v>
      </c>
      <c r="C220" t="s">
        <v>470</v>
      </c>
      <c r="D220" t="s">
        <v>18</v>
      </c>
      <c r="E220">
        <v>32</v>
      </c>
      <c r="F220">
        <v>0</v>
      </c>
      <c r="G220">
        <v>0</v>
      </c>
      <c r="H220" t="s">
        <v>471</v>
      </c>
      <c r="I220">
        <v>76.291700000000006</v>
      </c>
      <c r="J220" t="s">
        <v>472</v>
      </c>
      <c r="K220" t="s">
        <v>21</v>
      </c>
      <c r="L220">
        <v>1</v>
      </c>
      <c r="R220">
        <f t="shared" si="23"/>
        <v>32</v>
      </c>
      <c r="S220" t="str">
        <f t="shared" si="24"/>
        <v>C</v>
      </c>
      <c r="U220">
        <f t="shared" si="25"/>
        <v>1</v>
      </c>
      <c r="V220">
        <f t="shared" si="27"/>
        <v>1</v>
      </c>
      <c r="W220">
        <f t="shared" si="27"/>
        <v>0</v>
      </c>
      <c r="X220">
        <f t="shared" si="27"/>
        <v>0</v>
      </c>
      <c r="Y220">
        <f t="shared" si="26"/>
        <v>0</v>
      </c>
      <c r="Z220">
        <f t="shared" si="26"/>
        <v>0</v>
      </c>
      <c r="AA220">
        <f t="shared" si="26"/>
        <v>1</v>
      </c>
    </row>
    <row r="221" spans="1:27" x14ac:dyDescent="0.4">
      <c r="A221">
        <v>220</v>
      </c>
      <c r="B221">
        <v>2</v>
      </c>
      <c r="C221" t="s">
        <v>473</v>
      </c>
      <c r="D221" t="s">
        <v>13</v>
      </c>
      <c r="E221">
        <v>30</v>
      </c>
      <c r="F221">
        <v>0</v>
      </c>
      <c r="G221">
        <v>0</v>
      </c>
      <c r="H221" t="s">
        <v>474</v>
      </c>
      <c r="I221">
        <v>10.5</v>
      </c>
      <c r="J221" t="s">
        <v>15</v>
      </c>
      <c r="K221" t="s">
        <v>16</v>
      </c>
      <c r="L221">
        <v>0</v>
      </c>
      <c r="R221">
        <f t="shared" si="23"/>
        <v>30</v>
      </c>
      <c r="S221" t="str">
        <f t="shared" si="24"/>
        <v>S</v>
      </c>
      <c r="U221">
        <f t="shared" si="25"/>
        <v>0</v>
      </c>
      <c r="V221">
        <f t="shared" si="27"/>
        <v>0</v>
      </c>
      <c r="W221">
        <f t="shared" si="27"/>
        <v>1</v>
      </c>
      <c r="X221">
        <f t="shared" si="27"/>
        <v>0</v>
      </c>
      <c r="Y221">
        <f t="shared" si="26"/>
        <v>1</v>
      </c>
      <c r="Z221">
        <f t="shared" si="26"/>
        <v>0</v>
      </c>
      <c r="AA221">
        <f t="shared" si="26"/>
        <v>0</v>
      </c>
    </row>
    <row r="222" spans="1:27" x14ac:dyDescent="0.4">
      <c r="A222">
        <v>221</v>
      </c>
      <c r="B222">
        <v>3</v>
      </c>
      <c r="C222" t="s">
        <v>475</v>
      </c>
      <c r="D222" t="s">
        <v>13</v>
      </c>
      <c r="E222">
        <v>16</v>
      </c>
      <c r="F222">
        <v>0</v>
      </c>
      <c r="G222">
        <v>0</v>
      </c>
      <c r="H222" t="s">
        <v>476</v>
      </c>
      <c r="I222">
        <v>8.0500000000000007</v>
      </c>
      <c r="J222" t="s">
        <v>15</v>
      </c>
      <c r="K222" t="s">
        <v>16</v>
      </c>
      <c r="L222">
        <v>1</v>
      </c>
      <c r="R222">
        <f t="shared" si="23"/>
        <v>16</v>
      </c>
      <c r="S222" t="str">
        <f t="shared" si="24"/>
        <v>S</v>
      </c>
      <c r="U222">
        <f t="shared" si="25"/>
        <v>0</v>
      </c>
      <c r="V222">
        <f t="shared" ref="V222:X241" si="28">IF("Pclass_"&amp;$B222=V$1,1,0)</f>
        <v>0</v>
      </c>
      <c r="W222">
        <f t="shared" si="28"/>
        <v>0</v>
      </c>
      <c r="X222">
        <f t="shared" si="28"/>
        <v>1</v>
      </c>
      <c r="Y222">
        <f t="shared" si="26"/>
        <v>1</v>
      </c>
      <c r="Z222">
        <f t="shared" si="26"/>
        <v>0</v>
      </c>
      <c r="AA222">
        <f t="shared" si="26"/>
        <v>0</v>
      </c>
    </row>
    <row r="223" spans="1:27" x14ac:dyDescent="0.4">
      <c r="A223">
        <v>222</v>
      </c>
      <c r="B223">
        <v>2</v>
      </c>
      <c r="C223" t="s">
        <v>477</v>
      </c>
      <c r="D223" t="s">
        <v>13</v>
      </c>
      <c r="E223">
        <v>27</v>
      </c>
      <c r="F223">
        <v>0</v>
      </c>
      <c r="G223">
        <v>0</v>
      </c>
      <c r="H223" t="s">
        <v>478</v>
      </c>
      <c r="I223">
        <v>13</v>
      </c>
      <c r="J223" t="s">
        <v>15</v>
      </c>
      <c r="K223" t="s">
        <v>16</v>
      </c>
      <c r="L223">
        <v>0</v>
      </c>
      <c r="R223">
        <f t="shared" si="23"/>
        <v>27</v>
      </c>
      <c r="S223" t="str">
        <f t="shared" si="24"/>
        <v>S</v>
      </c>
      <c r="U223">
        <f t="shared" si="25"/>
        <v>0</v>
      </c>
      <c r="V223">
        <f t="shared" si="28"/>
        <v>0</v>
      </c>
      <c r="W223">
        <f t="shared" si="28"/>
        <v>1</v>
      </c>
      <c r="X223">
        <f t="shared" si="28"/>
        <v>0</v>
      </c>
      <c r="Y223">
        <f t="shared" si="26"/>
        <v>1</v>
      </c>
      <c r="Z223">
        <f t="shared" si="26"/>
        <v>0</v>
      </c>
      <c r="AA223">
        <f t="shared" si="26"/>
        <v>0</v>
      </c>
    </row>
    <row r="224" spans="1:27" x14ac:dyDescent="0.4">
      <c r="A224">
        <v>223</v>
      </c>
      <c r="B224">
        <v>3</v>
      </c>
      <c r="C224" t="s">
        <v>479</v>
      </c>
      <c r="D224" t="s">
        <v>13</v>
      </c>
      <c r="E224">
        <v>51</v>
      </c>
      <c r="F224">
        <v>0</v>
      </c>
      <c r="G224">
        <v>0</v>
      </c>
      <c r="H224" t="s">
        <v>480</v>
      </c>
      <c r="I224">
        <v>8.0500000000000007</v>
      </c>
      <c r="J224" t="s">
        <v>15</v>
      </c>
      <c r="K224" t="s">
        <v>16</v>
      </c>
      <c r="L224">
        <v>0</v>
      </c>
      <c r="R224">
        <f t="shared" si="23"/>
        <v>51</v>
      </c>
      <c r="S224" t="str">
        <f t="shared" si="24"/>
        <v>S</v>
      </c>
      <c r="U224">
        <f t="shared" si="25"/>
        <v>0</v>
      </c>
      <c r="V224">
        <f t="shared" si="28"/>
        <v>0</v>
      </c>
      <c r="W224">
        <f t="shared" si="28"/>
        <v>0</v>
      </c>
      <c r="X224">
        <f t="shared" si="28"/>
        <v>1</v>
      </c>
      <c r="Y224">
        <f t="shared" si="26"/>
        <v>1</v>
      </c>
      <c r="Z224">
        <f t="shared" si="26"/>
        <v>0</v>
      </c>
      <c r="AA224">
        <f t="shared" si="26"/>
        <v>0</v>
      </c>
    </row>
    <row r="225" spans="1:27" x14ac:dyDescent="0.4">
      <c r="A225">
        <v>224</v>
      </c>
      <c r="B225">
        <v>3</v>
      </c>
      <c r="C225" t="s">
        <v>481</v>
      </c>
      <c r="D225" t="s">
        <v>13</v>
      </c>
      <c r="F225">
        <v>0</v>
      </c>
      <c r="G225">
        <v>0</v>
      </c>
      <c r="H225" t="s">
        <v>482</v>
      </c>
      <c r="I225">
        <v>7.8958000000000004</v>
      </c>
      <c r="J225" t="s">
        <v>15</v>
      </c>
      <c r="K225" t="s">
        <v>16</v>
      </c>
      <c r="L225">
        <v>0</v>
      </c>
      <c r="R225">
        <f t="shared" si="23"/>
        <v>28</v>
      </c>
      <c r="S225" t="str">
        <f t="shared" si="24"/>
        <v>S</v>
      </c>
      <c r="U225">
        <f t="shared" si="25"/>
        <v>0</v>
      </c>
      <c r="V225">
        <f t="shared" si="28"/>
        <v>0</v>
      </c>
      <c r="W225">
        <f t="shared" si="28"/>
        <v>0</v>
      </c>
      <c r="X225">
        <f t="shared" si="28"/>
        <v>1</v>
      </c>
      <c r="Y225">
        <f t="shared" si="26"/>
        <v>1</v>
      </c>
      <c r="Z225">
        <f t="shared" si="26"/>
        <v>0</v>
      </c>
      <c r="AA225">
        <f t="shared" si="26"/>
        <v>0</v>
      </c>
    </row>
    <row r="226" spans="1:27" x14ac:dyDescent="0.4">
      <c r="A226">
        <v>225</v>
      </c>
      <c r="B226">
        <v>1</v>
      </c>
      <c r="C226" t="s">
        <v>483</v>
      </c>
      <c r="D226" t="s">
        <v>13</v>
      </c>
      <c r="E226">
        <v>38</v>
      </c>
      <c r="F226">
        <v>1</v>
      </c>
      <c r="G226">
        <v>0</v>
      </c>
      <c r="H226" t="s">
        <v>484</v>
      </c>
      <c r="I226">
        <v>90</v>
      </c>
      <c r="J226" t="s">
        <v>485</v>
      </c>
      <c r="K226" t="s">
        <v>16</v>
      </c>
      <c r="L226">
        <v>1</v>
      </c>
      <c r="R226">
        <f t="shared" si="23"/>
        <v>38</v>
      </c>
      <c r="S226" t="str">
        <f t="shared" si="24"/>
        <v>S</v>
      </c>
      <c r="U226">
        <f t="shared" si="25"/>
        <v>0</v>
      </c>
      <c r="V226">
        <f t="shared" si="28"/>
        <v>1</v>
      </c>
      <c r="W226">
        <f t="shared" si="28"/>
        <v>0</v>
      </c>
      <c r="X226">
        <f t="shared" si="28"/>
        <v>0</v>
      </c>
      <c r="Y226">
        <f t="shared" si="26"/>
        <v>1</v>
      </c>
      <c r="Z226">
        <f t="shared" si="26"/>
        <v>0</v>
      </c>
      <c r="AA226">
        <f t="shared" si="26"/>
        <v>0</v>
      </c>
    </row>
    <row r="227" spans="1:27" x14ac:dyDescent="0.4">
      <c r="A227">
        <v>226</v>
      </c>
      <c r="B227">
        <v>3</v>
      </c>
      <c r="C227" t="s">
        <v>486</v>
      </c>
      <c r="D227" t="s">
        <v>13</v>
      </c>
      <c r="E227">
        <v>22</v>
      </c>
      <c r="F227">
        <v>0</v>
      </c>
      <c r="G227">
        <v>0</v>
      </c>
      <c r="H227" t="s">
        <v>487</v>
      </c>
      <c r="I227">
        <v>9.35</v>
      </c>
      <c r="J227" t="s">
        <v>15</v>
      </c>
      <c r="K227" t="s">
        <v>16</v>
      </c>
      <c r="L227">
        <v>0</v>
      </c>
      <c r="R227">
        <f t="shared" si="23"/>
        <v>22</v>
      </c>
      <c r="S227" t="str">
        <f t="shared" si="24"/>
        <v>S</v>
      </c>
      <c r="U227">
        <f t="shared" si="25"/>
        <v>0</v>
      </c>
      <c r="V227">
        <f t="shared" si="28"/>
        <v>0</v>
      </c>
      <c r="W227">
        <f t="shared" si="28"/>
        <v>0</v>
      </c>
      <c r="X227">
        <f t="shared" si="28"/>
        <v>1</v>
      </c>
      <c r="Y227">
        <f t="shared" si="26"/>
        <v>1</v>
      </c>
      <c r="Z227">
        <f t="shared" si="26"/>
        <v>0</v>
      </c>
      <c r="AA227">
        <f t="shared" si="26"/>
        <v>0</v>
      </c>
    </row>
    <row r="228" spans="1:27" x14ac:dyDescent="0.4">
      <c r="A228">
        <v>227</v>
      </c>
      <c r="B228">
        <v>2</v>
      </c>
      <c r="C228" t="s">
        <v>488</v>
      </c>
      <c r="D228" t="s">
        <v>13</v>
      </c>
      <c r="E228">
        <v>19</v>
      </c>
      <c r="F228">
        <v>0</v>
      </c>
      <c r="G228">
        <v>0</v>
      </c>
      <c r="H228" t="s">
        <v>489</v>
      </c>
      <c r="I228">
        <v>10.5</v>
      </c>
      <c r="J228" t="s">
        <v>15</v>
      </c>
      <c r="K228" t="s">
        <v>16</v>
      </c>
      <c r="L228">
        <v>1</v>
      </c>
      <c r="R228">
        <f t="shared" si="23"/>
        <v>19</v>
      </c>
      <c r="S228" t="str">
        <f t="shared" si="24"/>
        <v>S</v>
      </c>
      <c r="U228">
        <f t="shared" si="25"/>
        <v>0</v>
      </c>
      <c r="V228">
        <f t="shared" si="28"/>
        <v>0</v>
      </c>
      <c r="W228">
        <f t="shared" si="28"/>
        <v>1</v>
      </c>
      <c r="X228">
        <f t="shared" si="28"/>
        <v>0</v>
      </c>
      <c r="Y228">
        <f t="shared" si="26"/>
        <v>1</v>
      </c>
      <c r="Z228">
        <f t="shared" si="26"/>
        <v>0</v>
      </c>
      <c r="AA228">
        <f t="shared" si="26"/>
        <v>0</v>
      </c>
    </row>
    <row r="229" spans="1:27" x14ac:dyDescent="0.4">
      <c r="A229">
        <v>228</v>
      </c>
      <c r="B229">
        <v>3</v>
      </c>
      <c r="C229" t="s">
        <v>490</v>
      </c>
      <c r="D229" t="s">
        <v>13</v>
      </c>
      <c r="E229">
        <v>20.5</v>
      </c>
      <c r="F229">
        <v>0</v>
      </c>
      <c r="G229">
        <v>0</v>
      </c>
      <c r="H229" t="s">
        <v>491</v>
      </c>
      <c r="I229">
        <v>7.25</v>
      </c>
      <c r="J229" t="s">
        <v>15</v>
      </c>
      <c r="K229" t="s">
        <v>16</v>
      </c>
      <c r="L229">
        <v>0</v>
      </c>
      <c r="R229">
        <f t="shared" si="23"/>
        <v>20.5</v>
      </c>
      <c r="S229" t="str">
        <f t="shared" si="24"/>
        <v>S</v>
      </c>
      <c r="U229">
        <f t="shared" si="25"/>
        <v>0</v>
      </c>
      <c r="V229">
        <f t="shared" si="28"/>
        <v>0</v>
      </c>
      <c r="W229">
        <f t="shared" si="28"/>
        <v>0</v>
      </c>
      <c r="X229">
        <f t="shared" si="28"/>
        <v>1</v>
      </c>
      <c r="Y229">
        <f t="shared" si="26"/>
        <v>1</v>
      </c>
      <c r="Z229">
        <f t="shared" si="26"/>
        <v>0</v>
      </c>
      <c r="AA229">
        <f t="shared" si="26"/>
        <v>0</v>
      </c>
    </row>
    <row r="230" spans="1:27" x14ac:dyDescent="0.4">
      <c r="A230">
        <v>229</v>
      </c>
      <c r="B230">
        <v>2</v>
      </c>
      <c r="C230" t="s">
        <v>492</v>
      </c>
      <c r="D230" t="s">
        <v>13</v>
      </c>
      <c r="E230">
        <v>18</v>
      </c>
      <c r="F230">
        <v>0</v>
      </c>
      <c r="G230">
        <v>0</v>
      </c>
      <c r="H230" t="s">
        <v>493</v>
      </c>
      <c r="I230">
        <v>13</v>
      </c>
      <c r="J230" t="s">
        <v>15</v>
      </c>
      <c r="K230" t="s">
        <v>16</v>
      </c>
      <c r="L230">
        <v>0</v>
      </c>
      <c r="R230">
        <f t="shared" si="23"/>
        <v>18</v>
      </c>
      <c r="S230" t="str">
        <f t="shared" si="24"/>
        <v>S</v>
      </c>
      <c r="U230">
        <f t="shared" si="25"/>
        <v>0</v>
      </c>
      <c r="V230">
        <f t="shared" si="28"/>
        <v>0</v>
      </c>
      <c r="W230">
        <f t="shared" si="28"/>
        <v>1</v>
      </c>
      <c r="X230">
        <f t="shared" si="28"/>
        <v>0</v>
      </c>
      <c r="Y230">
        <f t="shared" si="26"/>
        <v>1</v>
      </c>
      <c r="Z230">
        <f t="shared" si="26"/>
        <v>0</v>
      </c>
      <c r="AA230">
        <f t="shared" si="26"/>
        <v>0</v>
      </c>
    </row>
    <row r="231" spans="1:27" x14ac:dyDescent="0.4">
      <c r="A231">
        <v>230</v>
      </c>
      <c r="B231">
        <v>3</v>
      </c>
      <c r="C231" t="s">
        <v>494</v>
      </c>
      <c r="D231" t="s">
        <v>18</v>
      </c>
      <c r="F231">
        <v>3</v>
      </c>
      <c r="G231">
        <v>1</v>
      </c>
      <c r="H231" t="s">
        <v>386</v>
      </c>
      <c r="I231">
        <v>25.466699999999999</v>
      </c>
      <c r="J231" t="s">
        <v>15</v>
      </c>
      <c r="K231" t="s">
        <v>16</v>
      </c>
      <c r="L231">
        <v>0</v>
      </c>
      <c r="R231">
        <f t="shared" si="23"/>
        <v>28</v>
      </c>
      <c r="S231" t="str">
        <f t="shared" si="24"/>
        <v>S</v>
      </c>
      <c r="U231">
        <f t="shared" si="25"/>
        <v>1</v>
      </c>
      <c r="V231">
        <f t="shared" si="28"/>
        <v>0</v>
      </c>
      <c r="W231">
        <f t="shared" si="28"/>
        <v>0</v>
      </c>
      <c r="X231">
        <f t="shared" si="28"/>
        <v>1</v>
      </c>
      <c r="Y231">
        <f t="shared" si="26"/>
        <v>1</v>
      </c>
      <c r="Z231">
        <f t="shared" si="26"/>
        <v>0</v>
      </c>
      <c r="AA231">
        <f t="shared" si="26"/>
        <v>0</v>
      </c>
    </row>
    <row r="232" spans="1:27" x14ac:dyDescent="0.4">
      <c r="A232">
        <v>231</v>
      </c>
      <c r="B232">
        <v>1</v>
      </c>
      <c r="C232" t="s">
        <v>495</v>
      </c>
      <c r="D232" t="s">
        <v>18</v>
      </c>
      <c r="E232">
        <v>35</v>
      </c>
      <c r="F232">
        <v>1</v>
      </c>
      <c r="G232">
        <v>0</v>
      </c>
      <c r="H232" t="s">
        <v>155</v>
      </c>
      <c r="I232">
        <v>83.474999999999994</v>
      </c>
      <c r="J232" t="s">
        <v>156</v>
      </c>
      <c r="K232" t="s">
        <v>16</v>
      </c>
      <c r="L232">
        <v>1</v>
      </c>
      <c r="R232">
        <f t="shared" si="23"/>
        <v>35</v>
      </c>
      <c r="S232" t="str">
        <f t="shared" si="24"/>
        <v>S</v>
      </c>
      <c r="U232">
        <f t="shared" si="25"/>
        <v>1</v>
      </c>
      <c r="V232">
        <f t="shared" si="28"/>
        <v>1</v>
      </c>
      <c r="W232">
        <f t="shared" si="28"/>
        <v>0</v>
      </c>
      <c r="X232">
        <f t="shared" si="28"/>
        <v>0</v>
      </c>
      <c r="Y232">
        <f t="shared" si="26"/>
        <v>1</v>
      </c>
      <c r="Z232">
        <f t="shared" si="26"/>
        <v>0</v>
      </c>
      <c r="AA232">
        <f t="shared" si="26"/>
        <v>0</v>
      </c>
    </row>
    <row r="233" spans="1:27" x14ac:dyDescent="0.4">
      <c r="A233">
        <v>232</v>
      </c>
      <c r="B233">
        <v>3</v>
      </c>
      <c r="C233" t="s">
        <v>496</v>
      </c>
      <c r="D233" t="s">
        <v>13</v>
      </c>
      <c r="E233">
        <v>29</v>
      </c>
      <c r="F233">
        <v>0</v>
      </c>
      <c r="G233">
        <v>0</v>
      </c>
      <c r="H233" t="s">
        <v>497</v>
      </c>
      <c r="I233">
        <v>7.7750000000000004</v>
      </c>
      <c r="J233" t="s">
        <v>15</v>
      </c>
      <c r="K233" t="s">
        <v>16</v>
      </c>
      <c r="L233">
        <v>0</v>
      </c>
      <c r="R233">
        <f t="shared" si="23"/>
        <v>29</v>
      </c>
      <c r="S233" t="str">
        <f t="shared" si="24"/>
        <v>S</v>
      </c>
      <c r="U233">
        <f t="shared" si="25"/>
        <v>0</v>
      </c>
      <c r="V233">
        <f t="shared" si="28"/>
        <v>0</v>
      </c>
      <c r="W233">
        <f t="shared" si="28"/>
        <v>0</v>
      </c>
      <c r="X233">
        <f t="shared" si="28"/>
        <v>1</v>
      </c>
      <c r="Y233">
        <f t="shared" si="26"/>
        <v>1</v>
      </c>
      <c r="Z233">
        <f t="shared" si="26"/>
        <v>0</v>
      </c>
      <c r="AA233">
        <f t="shared" si="26"/>
        <v>0</v>
      </c>
    </row>
    <row r="234" spans="1:27" x14ac:dyDescent="0.4">
      <c r="A234">
        <v>233</v>
      </c>
      <c r="B234">
        <v>2</v>
      </c>
      <c r="C234" t="s">
        <v>498</v>
      </c>
      <c r="D234" t="s">
        <v>13</v>
      </c>
      <c r="E234">
        <v>59</v>
      </c>
      <c r="F234">
        <v>0</v>
      </c>
      <c r="G234">
        <v>0</v>
      </c>
      <c r="H234" t="s">
        <v>499</v>
      </c>
      <c r="I234">
        <v>13.5</v>
      </c>
      <c r="J234" t="s">
        <v>15</v>
      </c>
      <c r="K234" t="s">
        <v>16</v>
      </c>
      <c r="L234">
        <v>0</v>
      </c>
      <c r="R234">
        <f t="shared" si="23"/>
        <v>59</v>
      </c>
      <c r="S234" t="str">
        <f t="shared" si="24"/>
        <v>S</v>
      </c>
      <c r="U234">
        <f t="shared" si="25"/>
        <v>0</v>
      </c>
      <c r="V234">
        <f t="shared" si="28"/>
        <v>0</v>
      </c>
      <c r="W234">
        <f t="shared" si="28"/>
        <v>1</v>
      </c>
      <c r="X234">
        <f t="shared" si="28"/>
        <v>0</v>
      </c>
      <c r="Y234">
        <f t="shared" si="26"/>
        <v>1</v>
      </c>
      <c r="Z234">
        <f t="shared" si="26"/>
        <v>0</v>
      </c>
      <c r="AA234">
        <f t="shared" si="26"/>
        <v>0</v>
      </c>
    </row>
    <row r="235" spans="1:27" x14ac:dyDescent="0.4">
      <c r="A235">
        <v>234</v>
      </c>
      <c r="B235">
        <v>3</v>
      </c>
      <c r="C235" t="s">
        <v>500</v>
      </c>
      <c r="D235" t="s">
        <v>18</v>
      </c>
      <c r="E235">
        <v>5</v>
      </c>
      <c r="F235">
        <v>4</v>
      </c>
      <c r="G235">
        <v>2</v>
      </c>
      <c r="H235" t="s">
        <v>75</v>
      </c>
      <c r="I235">
        <v>31.387499999999999</v>
      </c>
      <c r="J235" t="s">
        <v>15</v>
      </c>
      <c r="K235" t="s">
        <v>16</v>
      </c>
      <c r="L235">
        <v>1</v>
      </c>
      <c r="R235">
        <f t="shared" si="23"/>
        <v>5</v>
      </c>
      <c r="S235" t="str">
        <f t="shared" si="24"/>
        <v>S</v>
      </c>
      <c r="U235">
        <f t="shared" si="25"/>
        <v>1</v>
      </c>
      <c r="V235">
        <f t="shared" si="28"/>
        <v>0</v>
      </c>
      <c r="W235">
        <f t="shared" si="28"/>
        <v>0</v>
      </c>
      <c r="X235">
        <f t="shared" si="28"/>
        <v>1</v>
      </c>
      <c r="Y235">
        <f t="shared" si="26"/>
        <v>1</v>
      </c>
      <c r="Z235">
        <f t="shared" si="26"/>
        <v>0</v>
      </c>
      <c r="AA235">
        <f t="shared" si="26"/>
        <v>0</v>
      </c>
    </row>
    <row r="236" spans="1:27" x14ac:dyDescent="0.4">
      <c r="A236">
        <v>235</v>
      </c>
      <c r="B236">
        <v>2</v>
      </c>
      <c r="C236" t="s">
        <v>501</v>
      </c>
      <c r="D236" t="s">
        <v>13</v>
      </c>
      <c r="E236">
        <v>24</v>
      </c>
      <c r="F236">
        <v>0</v>
      </c>
      <c r="G236">
        <v>0</v>
      </c>
      <c r="H236" t="s">
        <v>502</v>
      </c>
      <c r="I236">
        <v>10.5</v>
      </c>
      <c r="J236" t="s">
        <v>15</v>
      </c>
      <c r="K236" t="s">
        <v>16</v>
      </c>
      <c r="L236">
        <v>0</v>
      </c>
      <c r="R236">
        <f t="shared" si="23"/>
        <v>24</v>
      </c>
      <c r="S236" t="str">
        <f t="shared" si="24"/>
        <v>S</v>
      </c>
      <c r="U236">
        <f t="shared" si="25"/>
        <v>0</v>
      </c>
      <c r="V236">
        <f t="shared" si="28"/>
        <v>0</v>
      </c>
      <c r="W236">
        <f t="shared" si="28"/>
        <v>1</v>
      </c>
      <c r="X236">
        <f t="shared" si="28"/>
        <v>0</v>
      </c>
      <c r="Y236">
        <f t="shared" si="26"/>
        <v>1</v>
      </c>
      <c r="Z236">
        <f t="shared" si="26"/>
        <v>0</v>
      </c>
      <c r="AA236">
        <f t="shared" si="26"/>
        <v>0</v>
      </c>
    </row>
    <row r="237" spans="1:27" x14ac:dyDescent="0.4">
      <c r="A237">
        <v>236</v>
      </c>
      <c r="B237">
        <v>3</v>
      </c>
      <c r="C237" t="s">
        <v>503</v>
      </c>
      <c r="D237" t="s">
        <v>18</v>
      </c>
      <c r="F237">
        <v>0</v>
      </c>
      <c r="G237">
        <v>0</v>
      </c>
      <c r="H237" t="s">
        <v>504</v>
      </c>
      <c r="I237">
        <v>7.55</v>
      </c>
      <c r="J237" t="s">
        <v>15</v>
      </c>
      <c r="K237" t="s">
        <v>16</v>
      </c>
      <c r="L237">
        <v>0</v>
      </c>
      <c r="R237">
        <f t="shared" si="23"/>
        <v>28</v>
      </c>
      <c r="S237" t="str">
        <f t="shared" si="24"/>
        <v>S</v>
      </c>
      <c r="U237">
        <f t="shared" si="25"/>
        <v>1</v>
      </c>
      <c r="V237">
        <f t="shared" si="28"/>
        <v>0</v>
      </c>
      <c r="W237">
        <f t="shared" si="28"/>
        <v>0</v>
      </c>
      <c r="X237">
        <f t="shared" si="28"/>
        <v>1</v>
      </c>
      <c r="Y237">
        <f t="shared" si="26"/>
        <v>1</v>
      </c>
      <c r="Z237">
        <f t="shared" si="26"/>
        <v>0</v>
      </c>
      <c r="AA237">
        <f t="shared" si="26"/>
        <v>0</v>
      </c>
    </row>
    <row r="238" spans="1:27" x14ac:dyDescent="0.4">
      <c r="A238">
        <v>237</v>
      </c>
      <c r="B238">
        <v>2</v>
      </c>
      <c r="C238" t="s">
        <v>505</v>
      </c>
      <c r="D238" t="s">
        <v>13</v>
      </c>
      <c r="E238">
        <v>44</v>
      </c>
      <c r="F238">
        <v>1</v>
      </c>
      <c r="G238">
        <v>0</v>
      </c>
      <c r="H238" t="s">
        <v>506</v>
      </c>
      <c r="I238">
        <v>26</v>
      </c>
      <c r="J238" t="s">
        <v>15</v>
      </c>
      <c r="K238" t="s">
        <v>16</v>
      </c>
      <c r="L238">
        <v>0</v>
      </c>
      <c r="R238">
        <f t="shared" si="23"/>
        <v>44</v>
      </c>
      <c r="S238" t="str">
        <f t="shared" si="24"/>
        <v>S</v>
      </c>
      <c r="U238">
        <f t="shared" si="25"/>
        <v>0</v>
      </c>
      <c r="V238">
        <f t="shared" si="28"/>
        <v>0</v>
      </c>
      <c r="W238">
        <f t="shared" si="28"/>
        <v>1</v>
      </c>
      <c r="X238">
        <f t="shared" si="28"/>
        <v>0</v>
      </c>
      <c r="Y238">
        <f t="shared" si="26"/>
        <v>1</v>
      </c>
      <c r="Z238">
        <f t="shared" si="26"/>
        <v>0</v>
      </c>
      <c r="AA238">
        <f t="shared" si="26"/>
        <v>0</v>
      </c>
    </row>
    <row r="239" spans="1:27" x14ac:dyDescent="0.4">
      <c r="A239">
        <v>238</v>
      </c>
      <c r="B239">
        <v>2</v>
      </c>
      <c r="C239" t="s">
        <v>507</v>
      </c>
      <c r="D239" t="s">
        <v>18</v>
      </c>
      <c r="E239">
        <v>8</v>
      </c>
      <c r="F239">
        <v>0</v>
      </c>
      <c r="G239">
        <v>2</v>
      </c>
      <c r="H239" t="s">
        <v>508</v>
      </c>
      <c r="I239">
        <v>26.25</v>
      </c>
      <c r="J239" t="s">
        <v>15</v>
      </c>
      <c r="K239" t="s">
        <v>16</v>
      </c>
      <c r="L239">
        <v>1</v>
      </c>
      <c r="R239">
        <f t="shared" si="23"/>
        <v>8</v>
      </c>
      <c r="S239" t="str">
        <f t="shared" si="24"/>
        <v>S</v>
      </c>
      <c r="U239">
        <f t="shared" si="25"/>
        <v>1</v>
      </c>
      <c r="V239">
        <f t="shared" si="28"/>
        <v>0</v>
      </c>
      <c r="W239">
        <f t="shared" si="28"/>
        <v>1</v>
      </c>
      <c r="X239">
        <f t="shared" si="28"/>
        <v>0</v>
      </c>
      <c r="Y239">
        <f t="shared" si="26"/>
        <v>1</v>
      </c>
      <c r="Z239">
        <f t="shared" si="26"/>
        <v>0</v>
      </c>
      <c r="AA239">
        <f t="shared" si="26"/>
        <v>0</v>
      </c>
    </row>
    <row r="240" spans="1:27" x14ac:dyDescent="0.4">
      <c r="A240">
        <v>239</v>
      </c>
      <c r="B240">
        <v>2</v>
      </c>
      <c r="C240" t="s">
        <v>509</v>
      </c>
      <c r="D240" t="s">
        <v>13</v>
      </c>
      <c r="E240">
        <v>19</v>
      </c>
      <c r="F240">
        <v>0</v>
      </c>
      <c r="G240">
        <v>0</v>
      </c>
      <c r="H240" t="s">
        <v>510</v>
      </c>
      <c r="I240">
        <v>10.5</v>
      </c>
      <c r="J240" t="s">
        <v>15</v>
      </c>
      <c r="K240" t="s">
        <v>16</v>
      </c>
      <c r="L240">
        <v>0</v>
      </c>
      <c r="R240">
        <f t="shared" si="23"/>
        <v>19</v>
      </c>
      <c r="S240" t="str">
        <f t="shared" si="24"/>
        <v>S</v>
      </c>
      <c r="U240">
        <f t="shared" si="25"/>
        <v>0</v>
      </c>
      <c r="V240">
        <f t="shared" si="28"/>
        <v>0</v>
      </c>
      <c r="W240">
        <f t="shared" si="28"/>
        <v>1</v>
      </c>
      <c r="X240">
        <f t="shared" si="28"/>
        <v>0</v>
      </c>
      <c r="Y240">
        <f t="shared" si="26"/>
        <v>1</v>
      </c>
      <c r="Z240">
        <f t="shared" si="26"/>
        <v>0</v>
      </c>
      <c r="AA240">
        <f t="shared" si="26"/>
        <v>0</v>
      </c>
    </row>
    <row r="241" spans="1:27" x14ac:dyDescent="0.4">
      <c r="A241">
        <v>240</v>
      </c>
      <c r="B241">
        <v>2</v>
      </c>
      <c r="C241" t="s">
        <v>511</v>
      </c>
      <c r="D241" t="s">
        <v>13</v>
      </c>
      <c r="E241">
        <v>33</v>
      </c>
      <c r="F241">
        <v>0</v>
      </c>
      <c r="G241">
        <v>0</v>
      </c>
      <c r="H241" t="s">
        <v>512</v>
      </c>
      <c r="I241">
        <v>12.275</v>
      </c>
      <c r="J241" t="s">
        <v>15</v>
      </c>
      <c r="K241" t="s">
        <v>16</v>
      </c>
      <c r="L241">
        <v>0</v>
      </c>
      <c r="R241">
        <f t="shared" si="23"/>
        <v>33</v>
      </c>
      <c r="S241" t="str">
        <f t="shared" si="24"/>
        <v>S</v>
      </c>
      <c r="U241">
        <f t="shared" si="25"/>
        <v>0</v>
      </c>
      <c r="V241">
        <f t="shared" si="28"/>
        <v>0</v>
      </c>
      <c r="W241">
        <f t="shared" si="28"/>
        <v>1</v>
      </c>
      <c r="X241">
        <f t="shared" si="28"/>
        <v>0</v>
      </c>
      <c r="Y241">
        <f t="shared" si="26"/>
        <v>1</v>
      </c>
      <c r="Z241">
        <f t="shared" si="26"/>
        <v>0</v>
      </c>
      <c r="AA241">
        <f t="shared" si="26"/>
        <v>0</v>
      </c>
    </row>
    <row r="242" spans="1:27" x14ac:dyDescent="0.4">
      <c r="A242">
        <v>241</v>
      </c>
      <c r="B242">
        <v>3</v>
      </c>
      <c r="C242" t="s">
        <v>513</v>
      </c>
      <c r="D242" t="s">
        <v>18</v>
      </c>
      <c r="F242">
        <v>1</v>
      </c>
      <c r="G242">
        <v>0</v>
      </c>
      <c r="H242" t="s">
        <v>259</v>
      </c>
      <c r="I242">
        <v>14.4542</v>
      </c>
      <c r="J242" t="s">
        <v>15</v>
      </c>
      <c r="K242" t="s">
        <v>21</v>
      </c>
      <c r="L242">
        <v>0</v>
      </c>
      <c r="R242">
        <f t="shared" si="23"/>
        <v>28</v>
      </c>
      <c r="S242" t="str">
        <f t="shared" si="24"/>
        <v>C</v>
      </c>
      <c r="U242">
        <f t="shared" si="25"/>
        <v>1</v>
      </c>
      <c r="V242">
        <f t="shared" ref="V242:X261" si="29">IF("Pclass_"&amp;$B242=V$1,1,0)</f>
        <v>0</v>
      </c>
      <c r="W242">
        <f t="shared" si="29"/>
        <v>0</v>
      </c>
      <c r="X242">
        <f t="shared" si="29"/>
        <v>1</v>
      </c>
      <c r="Y242">
        <f t="shared" si="26"/>
        <v>0</v>
      </c>
      <c r="Z242">
        <f t="shared" si="26"/>
        <v>0</v>
      </c>
      <c r="AA242">
        <f t="shared" si="26"/>
        <v>1</v>
      </c>
    </row>
    <row r="243" spans="1:27" x14ac:dyDescent="0.4">
      <c r="A243">
        <v>242</v>
      </c>
      <c r="B243">
        <v>3</v>
      </c>
      <c r="C243" t="s">
        <v>514</v>
      </c>
      <c r="D243" t="s">
        <v>18</v>
      </c>
      <c r="F243">
        <v>1</v>
      </c>
      <c r="G243">
        <v>0</v>
      </c>
      <c r="H243" t="s">
        <v>515</v>
      </c>
      <c r="I243">
        <v>15.5</v>
      </c>
      <c r="J243" t="s">
        <v>15</v>
      </c>
      <c r="K243" t="s">
        <v>31</v>
      </c>
      <c r="L243">
        <v>1</v>
      </c>
      <c r="R243">
        <f t="shared" si="23"/>
        <v>28</v>
      </c>
      <c r="S243" t="str">
        <f t="shared" si="24"/>
        <v>Q</v>
      </c>
      <c r="U243">
        <f t="shared" si="25"/>
        <v>1</v>
      </c>
      <c r="V243">
        <f t="shared" si="29"/>
        <v>0</v>
      </c>
      <c r="W243">
        <f t="shared" si="29"/>
        <v>0</v>
      </c>
      <c r="X243">
        <f t="shared" si="29"/>
        <v>1</v>
      </c>
      <c r="Y243">
        <f t="shared" si="26"/>
        <v>0</v>
      </c>
      <c r="Z243">
        <f t="shared" si="26"/>
        <v>1</v>
      </c>
      <c r="AA243">
        <f t="shared" si="26"/>
        <v>0</v>
      </c>
    </row>
    <row r="244" spans="1:27" x14ac:dyDescent="0.4">
      <c r="A244">
        <v>243</v>
      </c>
      <c r="B244">
        <v>2</v>
      </c>
      <c r="C244" t="s">
        <v>516</v>
      </c>
      <c r="D244" t="s">
        <v>13</v>
      </c>
      <c r="E244">
        <v>29</v>
      </c>
      <c r="F244">
        <v>0</v>
      </c>
      <c r="G244">
        <v>0</v>
      </c>
      <c r="H244" t="s">
        <v>517</v>
      </c>
      <c r="I244">
        <v>10.5</v>
      </c>
      <c r="J244" t="s">
        <v>15</v>
      </c>
      <c r="K244" t="s">
        <v>16</v>
      </c>
      <c r="L244">
        <v>0</v>
      </c>
      <c r="R244">
        <f t="shared" si="23"/>
        <v>29</v>
      </c>
      <c r="S244" t="str">
        <f t="shared" si="24"/>
        <v>S</v>
      </c>
      <c r="U244">
        <f t="shared" si="25"/>
        <v>0</v>
      </c>
      <c r="V244">
        <f t="shared" si="29"/>
        <v>0</v>
      </c>
      <c r="W244">
        <f t="shared" si="29"/>
        <v>1</v>
      </c>
      <c r="X244">
        <f t="shared" si="29"/>
        <v>0</v>
      </c>
      <c r="Y244">
        <f t="shared" si="26"/>
        <v>1</v>
      </c>
      <c r="Z244">
        <f t="shared" si="26"/>
        <v>0</v>
      </c>
      <c r="AA244">
        <f t="shared" si="26"/>
        <v>0</v>
      </c>
    </row>
    <row r="245" spans="1:27" x14ac:dyDescent="0.4">
      <c r="A245">
        <v>244</v>
      </c>
      <c r="B245">
        <v>3</v>
      </c>
      <c r="C245" t="s">
        <v>518</v>
      </c>
      <c r="D245" t="s">
        <v>13</v>
      </c>
      <c r="E245">
        <v>22</v>
      </c>
      <c r="F245">
        <v>0</v>
      </c>
      <c r="G245">
        <v>0</v>
      </c>
      <c r="H245" t="s">
        <v>519</v>
      </c>
      <c r="I245">
        <v>7.125</v>
      </c>
      <c r="J245" t="s">
        <v>15</v>
      </c>
      <c r="K245" t="s">
        <v>16</v>
      </c>
      <c r="L245">
        <v>0</v>
      </c>
      <c r="R245">
        <f t="shared" si="23"/>
        <v>22</v>
      </c>
      <c r="S245" t="str">
        <f t="shared" si="24"/>
        <v>S</v>
      </c>
      <c r="U245">
        <f t="shared" si="25"/>
        <v>0</v>
      </c>
      <c r="V245">
        <f t="shared" si="29"/>
        <v>0</v>
      </c>
      <c r="W245">
        <f t="shared" si="29"/>
        <v>0</v>
      </c>
      <c r="X245">
        <f t="shared" si="29"/>
        <v>1</v>
      </c>
      <c r="Y245">
        <f t="shared" si="26"/>
        <v>1</v>
      </c>
      <c r="Z245">
        <f t="shared" si="26"/>
        <v>0</v>
      </c>
      <c r="AA245">
        <f t="shared" si="26"/>
        <v>0</v>
      </c>
    </row>
    <row r="246" spans="1:27" x14ac:dyDescent="0.4">
      <c r="A246">
        <v>245</v>
      </c>
      <c r="B246">
        <v>3</v>
      </c>
      <c r="C246" t="s">
        <v>520</v>
      </c>
      <c r="D246" t="s">
        <v>13</v>
      </c>
      <c r="E246">
        <v>30</v>
      </c>
      <c r="F246">
        <v>0</v>
      </c>
      <c r="G246">
        <v>0</v>
      </c>
      <c r="H246" t="s">
        <v>521</v>
      </c>
      <c r="I246">
        <v>7.2249999999999996</v>
      </c>
      <c r="J246" t="s">
        <v>15</v>
      </c>
      <c r="K246" t="s">
        <v>21</v>
      </c>
      <c r="L246">
        <v>0</v>
      </c>
      <c r="R246">
        <f t="shared" si="23"/>
        <v>30</v>
      </c>
      <c r="S246" t="str">
        <f t="shared" si="24"/>
        <v>C</v>
      </c>
      <c r="U246">
        <f t="shared" si="25"/>
        <v>0</v>
      </c>
      <c r="V246">
        <f t="shared" si="29"/>
        <v>0</v>
      </c>
      <c r="W246">
        <f t="shared" si="29"/>
        <v>0</v>
      </c>
      <c r="X246">
        <f t="shared" si="29"/>
        <v>1</v>
      </c>
      <c r="Y246">
        <f t="shared" si="26"/>
        <v>0</v>
      </c>
      <c r="Z246">
        <f t="shared" si="26"/>
        <v>0</v>
      </c>
      <c r="AA246">
        <f t="shared" si="26"/>
        <v>1</v>
      </c>
    </row>
    <row r="247" spans="1:27" x14ac:dyDescent="0.4">
      <c r="A247">
        <v>246</v>
      </c>
      <c r="B247">
        <v>1</v>
      </c>
      <c r="C247" t="s">
        <v>522</v>
      </c>
      <c r="D247" t="s">
        <v>13</v>
      </c>
      <c r="E247">
        <v>44</v>
      </c>
      <c r="F247">
        <v>2</v>
      </c>
      <c r="G247">
        <v>0</v>
      </c>
      <c r="H247" t="s">
        <v>523</v>
      </c>
      <c r="I247">
        <v>90</v>
      </c>
      <c r="J247" t="s">
        <v>524</v>
      </c>
      <c r="K247" t="s">
        <v>31</v>
      </c>
      <c r="L247">
        <v>0</v>
      </c>
      <c r="R247">
        <f t="shared" si="23"/>
        <v>44</v>
      </c>
      <c r="S247" t="str">
        <f t="shared" si="24"/>
        <v>Q</v>
      </c>
      <c r="U247">
        <f t="shared" si="25"/>
        <v>0</v>
      </c>
      <c r="V247">
        <f t="shared" si="29"/>
        <v>1</v>
      </c>
      <c r="W247">
        <f t="shared" si="29"/>
        <v>0</v>
      </c>
      <c r="X247">
        <f t="shared" si="29"/>
        <v>0</v>
      </c>
      <c r="Y247">
        <f t="shared" si="26"/>
        <v>0</v>
      </c>
      <c r="Z247">
        <f t="shared" si="26"/>
        <v>1</v>
      </c>
      <c r="AA247">
        <f t="shared" si="26"/>
        <v>0</v>
      </c>
    </row>
    <row r="248" spans="1:27" x14ac:dyDescent="0.4">
      <c r="A248">
        <v>247</v>
      </c>
      <c r="B248">
        <v>3</v>
      </c>
      <c r="C248" t="s">
        <v>525</v>
      </c>
      <c r="D248" t="s">
        <v>18</v>
      </c>
      <c r="E248">
        <v>25</v>
      </c>
      <c r="F248">
        <v>0</v>
      </c>
      <c r="G248">
        <v>0</v>
      </c>
      <c r="H248" t="s">
        <v>526</v>
      </c>
      <c r="I248">
        <v>7.7750000000000004</v>
      </c>
      <c r="J248" t="s">
        <v>15</v>
      </c>
      <c r="K248" t="s">
        <v>16</v>
      </c>
      <c r="L248">
        <v>0</v>
      </c>
      <c r="R248">
        <f t="shared" si="23"/>
        <v>25</v>
      </c>
      <c r="S248" t="str">
        <f t="shared" si="24"/>
        <v>S</v>
      </c>
      <c r="U248">
        <f t="shared" si="25"/>
        <v>1</v>
      </c>
      <c r="V248">
        <f t="shared" si="29"/>
        <v>0</v>
      </c>
      <c r="W248">
        <f t="shared" si="29"/>
        <v>0</v>
      </c>
      <c r="X248">
        <f t="shared" si="29"/>
        <v>1</v>
      </c>
      <c r="Y248">
        <f t="shared" si="26"/>
        <v>1</v>
      </c>
      <c r="Z248">
        <f t="shared" si="26"/>
        <v>0</v>
      </c>
      <c r="AA248">
        <f t="shared" si="26"/>
        <v>0</v>
      </c>
    </row>
    <row r="249" spans="1:27" x14ac:dyDescent="0.4">
      <c r="A249">
        <v>248</v>
      </c>
      <c r="B249">
        <v>2</v>
      </c>
      <c r="C249" t="s">
        <v>527</v>
      </c>
      <c r="D249" t="s">
        <v>18</v>
      </c>
      <c r="E249">
        <v>24</v>
      </c>
      <c r="F249">
        <v>0</v>
      </c>
      <c r="G249">
        <v>2</v>
      </c>
      <c r="H249" t="s">
        <v>528</v>
      </c>
      <c r="I249">
        <v>14.5</v>
      </c>
      <c r="J249" t="s">
        <v>15</v>
      </c>
      <c r="K249" t="s">
        <v>16</v>
      </c>
      <c r="L249">
        <v>1</v>
      </c>
      <c r="R249">
        <f t="shared" si="23"/>
        <v>24</v>
      </c>
      <c r="S249" t="str">
        <f t="shared" si="24"/>
        <v>S</v>
      </c>
      <c r="U249">
        <f t="shared" si="25"/>
        <v>1</v>
      </c>
      <c r="V249">
        <f t="shared" si="29"/>
        <v>0</v>
      </c>
      <c r="W249">
        <f t="shared" si="29"/>
        <v>1</v>
      </c>
      <c r="X249">
        <f t="shared" si="29"/>
        <v>0</v>
      </c>
      <c r="Y249">
        <f t="shared" si="26"/>
        <v>1</v>
      </c>
      <c r="Z249">
        <f t="shared" si="26"/>
        <v>0</v>
      </c>
      <c r="AA249">
        <f t="shared" si="26"/>
        <v>0</v>
      </c>
    </row>
    <row r="250" spans="1:27" x14ac:dyDescent="0.4">
      <c r="A250">
        <v>249</v>
      </c>
      <c r="B250">
        <v>1</v>
      </c>
      <c r="C250" t="s">
        <v>529</v>
      </c>
      <c r="D250" t="s">
        <v>13</v>
      </c>
      <c r="E250">
        <v>37</v>
      </c>
      <c r="F250">
        <v>1</v>
      </c>
      <c r="G250">
        <v>1</v>
      </c>
      <c r="H250" t="s">
        <v>530</v>
      </c>
      <c r="I250">
        <v>52.554200000000002</v>
      </c>
      <c r="J250" t="s">
        <v>531</v>
      </c>
      <c r="K250" t="s">
        <v>16</v>
      </c>
      <c r="L250">
        <v>1</v>
      </c>
      <c r="R250">
        <f t="shared" si="23"/>
        <v>37</v>
      </c>
      <c r="S250" t="str">
        <f t="shared" si="24"/>
        <v>S</v>
      </c>
      <c r="U250">
        <f t="shared" si="25"/>
        <v>0</v>
      </c>
      <c r="V250">
        <f t="shared" si="29"/>
        <v>1</v>
      </c>
      <c r="W250">
        <f t="shared" si="29"/>
        <v>0</v>
      </c>
      <c r="X250">
        <f t="shared" si="29"/>
        <v>0</v>
      </c>
      <c r="Y250">
        <f t="shared" si="26"/>
        <v>1</v>
      </c>
      <c r="Z250">
        <f t="shared" si="26"/>
        <v>0</v>
      </c>
      <c r="AA250">
        <f t="shared" si="26"/>
        <v>0</v>
      </c>
    </row>
    <row r="251" spans="1:27" x14ac:dyDescent="0.4">
      <c r="A251">
        <v>250</v>
      </c>
      <c r="B251">
        <v>2</v>
      </c>
      <c r="C251" t="s">
        <v>532</v>
      </c>
      <c r="D251" t="s">
        <v>13</v>
      </c>
      <c r="E251">
        <v>54</v>
      </c>
      <c r="F251">
        <v>1</v>
      </c>
      <c r="G251">
        <v>0</v>
      </c>
      <c r="H251" t="s">
        <v>533</v>
      </c>
      <c r="I251">
        <v>26</v>
      </c>
      <c r="J251" t="s">
        <v>15</v>
      </c>
      <c r="K251" t="s">
        <v>16</v>
      </c>
      <c r="L251">
        <v>0</v>
      </c>
      <c r="R251">
        <f t="shared" si="23"/>
        <v>54</v>
      </c>
      <c r="S251" t="str">
        <f t="shared" si="24"/>
        <v>S</v>
      </c>
      <c r="U251">
        <f t="shared" si="25"/>
        <v>0</v>
      </c>
      <c r="V251">
        <f t="shared" si="29"/>
        <v>0</v>
      </c>
      <c r="W251">
        <f t="shared" si="29"/>
        <v>1</v>
      </c>
      <c r="X251">
        <f t="shared" si="29"/>
        <v>0</v>
      </c>
      <c r="Y251">
        <f t="shared" si="26"/>
        <v>1</v>
      </c>
      <c r="Z251">
        <f t="shared" si="26"/>
        <v>0</v>
      </c>
      <c r="AA251">
        <f t="shared" si="26"/>
        <v>0</v>
      </c>
    </row>
    <row r="252" spans="1:27" x14ac:dyDescent="0.4">
      <c r="A252">
        <v>251</v>
      </c>
      <c r="B252">
        <v>3</v>
      </c>
      <c r="C252" t="s">
        <v>534</v>
      </c>
      <c r="D252" t="s">
        <v>13</v>
      </c>
      <c r="F252">
        <v>0</v>
      </c>
      <c r="G252">
        <v>0</v>
      </c>
      <c r="H252" t="s">
        <v>535</v>
      </c>
      <c r="I252">
        <v>7.25</v>
      </c>
      <c r="J252" t="s">
        <v>15</v>
      </c>
      <c r="K252" t="s">
        <v>16</v>
      </c>
      <c r="L252">
        <v>0</v>
      </c>
      <c r="R252">
        <f t="shared" si="23"/>
        <v>28</v>
      </c>
      <c r="S252" t="str">
        <f t="shared" si="24"/>
        <v>S</v>
      </c>
      <c r="U252">
        <f t="shared" si="25"/>
        <v>0</v>
      </c>
      <c r="V252">
        <f t="shared" si="29"/>
        <v>0</v>
      </c>
      <c r="W252">
        <f t="shared" si="29"/>
        <v>0</v>
      </c>
      <c r="X252">
        <f t="shared" si="29"/>
        <v>1</v>
      </c>
      <c r="Y252">
        <f t="shared" si="26"/>
        <v>1</v>
      </c>
      <c r="Z252">
        <f t="shared" si="26"/>
        <v>0</v>
      </c>
      <c r="AA252">
        <f t="shared" si="26"/>
        <v>0</v>
      </c>
    </row>
    <row r="253" spans="1:27" x14ac:dyDescent="0.4">
      <c r="A253">
        <v>252</v>
      </c>
      <c r="B253">
        <v>3</v>
      </c>
      <c r="C253" t="s">
        <v>536</v>
      </c>
      <c r="D253" t="s">
        <v>18</v>
      </c>
      <c r="E253">
        <v>29</v>
      </c>
      <c r="F253">
        <v>1</v>
      </c>
      <c r="G253">
        <v>1</v>
      </c>
      <c r="H253" t="s">
        <v>444</v>
      </c>
      <c r="I253">
        <v>10.4625</v>
      </c>
      <c r="J253" t="s">
        <v>43</v>
      </c>
      <c r="K253" t="s">
        <v>16</v>
      </c>
      <c r="L253">
        <v>0</v>
      </c>
      <c r="R253">
        <f t="shared" si="23"/>
        <v>29</v>
      </c>
      <c r="S253" t="str">
        <f t="shared" si="24"/>
        <v>S</v>
      </c>
      <c r="U253">
        <f t="shared" si="25"/>
        <v>1</v>
      </c>
      <c r="V253">
        <f t="shared" si="29"/>
        <v>0</v>
      </c>
      <c r="W253">
        <f t="shared" si="29"/>
        <v>0</v>
      </c>
      <c r="X253">
        <f t="shared" si="29"/>
        <v>1</v>
      </c>
      <c r="Y253">
        <f t="shared" si="26"/>
        <v>1</v>
      </c>
      <c r="Z253">
        <f t="shared" si="26"/>
        <v>0</v>
      </c>
      <c r="AA253">
        <f t="shared" si="26"/>
        <v>0</v>
      </c>
    </row>
    <row r="254" spans="1:27" x14ac:dyDescent="0.4">
      <c r="A254">
        <v>253</v>
      </c>
      <c r="B254">
        <v>1</v>
      </c>
      <c r="C254" t="s">
        <v>537</v>
      </c>
      <c r="D254" t="s">
        <v>13</v>
      </c>
      <c r="E254">
        <v>62</v>
      </c>
      <c r="F254">
        <v>0</v>
      </c>
      <c r="G254">
        <v>0</v>
      </c>
      <c r="H254" t="s">
        <v>538</v>
      </c>
      <c r="I254">
        <v>26.55</v>
      </c>
      <c r="J254" t="s">
        <v>539</v>
      </c>
      <c r="K254" t="s">
        <v>16</v>
      </c>
      <c r="L254">
        <v>0</v>
      </c>
      <c r="R254">
        <f t="shared" si="23"/>
        <v>62</v>
      </c>
      <c r="S254" t="str">
        <f t="shared" si="24"/>
        <v>S</v>
      </c>
      <c r="U254">
        <f t="shared" si="25"/>
        <v>0</v>
      </c>
      <c r="V254">
        <f t="shared" si="29"/>
        <v>1</v>
      </c>
      <c r="W254">
        <f t="shared" si="29"/>
        <v>0</v>
      </c>
      <c r="X254">
        <f t="shared" si="29"/>
        <v>0</v>
      </c>
      <c r="Y254">
        <f t="shared" si="26"/>
        <v>1</v>
      </c>
      <c r="Z254">
        <f t="shared" si="26"/>
        <v>0</v>
      </c>
      <c r="AA254">
        <f t="shared" si="26"/>
        <v>0</v>
      </c>
    </row>
    <row r="255" spans="1:27" x14ac:dyDescent="0.4">
      <c r="A255">
        <v>254</v>
      </c>
      <c r="B255">
        <v>3</v>
      </c>
      <c r="C255" t="s">
        <v>540</v>
      </c>
      <c r="D255" t="s">
        <v>13</v>
      </c>
      <c r="E255">
        <v>30</v>
      </c>
      <c r="F255">
        <v>1</v>
      </c>
      <c r="G255">
        <v>0</v>
      </c>
      <c r="H255" t="s">
        <v>541</v>
      </c>
      <c r="I255">
        <v>16.100000000000001</v>
      </c>
      <c r="J255" t="s">
        <v>15</v>
      </c>
      <c r="K255" t="s">
        <v>16</v>
      </c>
      <c r="L255">
        <v>0</v>
      </c>
      <c r="R255">
        <f t="shared" si="23"/>
        <v>30</v>
      </c>
      <c r="S255" t="str">
        <f t="shared" si="24"/>
        <v>S</v>
      </c>
      <c r="U255">
        <f t="shared" si="25"/>
        <v>0</v>
      </c>
      <c r="V255">
        <f t="shared" si="29"/>
        <v>0</v>
      </c>
      <c r="W255">
        <f t="shared" si="29"/>
        <v>0</v>
      </c>
      <c r="X255">
        <f t="shared" si="29"/>
        <v>1</v>
      </c>
      <c r="Y255">
        <f t="shared" si="26"/>
        <v>1</v>
      </c>
      <c r="Z255">
        <f t="shared" si="26"/>
        <v>0</v>
      </c>
      <c r="AA255">
        <f t="shared" si="26"/>
        <v>0</v>
      </c>
    </row>
    <row r="256" spans="1:27" x14ac:dyDescent="0.4">
      <c r="A256">
        <v>255</v>
      </c>
      <c r="B256">
        <v>3</v>
      </c>
      <c r="C256" t="s">
        <v>542</v>
      </c>
      <c r="D256" t="s">
        <v>18</v>
      </c>
      <c r="E256">
        <v>41</v>
      </c>
      <c r="F256">
        <v>0</v>
      </c>
      <c r="G256">
        <v>2</v>
      </c>
      <c r="H256" t="s">
        <v>543</v>
      </c>
      <c r="I256">
        <v>20.212499999999999</v>
      </c>
      <c r="J256" t="s">
        <v>15</v>
      </c>
      <c r="K256" t="s">
        <v>16</v>
      </c>
      <c r="L256">
        <v>0</v>
      </c>
      <c r="R256">
        <f t="shared" si="23"/>
        <v>41</v>
      </c>
      <c r="S256" t="str">
        <f t="shared" si="24"/>
        <v>S</v>
      </c>
      <c r="U256">
        <f t="shared" si="25"/>
        <v>1</v>
      </c>
      <c r="V256">
        <f t="shared" si="29"/>
        <v>0</v>
      </c>
      <c r="W256">
        <f t="shared" si="29"/>
        <v>0</v>
      </c>
      <c r="X256">
        <f t="shared" si="29"/>
        <v>1</v>
      </c>
      <c r="Y256">
        <f t="shared" si="26"/>
        <v>1</v>
      </c>
      <c r="Z256">
        <f t="shared" si="26"/>
        <v>0</v>
      </c>
      <c r="AA256">
        <f t="shared" si="26"/>
        <v>0</v>
      </c>
    </row>
    <row r="257" spans="1:27" x14ac:dyDescent="0.4">
      <c r="A257">
        <v>256</v>
      </c>
      <c r="B257">
        <v>3</v>
      </c>
      <c r="C257" t="s">
        <v>544</v>
      </c>
      <c r="D257" t="s">
        <v>18</v>
      </c>
      <c r="E257">
        <v>29</v>
      </c>
      <c r="F257">
        <v>0</v>
      </c>
      <c r="G257">
        <v>2</v>
      </c>
      <c r="H257" t="s">
        <v>545</v>
      </c>
      <c r="I257">
        <v>15.245799999999999</v>
      </c>
      <c r="J257" t="s">
        <v>15</v>
      </c>
      <c r="K257" t="s">
        <v>21</v>
      </c>
      <c r="L257">
        <v>1</v>
      </c>
      <c r="R257">
        <f t="shared" si="23"/>
        <v>29</v>
      </c>
      <c r="S257" t="str">
        <f t="shared" si="24"/>
        <v>C</v>
      </c>
      <c r="U257">
        <f t="shared" si="25"/>
        <v>1</v>
      </c>
      <c r="V257">
        <f t="shared" si="29"/>
        <v>0</v>
      </c>
      <c r="W257">
        <f t="shared" si="29"/>
        <v>0</v>
      </c>
      <c r="X257">
        <f t="shared" si="29"/>
        <v>1</v>
      </c>
      <c r="Y257">
        <f t="shared" si="26"/>
        <v>0</v>
      </c>
      <c r="Z257">
        <f t="shared" si="26"/>
        <v>0</v>
      </c>
      <c r="AA257">
        <f t="shared" si="26"/>
        <v>1</v>
      </c>
    </row>
    <row r="258" spans="1:27" x14ac:dyDescent="0.4">
      <c r="A258">
        <v>257</v>
      </c>
      <c r="B258">
        <v>1</v>
      </c>
      <c r="C258" t="s">
        <v>546</v>
      </c>
      <c r="D258" t="s">
        <v>18</v>
      </c>
      <c r="F258">
        <v>0</v>
      </c>
      <c r="G258">
        <v>0</v>
      </c>
      <c r="H258" t="s">
        <v>547</v>
      </c>
      <c r="I258">
        <v>79.2</v>
      </c>
      <c r="J258" t="s">
        <v>15</v>
      </c>
      <c r="K258" t="s">
        <v>21</v>
      </c>
      <c r="L258">
        <v>1</v>
      </c>
      <c r="R258">
        <f t="shared" si="23"/>
        <v>28</v>
      </c>
      <c r="S258" t="str">
        <f t="shared" si="24"/>
        <v>C</v>
      </c>
      <c r="U258">
        <f t="shared" si="25"/>
        <v>1</v>
      </c>
      <c r="V258">
        <f t="shared" si="29"/>
        <v>1</v>
      </c>
      <c r="W258">
        <f t="shared" si="29"/>
        <v>0</v>
      </c>
      <c r="X258">
        <f t="shared" si="29"/>
        <v>0</v>
      </c>
      <c r="Y258">
        <f t="shared" si="26"/>
        <v>0</v>
      </c>
      <c r="Z258">
        <f t="shared" si="26"/>
        <v>0</v>
      </c>
      <c r="AA258">
        <f t="shared" si="26"/>
        <v>1</v>
      </c>
    </row>
    <row r="259" spans="1:27" x14ac:dyDescent="0.4">
      <c r="A259">
        <v>258</v>
      </c>
      <c r="B259">
        <v>1</v>
      </c>
      <c r="C259" t="s">
        <v>548</v>
      </c>
      <c r="D259" t="s">
        <v>18</v>
      </c>
      <c r="E259">
        <v>30</v>
      </c>
      <c r="F259">
        <v>0</v>
      </c>
      <c r="G259">
        <v>0</v>
      </c>
      <c r="H259" t="s">
        <v>549</v>
      </c>
      <c r="I259">
        <v>86.5</v>
      </c>
      <c r="J259" t="s">
        <v>550</v>
      </c>
      <c r="K259" t="s">
        <v>16</v>
      </c>
      <c r="L259">
        <v>1</v>
      </c>
      <c r="R259">
        <f t="shared" ref="R259:R322" si="30">IF(E259&lt;&gt;"",E259,$O$18)</f>
        <v>30</v>
      </c>
      <c r="S259" t="str">
        <f t="shared" ref="S259:S322" si="31">IF(K259&lt;&gt;"",K259,$N$9)</f>
        <v>S</v>
      </c>
      <c r="U259">
        <f t="shared" ref="U259:U322" si="32">IF(D259="male",0,1)</f>
        <v>1</v>
      </c>
      <c r="V259">
        <f t="shared" si="29"/>
        <v>1</v>
      </c>
      <c r="W259">
        <f t="shared" si="29"/>
        <v>0</v>
      </c>
      <c r="X259">
        <f t="shared" si="29"/>
        <v>0</v>
      </c>
      <c r="Y259">
        <f t="shared" ref="Y259:AA322" si="33">IF($S259=RIGHT(Y$1,1),1,0)</f>
        <v>1</v>
      </c>
      <c r="Z259">
        <f t="shared" si="33"/>
        <v>0</v>
      </c>
      <c r="AA259">
        <f t="shared" si="33"/>
        <v>0</v>
      </c>
    </row>
    <row r="260" spans="1:27" x14ac:dyDescent="0.4">
      <c r="A260">
        <v>259</v>
      </c>
      <c r="B260">
        <v>1</v>
      </c>
      <c r="C260" t="s">
        <v>551</v>
      </c>
      <c r="D260" t="s">
        <v>18</v>
      </c>
      <c r="E260">
        <v>35</v>
      </c>
      <c r="F260">
        <v>0</v>
      </c>
      <c r="G260">
        <v>0</v>
      </c>
      <c r="H260" t="s">
        <v>552</v>
      </c>
      <c r="I260">
        <v>512.32920000000001</v>
      </c>
      <c r="J260" t="s">
        <v>15</v>
      </c>
      <c r="K260" t="s">
        <v>21</v>
      </c>
      <c r="L260">
        <v>1</v>
      </c>
      <c r="R260">
        <f t="shared" si="30"/>
        <v>35</v>
      </c>
      <c r="S260" t="str">
        <f t="shared" si="31"/>
        <v>C</v>
      </c>
      <c r="U260">
        <f t="shared" si="32"/>
        <v>1</v>
      </c>
      <c r="V260">
        <f t="shared" si="29"/>
        <v>1</v>
      </c>
      <c r="W260">
        <f t="shared" si="29"/>
        <v>0</v>
      </c>
      <c r="X260">
        <f t="shared" si="29"/>
        <v>0</v>
      </c>
      <c r="Y260">
        <f t="shared" si="33"/>
        <v>0</v>
      </c>
      <c r="Z260">
        <f t="shared" si="33"/>
        <v>0</v>
      </c>
      <c r="AA260">
        <f t="shared" si="33"/>
        <v>1</v>
      </c>
    </row>
    <row r="261" spans="1:27" x14ac:dyDescent="0.4">
      <c r="A261">
        <v>260</v>
      </c>
      <c r="B261">
        <v>2</v>
      </c>
      <c r="C261" t="s">
        <v>553</v>
      </c>
      <c r="D261" t="s">
        <v>18</v>
      </c>
      <c r="E261">
        <v>50</v>
      </c>
      <c r="F261">
        <v>0</v>
      </c>
      <c r="G261">
        <v>1</v>
      </c>
      <c r="H261" t="s">
        <v>554</v>
      </c>
      <c r="I261">
        <v>26</v>
      </c>
      <c r="J261" t="s">
        <v>15</v>
      </c>
      <c r="K261" t="s">
        <v>16</v>
      </c>
      <c r="L261">
        <v>1</v>
      </c>
      <c r="R261">
        <f t="shared" si="30"/>
        <v>50</v>
      </c>
      <c r="S261" t="str">
        <f t="shared" si="31"/>
        <v>S</v>
      </c>
      <c r="U261">
        <f t="shared" si="32"/>
        <v>1</v>
      </c>
      <c r="V261">
        <f t="shared" si="29"/>
        <v>0</v>
      </c>
      <c r="W261">
        <f t="shared" si="29"/>
        <v>1</v>
      </c>
      <c r="X261">
        <f t="shared" si="29"/>
        <v>0</v>
      </c>
      <c r="Y261">
        <f t="shared" si="33"/>
        <v>1</v>
      </c>
      <c r="Z261">
        <f t="shared" si="33"/>
        <v>0</v>
      </c>
      <c r="AA261">
        <f t="shared" si="33"/>
        <v>0</v>
      </c>
    </row>
    <row r="262" spans="1:27" x14ac:dyDescent="0.4">
      <c r="A262">
        <v>261</v>
      </c>
      <c r="B262">
        <v>3</v>
      </c>
      <c r="C262" t="s">
        <v>555</v>
      </c>
      <c r="D262" t="s">
        <v>13</v>
      </c>
      <c r="F262">
        <v>0</v>
      </c>
      <c r="G262">
        <v>0</v>
      </c>
      <c r="H262" t="s">
        <v>556</v>
      </c>
      <c r="I262">
        <v>7.75</v>
      </c>
      <c r="J262" t="s">
        <v>15</v>
      </c>
      <c r="K262" t="s">
        <v>31</v>
      </c>
      <c r="L262">
        <v>0</v>
      </c>
      <c r="R262">
        <f t="shared" si="30"/>
        <v>28</v>
      </c>
      <c r="S262" t="str">
        <f t="shared" si="31"/>
        <v>Q</v>
      </c>
      <c r="U262">
        <f t="shared" si="32"/>
        <v>0</v>
      </c>
      <c r="V262">
        <f t="shared" ref="V262:X281" si="34">IF("Pclass_"&amp;$B262=V$1,1,0)</f>
        <v>0</v>
      </c>
      <c r="W262">
        <f t="shared" si="34"/>
        <v>0</v>
      </c>
      <c r="X262">
        <f t="shared" si="34"/>
        <v>1</v>
      </c>
      <c r="Y262">
        <f t="shared" si="33"/>
        <v>0</v>
      </c>
      <c r="Z262">
        <f t="shared" si="33"/>
        <v>1</v>
      </c>
      <c r="AA262">
        <f t="shared" si="33"/>
        <v>0</v>
      </c>
    </row>
    <row r="263" spans="1:27" x14ac:dyDescent="0.4">
      <c r="A263">
        <v>262</v>
      </c>
      <c r="B263">
        <v>3</v>
      </c>
      <c r="C263" t="s">
        <v>557</v>
      </c>
      <c r="D263" t="s">
        <v>13</v>
      </c>
      <c r="E263">
        <v>3</v>
      </c>
      <c r="F263">
        <v>4</v>
      </c>
      <c r="G263">
        <v>2</v>
      </c>
      <c r="H263" t="s">
        <v>75</v>
      </c>
      <c r="I263">
        <v>31.387499999999999</v>
      </c>
      <c r="J263" t="s">
        <v>15</v>
      </c>
      <c r="K263" t="s">
        <v>16</v>
      </c>
      <c r="L263">
        <v>1</v>
      </c>
      <c r="R263">
        <f t="shared" si="30"/>
        <v>3</v>
      </c>
      <c r="S263" t="str">
        <f t="shared" si="31"/>
        <v>S</v>
      </c>
      <c r="U263">
        <f t="shared" si="32"/>
        <v>0</v>
      </c>
      <c r="V263">
        <f t="shared" si="34"/>
        <v>0</v>
      </c>
      <c r="W263">
        <f t="shared" si="34"/>
        <v>0</v>
      </c>
      <c r="X263">
        <f t="shared" si="34"/>
        <v>1</v>
      </c>
      <c r="Y263">
        <f t="shared" si="33"/>
        <v>1</v>
      </c>
      <c r="Z263">
        <f t="shared" si="33"/>
        <v>0</v>
      </c>
      <c r="AA263">
        <f t="shared" si="33"/>
        <v>0</v>
      </c>
    </row>
    <row r="264" spans="1:27" x14ac:dyDescent="0.4">
      <c r="A264">
        <v>263</v>
      </c>
      <c r="B264">
        <v>1</v>
      </c>
      <c r="C264" t="s">
        <v>558</v>
      </c>
      <c r="D264" t="s">
        <v>13</v>
      </c>
      <c r="E264">
        <v>52</v>
      </c>
      <c r="F264">
        <v>1</v>
      </c>
      <c r="G264">
        <v>1</v>
      </c>
      <c r="H264" t="s">
        <v>559</v>
      </c>
      <c r="I264">
        <v>79.650000000000006</v>
      </c>
      <c r="J264" t="s">
        <v>560</v>
      </c>
      <c r="K264" t="s">
        <v>16</v>
      </c>
      <c r="L264">
        <v>0</v>
      </c>
      <c r="R264">
        <f t="shared" si="30"/>
        <v>52</v>
      </c>
      <c r="S264" t="str">
        <f t="shared" si="31"/>
        <v>S</v>
      </c>
      <c r="U264">
        <f t="shared" si="32"/>
        <v>0</v>
      </c>
      <c r="V264">
        <f t="shared" si="34"/>
        <v>1</v>
      </c>
      <c r="W264">
        <f t="shared" si="34"/>
        <v>0</v>
      </c>
      <c r="X264">
        <f t="shared" si="34"/>
        <v>0</v>
      </c>
      <c r="Y264">
        <f t="shared" si="33"/>
        <v>1</v>
      </c>
      <c r="Z264">
        <f t="shared" si="33"/>
        <v>0</v>
      </c>
      <c r="AA264">
        <f t="shared" si="33"/>
        <v>0</v>
      </c>
    </row>
    <row r="265" spans="1:27" x14ac:dyDescent="0.4">
      <c r="A265">
        <v>264</v>
      </c>
      <c r="B265">
        <v>1</v>
      </c>
      <c r="C265" t="s">
        <v>561</v>
      </c>
      <c r="D265" t="s">
        <v>13</v>
      </c>
      <c r="E265">
        <v>40</v>
      </c>
      <c r="F265">
        <v>0</v>
      </c>
      <c r="G265">
        <v>0</v>
      </c>
      <c r="H265" t="s">
        <v>562</v>
      </c>
      <c r="I265">
        <v>0</v>
      </c>
      <c r="J265" t="s">
        <v>563</v>
      </c>
      <c r="K265" t="s">
        <v>16</v>
      </c>
      <c r="L265">
        <v>0</v>
      </c>
      <c r="R265">
        <f t="shared" si="30"/>
        <v>40</v>
      </c>
      <c r="S265" t="str">
        <f t="shared" si="31"/>
        <v>S</v>
      </c>
      <c r="U265">
        <f t="shared" si="32"/>
        <v>0</v>
      </c>
      <c r="V265">
        <f t="shared" si="34"/>
        <v>1</v>
      </c>
      <c r="W265">
        <f t="shared" si="34"/>
        <v>0</v>
      </c>
      <c r="X265">
        <f t="shared" si="34"/>
        <v>0</v>
      </c>
      <c r="Y265">
        <f t="shared" si="33"/>
        <v>1</v>
      </c>
      <c r="Z265">
        <f t="shared" si="33"/>
        <v>0</v>
      </c>
      <c r="AA265">
        <f t="shared" si="33"/>
        <v>0</v>
      </c>
    </row>
    <row r="266" spans="1:27" x14ac:dyDescent="0.4">
      <c r="A266">
        <v>265</v>
      </c>
      <c r="B266">
        <v>3</v>
      </c>
      <c r="C266" t="s">
        <v>564</v>
      </c>
      <c r="D266" t="s">
        <v>18</v>
      </c>
      <c r="F266">
        <v>0</v>
      </c>
      <c r="G266">
        <v>0</v>
      </c>
      <c r="H266" t="s">
        <v>565</v>
      </c>
      <c r="I266">
        <v>7.75</v>
      </c>
      <c r="J266" t="s">
        <v>15</v>
      </c>
      <c r="K266" t="s">
        <v>31</v>
      </c>
      <c r="L266">
        <v>0</v>
      </c>
      <c r="R266">
        <f t="shared" si="30"/>
        <v>28</v>
      </c>
      <c r="S266" t="str">
        <f t="shared" si="31"/>
        <v>Q</v>
      </c>
      <c r="U266">
        <f t="shared" si="32"/>
        <v>1</v>
      </c>
      <c r="V266">
        <f t="shared" si="34"/>
        <v>0</v>
      </c>
      <c r="W266">
        <f t="shared" si="34"/>
        <v>0</v>
      </c>
      <c r="X266">
        <f t="shared" si="34"/>
        <v>1</v>
      </c>
      <c r="Y266">
        <f t="shared" si="33"/>
        <v>0</v>
      </c>
      <c r="Z266">
        <f t="shared" si="33"/>
        <v>1</v>
      </c>
      <c r="AA266">
        <f t="shared" si="33"/>
        <v>0</v>
      </c>
    </row>
    <row r="267" spans="1:27" x14ac:dyDescent="0.4">
      <c r="A267">
        <v>266</v>
      </c>
      <c r="B267">
        <v>2</v>
      </c>
      <c r="C267" t="s">
        <v>566</v>
      </c>
      <c r="D267" t="s">
        <v>13</v>
      </c>
      <c r="E267">
        <v>36</v>
      </c>
      <c r="F267">
        <v>0</v>
      </c>
      <c r="G267">
        <v>0</v>
      </c>
      <c r="H267" t="s">
        <v>567</v>
      </c>
      <c r="I267">
        <v>10.5</v>
      </c>
      <c r="J267" t="s">
        <v>15</v>
      </c>
      <c r="K267" t="s">
        <v>16</v>
      </c>
      <c r="L267">
        <v>0</v>
      </c>
      <c r="R267">
        <f t="shared" si="30"/>
        <v>36</v>
      </c>
      <c r="S267" t="str">
        <f t="shared" si="31"/>
        <v>S</v>
      </c>
      <c r="U267">
        <f t="shared" si="32"/>
        <v>0</v>
      </c>
      <c r="V267">
        <f t="shared" si="34"/>
        <v>0</v>
      </c>
      <c r="W267">
        <f t="shared" si="34"/>
        <v>1</v>
      </c>
      <c r="X267">
        <f t="shared" si="34"/>
        <v>0</v>
      </c>
      <c r="Y267">
        <f t="shared" si="33"/>
        <v>1</v>
      </c>
      <c r="Z267">
        <f t="shared" si="33"/>
        <v>0</v>
      </c>
      <c r="AA267">
        <f t="shared" si="33"/>
        <v>0</v>
      </c>
    </row>
    <row r="268" spans="1:27" x14ac:dyDescent="0.4">
      <c r="A268">
        <v>267</v>
      </c>
      <c r="B268">
        <v>3</v>
      </c>
      <c r="C268" t="s">
        <v>568</v>
      </c>
      <c r="D268" t="s">
        <v>13</v>
      </c>
      <c r="E268">
        <v>16</v>
      </c>
      <c r="F268">
        <v>4</v>
      </c>
      <c r="G268">
        <v>1</v>
      </c>
      <c r="H268" t="s">
        <v>127</v>
      </c>
      <c r="I268">
        <v>39.6875</v>
      </c>
      <c r="J268" t="s">
        <v>15</v>
      </c>
      <c r="K268" t="s">
        <v>16</v>
      </c>
      <c r="L268">
        <v>0</v>
      </c>
      <c r="R268">
        <f t="shared" si="30"/>
        <v>16</v>
      </c>
      <c r="S268" t="str">
        <f t="shared" si="31"/>
        <v>S</v>
      </c>
      <c r="U268">
        <f t="shared" si="32"/>
        <v>0</v>
      </c>
      <c r="V268">
        <f t="shared" si="34"/>
        <v>0</v>
      </c>
      <c r="W268">
        <f t="shared" si="34"/>
        <v>0</v>
      </c>
      <c r="X268">
        <f t="shared" si="34"/>
        <v>1</v>
      </c>
      <c r="Y268">
        <f t="shared" si="33"/>
        <v>1</v>
      </c>
      <c r="Z268">
        <f t="shared" si="33"/>
        <v>0</v>
      </c>
      <c r="AA268">
        <f t="shared" si="33"/>
        <v>0</v>
      </c>
    </row>
    <row r="269" spans="1:27" x14ac:dyDescent="0.4">
      <c r="A269">
        <v>268</v>
      </c>
      <c r="B269">
        <v>3</v>
      </c>
      <c r="C269" t="s">
        <v>569</v>
      </c>
      <c r="D269" t="s">
        <v>13</v>
      </c>
      <c r="E269">
        <v>25</v>
      </c>
      <c r="F269">
        <v>1</v>
      </c>
      <c r="G269">
        <v>0</v>
      </c>
      <c r="H269" t="s">
        <v>570</v>
      </c>
      <c r="I269">
        <v>7.7750000000000004</v>
      </c>
      <c r="J269" t="s">
        <v>15</v>
      </c>
      <c r="K269" t="s">
        <v>16</v>
      </c>
      <c r="L269">
        <v>1</v>
      </c>
      <c r="R269">
        <f t="shared" si="30"/>
        <v>25</v>
      </c>
      <c r="S269" t="str">
        <f t="shared" si="31"/>
        <v>S</v>
      </c>
      <c r="U269">
        <f t="shared" si="32"/>
        <v>0</v>
      </c>
      <c r="V269">
        <f t="shared" si="34"/>
        <v>0</v>
      </c>
      <c r="W269">
        <f t="shared" si="34"/>
        <v>0</v>
      </c>
      <c r="X269">
        <f t="shared" si="34"/>
        <v>1</v>
      </c>
      <c r="Y269">
        <f t="shared" si="33"/>
        <v>1</v>
      </c>
      <c r="Z269">
        <f t="shared" si="33"/>
        <v>0</v>
      </c>
      <c r="AA269">
        <f t="shared" si="33"/>
        <v>0</v>
      </c>
    </row>
    <row r="270" spans="1:27" x14ac:dyDescent="0.4">
      <c r="A270">
        <v>269</v>
      </c>
      <c r="B270">
        <v>1</v>
      </c>
      <c r="C270" t="s">
        <v>571</v>
      </c>
      <c r="D270" t="s">
        <v>18</v>
      </c>
      <c r="E270">
        <v>58</v>
      </c>
      <c r="F270">
        <v>0</v>
      </c>
      <c r="G270">
        <v>1</v>
      </c>
      <c r="H270" t="s">
        <v>572</v>
      </c>
      <c r="I270">
        <v>153.46250000000001</v>
      </c>
      <c r="J270" t="s">
        <v>573</v>
      </c>
      <c r="K270" t="s">
        <v>16</v>
      </c>
      <c r="L270">
        <v>1</v>
      </c>
      <c r="R270">
        <f t="shared" si="30"/>
        <v>58</v>
      </c>
      <c r="S270" t="str">
        <f t="shared" si="31"/>
        <v>S</v>
      </c>
      <c r="U270">
        <f t="shared" si="32"/>
        <v>1</v>
      </c>
      <c r="V270">
        <f t="shared" si="34"/>
        <v>1</v>
      </c>
      <c r="W270">
        <f t="shared" si="34"/>
        <v>0</v>
      </c>
      <c r="X270">
        <f t="shared" si="34"/>
        <v>0</v>
      </c>
      <c r="Y270">
        <f t="shared" si="33"/>
        <v>1</v>
      </c>
      <c r="Z270">
        <f t="shared" si="33"/>
        <v>0</v>
      </c>
      <c r="AA270">
        <f t="shared" si="33"/>
        <v>0</v>
      </c>
    </row>
    <row r="271" spans="1:27" x14ac:dyDescent="0.4">
      <c r="A271">
        <v>270</v>
      </c>
      <c r="B271">
        <v>1</v>
      </c>
      <c r="C271" t="s">
        <v>574</v>
      </c>
      <c r="D271" t="s">
        <v>18</v>
      </c>
      <c r="E271">
        <v>35</v>
      </c>
      <c r="F271">
        <v>0</v>
      </c>
      <c r="G271">
        <v>0</v>
      </c>
      <c r="H271" t="s">
        <v>575</v>
      </c>
      <c r="I271">
        <v>135.63329999999999</v>
      </c>
      <c r="J271" t="s">
        <v>576</v>
      </c>
      <c r="K271" t="s">
        <v>16</v>
      </c>
      <c r="L271">
        <v>1</v>
      </c>
      <c r="R271">
        <f t="shared" si="30"/>
        <v>35</v>
      </c>
      <c r="S271" t="str">
        <f t="shared" si="31"/>
        <v>S</v>
      </c>
      <c r="U271">
        <f t="shared" si="32"/>
        <v>1</v>
      </c>
      <c r="V271">
        <f t="shared" si="34"/>
        <v>1</v>
      </c>
      <c r="W271">
        <f t="shared" si="34"/>
        <v>0</v>
      </c>
      <c r="X271">
        <f t="shared" si="34"/>
        <v>0</v>
      </c>
      <c r="Y271">
        <f t="shared" si="33"/>
        <v>1</v>
      </c>
      <c r="Z271">
        <f t="shared" si="33"/>
        <v>0</v>
      </c>
      <c r="AA271">
        <f t="shared" si="33"/>
        <v>0</v>
      </c>
    </row>
    <row r="272" spans="1:27" x14ac:dyDescent="0.4">
      <c r="A272">
        <v>271</v>
      </c>
      <c r="B272">
        <v>1</v>
      </c>
      <c r="C272" t="s">
        <v>577</v>
      </c>
      <c r="D272" t="s">
        <v>13</v>
      </c>
      <c r="F272">
        <v>0</v>
      </c>
      <c r="G272">
        <v>0</v>
      </c>
      <c r="H272" t="s">
        <v>578</v>
      </c>
      <c r="I272">
        <v>31</v>
      </c>
      <c r="J272" t="s">
        <v>15</v>
      </c>
      <c r="K272" t="s">
        <v>16</v>
      </c>
      <c r="L272">
        <v>0</v>
      </c>
      <c r="R272">
        <f t="shared" si="30"/>
        <v>28</v>
      </c>
      <c r="S272" t="str">
        <f t="shared" si="31"/>
        <v>S</v>
      </c>
      <c r="U272">
        <f t="shared" si="32"/>
        <v>0</v>
      </c>
      <c r="V272">
        <f t="shared" si="34"/>
        <v>1</v>
      </c>
      <c r="W272">
        <f t="shared" si="34"/>
        <v>0</v>
      </c>
      <c r="X272">
        <f t="shared" si="34"/>
        <v>0</v>
      </c>
      <c r="Y272">
        <f t="shared" si="33"/>
        <v>1</v>
      </c>
      <c r="Z272">
        <f t="shared" si="33"/>
        <v>0</v>
      </c>
      <c r="AA272">
        <f t="shared" si="33"/>
        <v>0</v>
      </c>
    </row>
    <row r="273" spans="1:27" x14ac:dyDescent="0.4">
      <c r="A273">
        <v>272</v>
      </c>
      <c r="B273">
        <v>3</v>
      </c>
      <c r="C273" t="s">
        <v>579</v>
      </c>
      <c r="D273" t="s">
        <v>13</v>
      </c>
      <c r="E273">
        <v>25</v>
      </c>
      <c r="F273">
        <v>0</v>
      </c>
      <c r="G273">
        <v>0</v>
      </c>
      <c r="H273" t="s">
        <v>393</v>
      </c>
      <c r="I273">
        <v>0</v>
      </c>
      <c r="J273" t="s">
        <v>15</v>
      </c>
      <c r="K273" t="s">
        <v>16</v>
      </c>
      <c r="L273">
        <v>1</v>
      </c>
      <c r="R273">
        <f t="shared" si="30"/>
        <v>25</v>
      </c>
      <c r="S273" t="str">
        <f t="shared" si="31"/>
        <v>S</v>
      </c>
      <c r="U273">
        <f t="shared" si="32"/>
        <v>0</v>
      </c>
      <c r="V273">
        <f t="shared" si="34"/>
        <v>0</v>
      </c>
      <c r="W273">
        <f t="shared" si="34"/>
        <v>0</v>
      </c>
      <c r="X273">
        <f t="shared" si="34"/>
        <v>1</v>
      </c>
      <c r="Y273">
        <f t="shared" si="33"/>
        <v>1</v>
      </c>
      <c r="Z273">
        <f t="shared" si="33"/>
        <v>0</v>
      </c>
      <c r="AA273">
        <f t="shared" si="33"/>
        <v>0</v>
      </c>
    </row>
    <row r="274" spans="1:27" x14ac:dyDescent="0.4">
      <c r="A274">
        <v>273</v>
      </c>
      <c r="B274">
        <v>2</v>
      </c>
      <c r="C274" t="s">
        <v>580</v>
      </c>
      <c r="D274" t="s">
        <v>18</v>
      </c>
      <c r="E274">
        <v>41</v>
      </c>
      <c r="F274">
        <v>0</v>
      </c>
      <c r="G274">
        <v>1</v>
      </c>
      <c r="H274" t="s">
        <v>581</v>
      </c>
      <c r="I274">
        <v>19.5</v>
      </c>
      <c r="J274" t="s">
        <v>15</v>
      </c>
      <c r="K274" t="s">
        <v>16</v>
      </c>
      <c r="L274">
        <v>1</v>
      </c>
      <c r="R274">
        <f t="shared" si="30"/>
        <v>41</v>
      </c>
      <c r="S274" t="str">
        <f t="shared" si="31"/>
        <v>S</v>
      </c>
      <c r="U274">
        <f t="shared" si="32"/>
        <v>1</v>
      </c>
      <c r="V274">
        <f t="shared" si="34"/>
        <v>0</v>
      </c>
      <c r="W274">
        <f t="shared" si="34"/>
        <v>1</v>
      </c>
      <c r="X274">
        <f t="shared" si="34"/>
        <v>0</v>
      </c>
      <c r="Y274">
        <f t="shared" si="33"/>
        <v>1</v>
      </c>
      <c r="Z274">
        <f t="shared" si="33"/>
        <v>0</v>
      </c>
      <c r="AA274">
        <f t="shared" si="33"/>
        <v>0</v>
      </c>
    </row>
    <row r="275" spans="1:27" x14ac:dyDescent="0.4">
      <c r="A275">
        <v>274</v>
      </c>
      <c r="B275">
        <v>1</v>
      </c>
      <c r="C275" t="s">
        <v>582</v>
      </c>
      <c r="D275" t="s">
        <v>13</v>
      </c>
      <c r="E275">
        <v>37</v>
      </c>
      <c r="F275">
        <v>0</v>
      </c>
      <c r="G275">
        <v>1</v>
      </c>
      <c r="H275" t="s">
        <v>583</v>
      </c>
      <c r="I275">
        <v>29.7</v>
      </c>
      <c r="J275" t="s">
        <v>584</v>
      </c>
      <c r="K275" t="s">
        <v>21</v>
      </c>
      <c r="L275">
        <v>0</v>
      </c>
      <c r="R275">
        <f t="shared" si="30"/>
        <v>37</v>
      </c>
      <c r="S275" t="str">
        <f t="shared" si="31"/>
        <v>C</v>
      </c>
      <c r="U275">
        <f t="shared" si="32"/>
        <v>0</v>
      </c>
      <c r="V275">
        <f t="shared" si="34"/>
        <v>1</v>
      </c>
      <c r="W275">
        <f t="shared" si="34"/>
        <v>0</v>
      </c>
      <c r="X275">
        <f t="shared" si="34"/>
        <v>0</v>
      </c>
      <c r="Y275">
        <f t="shared" si="33"/>
        <v>0</v>
      </c>
      <c r="Z275">
        <f t="shared" si="33"/>
        <v>0</v>
      </c>
      <c r="AA275">
        <f t="shared" si="33"/>
        <v>1</v>
      </c>
    </row>
    <row r="276" spans="1:27" x14ac:dyDescent="0.4">
      <c r="A276">
        <v>275</v>
      </c>
      <c r="B276">
        <v>3</v>
      </c>
      <c r="C276" t="s">
        <v>585</v>
      </c>
      <c r="D276" t="s">
        <v>18</v>
      </c>
      <c r="F276">
        <v>0</v>
      </c>
      <c r="G276">
        <v>0</v>
      </c>
      <c r="H276" t="s">
        <v>586</v>
      </c>
      <c r="I276">
        <v>7.75</v>
      </c>
      <c r="J276" t="s">
        <v>15</v>
      </c>
      <c r="K276" t="s">
        <v>31</v>
      </c>
      <c r="L276">
        <v>1</v>
      </c>
      <c r="R276">
        <f t="shared" si="30"/>
        <v>28</v>
      </c>
      <c r="S276" t="str">
        <f t="shared" si="31"/>
        <v>Q</v>
      </c>
      <c r="U276">
        <f t="shared" si="32"/>
        <v>1</v>
      </c>
      <c r="V276">
        <f t="shared" si="34"/>
        <v>0</v>
      </c>
      <c r="W276">
        <f t="shared" si="34"/>
        <v>0</v>
      </c>
      <c r="X276">
        <f t="shared" si="34"/>
        <v>1</v>
      </c>
      <c r="Y276">
        <f t="shared" si="33"/>
        <v>0</v>
      </c>
      <c r="Z276">
        <f t="shared" si="33"/>
        <v>1</v>
      </c>
      <c r="AA276">
        <f t="shared" si="33"/>
        <v>0</v>
      </c>
    </row>
    <row r="277" spans="1:27" x14ac:dyDescent="0.4">
      <c r="A277">
        <v>276</v>
      </c>
      <c r="B277">
        <v>1</v>
      </c>
      <c r="C277" t="s">
        <v>587</v>
      </c>
      <c r="D277" t="s">
        <v>18</v>
      </c>
      <c r="E277">
        <v>63</v>
      </c>
      <c r="F277">
        <v>1</v>
      </c>
      <c r="G277">
        <v>0</v>
      </c>
      <c r="H277" t="s">
        <v>588</v>
      </c>
      <c r="I277">
        <v>77.958299999999994</v>
      </c>
      <c r="J277" t="s">
        <v>589</v>
      </c>
      <c r="K277" t="s">
        <v>16</v>
      </c>
      <c r="L277">
        <v>1</v>
      </c>
      <c r="R277">
        <f t="shared" si="30"/>
        <v>63</v>
      </c>
      <c r="S277" t="str">
        <f t="shared" si="31"/>
        <v>S</v>
      </c>
      <c r="U277">
        <f t="shared" si="32"/>
        <v>1</v>
      </c>
      <c r="V277">
        <f t="shared" si="34"/>
        <v>1</v>
      </c>
      <c r="W277">
        <f t="shared" si="34"/>
        <v>0</v>
      </c>
      <c r="X277">
        <f t="shared" si="34"/>
        <v>0</v>
      </c>
      <c r="Y277">
        <f t="shared" si="33"/>
        <v>1</v>
      </c>
      <c r="Z277">
        <f t="shared" si="33"/>
        <v>0</v>
      </c>
      <c r="AA277">
        <f t="shared" si="33"/>
        <v>0</v>
      </c>
    </row>
    <row r="278" spans="1:27" x14ac:dyDescent="0.4">
      <c r="A278">
        <v>277</v>
      </c>
      <c r="B278">
        <v>3</v>
      </c>
      <c r="C278" t="s">
        <v>590</v>
      </c>
      <c r="D278" t="s">
        <v>18</v>
      </c>
      <c r="E278">
        <v>45</v>
      </c>
      <c r="F278">
        <v>0</v>
      </c>
      <c r="G278">
        <v>0</v>
      </c>
      <c r="H278" t="s">
        <v>591</v>
      </c>
      <c r="I278">
        <v>7.75</v>
      </c>
      <c r="J278" t="s">
        <v>15</v>
      </c>
      <c r="K278" t="s">
        <v>16</v>
      </c>
      <c r="L278">
        <v>0</v>
      </c>
      <c r="R278">
        <f t="shared" si="30"/>
        <v>45</v>
      </c>
      <c r="S278" t="str">
        <f t="shared" si="31"/>
        <v>S</v>
      </c>
      <c r="U278">
        <f t="shared" si="32"/>
        <v>1</v>
      </c>
      <c r="V278">
        <f t="shared" si="34"/>
        <v>0</v>
      </c>
      <c r="W278">
        <f t="shared" si="34"/>
        <v>0</v>
      </c>
      <c r="X278">
        <f t="shared" si="34"/>
        <v>1</v>
      </c>
      <c r="Y278">
        <f t="shared" si="33"/>
        <v>1</v>
      </c>
      <c r="Z278">
        <f t="shared" si="33"/>
        <v>0</v>
      </c>
      <c r="AA278">
        <f t="shared" si="33"/>
        <v>0</v>
      </c>
    </row>
    <row r="279" spans="1:27" x14ac:dyDescent="0.4">
      <c r="A279">
        <v>278</v>
      </c>
      <c r="B279">
        <v>2</v>
      </c>
      <c r="C279" t="s">
        <v>592</v>
      </c>
      <c r="D279" t="s">
        <v>13</v>
      </c>
      <c r="F279">
        <v>0</v>
      </c>
      <c r="G279">
        <v>0</v>
      </c>
      <c r="H279" t="s">
        <v>593</v>
      </c>
      <c r="I279">
        <v>0</v>
      </c>
      <c r="J279" t="s">
        <v>15</v>
      </c>
      <c r="K279" t="s">
        <v>16</v>
      </c>
      <c r="L279">
        <v>0</v>
      </c>
      <c r="R279">
        <f t="shared" si="30"/>
        <v>28</v>
      </c>
      <c r="S279" t="str">
        <f t="shared" si="31"/>
        <v>S</v>
      </c>
      <c r="U279">
        <f t="shared" si="32"/>
        <v>0</v>
      </c>
      <c r="V279">
        <f t="shared" si="34"/>
        <v>0</v>
      </c>
      <c r="W279">
        <f t="shared" si="34"/>
        <v>1</v>
      </c>
      <c r="X279">
        <f t="shared" si="34"/>
        <v>0</v>
      </c>
      <c r="Y279">
        <f t="shared" si="33"/>
        <v>1</v>
      </c>
      <c r="Z279">
        <f t="shared" si="33"/>
        <v>0</v>
      </c>
      <c r="AA279">
        <f t="shared" si="33"/>
        <v>0</v>
      </c>
    </row>
    <row r="280" spans="1:27" x14ac:dyDescent="0.4">
      <c r="A280">
        <v>279</v>
      </c>
      <c r="B280">
        <v>3</v>
      </c>
      <c r="C280" t="s">
        <v>594</v>
      </c>
      <c r="D280" t="s">
        <v>13</v>
      </c>
      <c r="E280">
        <v>7</v>
      </c>
      <c r="F280">
        <v>4</v>
      </c>
      <c r="G280">
        <v>1</v>
      </c>
      <c r="H280" t="s">
        <v>56</v>
      </c>
      <c r="I280">
        <v>29.125</v>
      </c>
      <c r="J280" t="s">
        <v>15</v>
      </c>
      <c r="K280" t="s">
        <v>31</v>
      </c>
      <c r="L280">
        <v>0</v>
      </c>
      <c r="R280">
        <f t="shared" si="30"/>
        <v>7</v>
      </c>
      <c r="S280" t="str">
        <f t="shared" si="31"/>
        <v>Q</v>
      </c>
      <c r="U280">
        <f t="shared" si="32"/>
        <v>0</v>
      </c>
      <c r="V280">
        <f t="shared" si="34"/>
        <v>0</v>
      </c>
      <c r="W280">
        <f t="shared" si="34"/>
        <v>0</v>
      </c>
      <c r="X280">
        <f t="shared" si="34"/>
        <v>1</v>
      </c>
      <c r="Y280">
        <f t="shared" si="33"/>
        <v>0</v>
      </c>
      <c r="Z280">
        <f t="shared" si="33"/>
        <v>1</v>
      </c>
      <c r="AA280">
        <f t="shared" si="33"/>
        <v>0</v>
      </c>
    </row>
    <row r="281" spans="1:27" x14ac:dyDescent="0.4">
      <c r="A281">
        <v>280</v>
      </c>
      <c r="B281">
        <v>3</v>
      </c>
      <c r="C281" t="s">
        <v>595</v>
      </c>
      <c r="D281" t="s">
        <v>18</v>
      </c>
      <c r="E281">
        <v>35</v>
      </c>
      <c r="F281">
        <v>1</v>
      </c>
      <c r="G281">
        <v>1</v>
      </c>
      <c r="H281" t="s">
        <v>596</v>
      </c>
      <c r="I281">
        <v>20.25</v>
      </c>
      <c r="J281" t="s">
        <v>15</v>
      </c>
      <c r="K281" t="s">
        <v>16</v>
      </c>
      <c r="L281">
        <v>1</v>
      </c>
      <c r="R281">
        <f t="shared" si="30"/>
        <v>35</v>
      </c>
      <c r="S281" t="str">
        <f t="shared" si="31"/>
        <v>S</v>
      </c>
      <c r="U281">
        <f t="shared" si="32"/>
        <v>1</v>
      </c>
      <c r="V281">
        <f t="shared" si="34"/>
        <v>0</v>
      </c>
      <c r="W281">
        <f t="shared" si="34"/>
        <v>0</v>
      </c>
      <c r="X281">
        <f t="shared" si="34"/>
        <v>1</v>
      </c>
      <c r="Y281">
        <f t="shared" si="33"/>
        <v>1</v>
      </c>
      <c r="Z281">
        <f t="shared" si="33"/>
        <v>0</v>
      </c>
      <c r="AA281">
        <f t="shared" si="33"/>
        <v>0</v>
      </c>
    </row>
    <row r="282" spans="1:27" x14ac:dyDescent="0.4">
      <c r="A282">
        <v>281</v>
      </c>
      <c r="B282">
        <v>3</v>
      </c>
      <c r="C282" t="s">
        <v>597</v>
      </c>
      <c r="D282" t="s">
        <v>13</v>
      </c>
      <c r="E282">
        <v>65</v>
      </c>
      <c r="F282">
        <v>0</v>
      </c>
      <c r="G282">
        <v>0</v>
      </c>
      <c r="H282" t="s">
        <v>598</v>
      </c>
      <c r="I282">
        <v>7.75</v>
      </c>
      <c r="J282" t="s">
        <v>15</v>
      </c>
      <c r="K282" t="s">
        <v>31</v>
      </c>
      <c r="L282">
        <v>0</v>
      </c>
      <c r="R282">
        <f t="shared" si="30"/>
        <v>65</v>
      </c>
      <c r="S282" t="str">
        <f t="shared" si="31"/>
        <v>Q</v>
      </c>
      <c r="U282">
        <f t="shared" si="32"/>
        <v>0</v>
      </c>
      <c r="V282">
        <f t="shared" ref="V282:X301" si="35">IF("Pclass_"&amp;$B282=V$1,1,0)</f>
        <v>0</v>
      </c>
      <c r="W282">
        <f t="shared" si="35"/>
        <v>0</v>
      </c>
      <c r="X282">
        <f t="shared" si="35"/>
        <v>1</v>
      </c>
      <c r="Y282">
        <f t="shared" si="33"/>
        <v>0</v>
      </c>
      <c r="Z282">
        <f t="shared" si="33"/>
        <v>1</v>
      </c>
      <c r="AA282">
        <f t="shared" si="33"/>
        <v>0</v>
      </c>
    </row>
    <row r="283" spans="1:27" x14ac:dyDescent="0.4">
      <c r="A283">
        <v>282</v>
      </c>
      <c r="B283">
        <v>3</v>
      </c>
      <c r="C283" t="s">
        <v>599</v>
      </c>
      <c r="D283" t="s">
        <v>13</v>
      </c>
      <c r="E283">
        <v>28</v>
      </c>
      <c r="F283">
        <v>0</v>
      </c>
      <c r="G283">
        <v>0</v>
      </c>
      <c r="H283" t="s">
        <v>600</v>
      </c>
      <c r="I283">
        <v>7.8541999999999996</v>
      </c>
      <c r="J283" t="s">
        <v>15</v>
      </c>
      <c r="K283" t="s">
        <v>16</v>
      </c>
      <c r="L283">
        <v>0</v>
      </c>
      <c r="R283">
        <f t="shared" si="30"/>
        <v>28</v>
      </c>
      <c r="S283" t="str">
        <f t="shared" si="31"/>
        <v>S</v>
      </c>
      <c r="U283">
        <f t="shared" si="32"/>
        <v>0</v>
      </c>
      <c r="V283">
        <f t="shared" si="35"/>
        <v>0</v>
      </c>
      <c r="W283">
        <f t="shared" si="35"/>
        <v>0</v>
      </c>
      <c r="X283">
        <f t="shared" si="35"/>
        <v>1</v>
      </c>
      <c r="Y283">
        <f t="shared" si="33"/>
        <v>1</v>
      </c>
      <c r="Z283">
        <f t="shared" si="33"/>
        <v>0</v>
      </c>
      <c r="AA283">
        <f t="shared" si="33"/>
        <v>0</v>
      </c>
    </row>
    <row r="284" spans="1:27" x14ac:dyDescent="0.4">
      <c r="A284">
        <v>283</v>
      </c>
      <c r="B284">
        <v>3</v>
      </c>
      <c r="C284" t="s">
        <v>601</v>
      </c>
      <c r="D284" t="s">
        <v>13</v>
      </c>
      <c r="E284">
        <v>16</v>
      </c>
      <c r="F284">
        <v>0</v>
      </c>
      <c r="G284">
        <v>0</v>
      </c>
      <c r="H284" t="s">
        <v>602</v>
      </c>
      <c r="I284">
        <v>9.5</v>
      </c>
      <c r="J284" t="s">
        <v>15</v>
      </c>
      <c r="K284" t="s">
        <v>16</v>
      </c>
      <c r="L284">
        <v>0</v>
      </c>
      <c r="R284">
        <f t="shared" si="30"/>
        <v>16</v>
      </c>
      <c r="S284" t="str">
        <f t="shared" si="31"/>
        <v>S</v>
      </c>
      <c r="U284">
        <f t="shared" si="32"/>
        <v>0</v>
      </c>
      <c r="V284">
        <f t="shared" si="35"/>
        <v>0</v>
      </c>
      <c r="W284">
        <f t="shared" si="35"/>
        <v>0</v>
      </c>
      <c r="X284">
        <f t="shared" si="35"/>
        <v>1</v>
      </c>
      <c r="Y284">
        <f t="shared" si="33"/>
        <v>1</v>
      </c>
      <c r="Z284">
        <f t="shared" si="33"/>
        <v>0</v>
      </c>
      <c r="AA284">
        <f t="shared" si="33"/>
        <v>0</v>
      </c>
    </row>
    <row r="285" spans="1:27" x14ac:dyDescent="0.4">
      <c r="A285">
        <v>284</v>
      </c>
      <c r="B285">
        <v>3</v>
      </c>
      <c r="C285" t="s">
        <v>603</v>
      </c>
      <c r="D285" t="s">
        <v>13</v>
      </c>
      <c r="E285">
        <v>19</v>
      </c>
      <c r="F285">
        <v>0</v>
      </c>
      <c r="G285">
        <v>0</v>
      </c>
      <c r="H285" t="s">
        <v>604</v>
      </c>
      <c r="I285">
        <v>8.0500000000000007</v>
      </c>
      <c r="J285" t="s">
        <v>15</v>
      </c>
      <c r="K285" t="s">
        <v>16</v>
      </c>
      <c r="L285">
        <v>1</v>
      </c>
      <c r="R285">
        <f t="shared" si="30"/>
        <v>19</v>
      </c>
      <c r="S285" t="str">
        <f t="shared" si="31"/>
        <v>S</v>
      </c>
      <c r="U285">
        <f t="shared" si="32"/>
        <v>0</v>
      </c>
      <c r="V285">
        <f t="shared" si="35"/>
        <v>0</v>
      </c>
      <c r="W285">
        <f t="shared" si="35"/>
        <v>0</v>
      </c>
      <c r="X285">
        <f t="shared" si="35"/>
        <v>1</v>
      </c>
      <c r="Y285">
        <f t="shared" si="33"/>
        <v>1</v>
      </c>
      <c r="Z285">
        <f t="shared" si="33"/>
        <v>0</v>
      </c>
      <c r="AA285">
        <f t="shared" si="33"/>
        <v>0</v>
      </c>
    </row>
    <row r="286" spans="1:27" x14ac:dyDescent="0.4">
      <c r="A286">
        <v>285</v>
      </c>
      <c r="B286">
        <v>1</v>
      </c>
      <c r="C286" t="s">
        <v>605</v>
      </c>
      <c r="D286" t="s">
        <v>13</v>
      </c>
      <c r="F286">
        <v>0</v>
      </c>
      <c r="G286">
        <v>0</v>
      </c>
      <c r="H286" t="s">
        <v>606</v>
      </c>
      <c r="I286">
        <v>26</v>
      </c>
      <c r="J286" t="s">
        <v>607</v>
      </c>
      <c r="K286" t="s">
        <v>16</v>
      </c>
      <c r="L286">
        <v>0</v>
      </c>
      <c r="R286">
        <f t="shared" si="30"/>
        <v>28</v>
      </c>
      <c r="S286" t="str">
        <f t="shared" si="31"/>
        <v>S</v>
      </c>
      <c r="U286">
        <f t="shared" si="32"/>
        <v>0</v>
      </c>
      <c r="V286">
        <f t="shared" si="35"/>
        <v>1</v>
      </c>
      <c r="W286">
        <f t="shared" si="35"/>
        <v>0</v>
      </c>
      <c r="X286">
        <f t="shared" si="35"/>
        <v>0</v>
      </c>
      <c r="Y286">
        <f t="shared" si="33"/>
        <v>1</v>
      </c>
      <c r="Z286">
        <f t="shared" si="33"/>
        <v>0</v>
      </c>
      <c r="AA286">
        <f t="shared" si="33"/>
        <v>0</v>
      </c>
    </row>
    <row r="287" spans="1:27" x14ac:dyDescent="0.4">
      <c r="A287">
        <v>286</v>
      </c>
      <c r="B287">
        <v>3</v>
      </c>
      <c r="C287" t="s">
        <v>608</v>
      </c>
      <c r="D287" t="s">
        <v>13</v>
      </c>
      <c r="E287">
        <v>33</v>
      </c>
      <c r="F287">
        <v>0</v>
      </c>
      <c r="G287">
        <v>0</v>
      </c>
      <c r="H287" t="s">
        <v>609</v>
      </c>
      <c r="I287">
        <v>8.6624999999999996</v>
      </c>
      <c r="J287" t="s">
        <v>15</v>
      </c>
      <c r="K287" t="s">
        <v>21</v>
      </c>
      <c r="L287">
        <v>0</v>
      </c>
      <c r="R287">
        <f t="shared" si="30"/>
        <v>33</v>
      </c>
      <c r="S287" t="str">
        <f t="shared" si="31"/>
        <v>C</v>
      </c>
      <c r="U287">
        <f t="shared" si="32"/>
        <v>0</v>
      </c>
      <c r="V287">
        <f t="shared" si="35"/>
        <v>0</v>
      </c>
      <c r="W287">
        <f t="shared" si="35"/>
        <v>0</v>
      </c>
      <c r="X287">
        <f t="shared" si="35"/>
        <v>1</v>
      </c>
      <c r="Y287">
        <f t="shared" si="33"/>
        <v>0</v>
      </c>
      <c r="Z287">
        <f t="shared" si="33"/>
        <v>0</v>
      </c>
      <c r="AA287">
        <f t="shared" si="33"/>
        <v>1</v>
      </c>
    </row>
    <row r="288" spans="1:27" x14ac:dyDescent="0.4">
      <c r="A288">
        <v>287</v>
      </c>
      <c r="B288">
        <v>3</v>
      </c>
      <c r="C288" t="s">
        <v>610</v>
      </c>
      <c r="D288" t="s">
        <v>13</v>
      </c>
      <c r="E288">
        <v>30</v>
      </c>
      <c r="F288">
        <v>0</v>
      </c>
      <c r="G288">
        <v>0</v>
      </c>
      <c r="H288" t="s">
        <v>611</v>
      </c>
      <c r="I288">
        <v>9.5</v>
      </c>
      <c r="J288" t="s">
        <v>15</v>
      </c>
      <c r="K288" t="s">
        <v>16</v>
      </c>
      <c r="L288">
        <v>1</v>
      </c>
      <c r="R288">
        <f t="shared" si="30"/>
        <v>30</v>
      </c>
      <c r="S288" t="str">
        <f t="shared" si="31"/>
        <v>S</v>
      </c>
      <c r="U288">
        <f t="shared" si="32"/>
        <v>0</v>
      </c>
      <c r="V288">
        <f t="shared" si="35"/>
        <v>0</v>
      </c>
      <c r="W288">
        <f t="shared" si="35"/>
        <v>0</v>
      </c>
      <c r="X288">
        <f t="shared" si="35"/>
        <v>1</v>
      </c>
      <c r="Y288">
        <f t="shared" si="33"/>
        <v>1</v>
      </c>
      <c r="Z288">
        <f t="shared" si="33"/>
        <v>0</v>
      </c>
      <c r="AA288">
        <f t="shared" si="33"/>
        <v>0</v>
      </c>
    </row>
    <row r="289" spans="1:27" x14ac:dyDescent="0.4">
      <c r="A289">
        <v>288</v>
      </c>
      <c r="B289">
        <v>3</v>
      </c>
      <c r="C289" t="s">
        <v>612</v>
      </c>
      <c r="D289" t="s">
        <v>13</v>
      </c>
      <c r="E289">
        <v>22</v>
      </c>
      <c r="F289">
        <v>0</v>
      </c>
      <c r="G289">
        <v>0</v>
      </c>
      <c r="H289" t="s">
        <v>613</v>
      </c>
      <c r="I289">
        <v>7.8958000000000004</v>
      </c>
      <c r="J289" t="s">
        <v>15</v>
      </c>
      <c r="K289" t="s">
        <v>16</v>
      </c>
      <c r="L289">
        <v>0</v>
      </c>
      <c r="R289">
        <f t="shared" si="30"/>
        <v>22</v>
      </c>
      <c r="S289" t="str">
        <f t="shared" si="31"/>
        <v>S</v>
      </c>
      <c r="U289">
        <f t="shared" si="32"/>
        <v>0</v>
      </c>
      <c r="V289">
        <f t="shared" si="35"/>
        <v>0</v>
      </c>
      <c r="W289">
        <f t="shared" si="35"/>
        <v>0</v>
      </c>
      <c r="X289">
        <f t="shared" si="35"/>
        <v>1</v>
      </c>
      <c r="Y289">
        <f t="shared" si="33"/>
        <v>1</v>
      </c>
      <c r="Z289">
        <f t="shared" si="33"/>
        <v>0</v>
      </c>
      <c r="AA289">
        <f t="shared" si="33"/>
        <v>0</v>
      </c>
    </row>
    <row r="290" spans="1:27" x14ac:dyDescent="0.4">
      <c r="A290">
        <v>289</v>
      </c>
      <c r="B290">
        <v>2</v>
      </c>
      <c r="C290" t="s">
        <v>614</v>
      </c>
      <c r="D290" t="s">
        <v>13</v>
      </c>
      <c r="E290">
        <v>42</v>
      </c>
      <c r="F290">
        <v>0</v>
      </c>
      <c r="G290">
        <v>0</v>
      </c>
      <c r="H290" t="s">
        <v>615</v>
      </c>
      <c r="I290">
        <v>13</v>
      </c>
      <c r="J290" t="s">
        <v>15</v>
      </c>
      <c r="K290" t="s">
        <v>16</v>
      </c>
      <c r="L290">
        <v>1</v>
      </c>
      <c r="R290">
        <f t="shared" si="30"/>
        <v>42</v>
      </c>
      <c r="S290" t="str">
        <f t="shared" si="31"/>
        <v>S</v>
      </c>
      <c r="U290">
        <f t="shared" si="32"/>
        <v>0</v>
      </c>
      <c r="V290">
        <f t="shared" si="35"/>
        <v>0</v>
      </c>
      <c r="W290">
        <f t="shared" si="35"/>
        <v>1</v>
      </c>
      <c r="X290">
        <f t="shared" si="35"/>
        <v>0</v>
      </c>
      <c r="Y290">
        <f t="shared" si="33"/>
        <v>1</v>
      </c>
      <c r="Z290">
        <f t="shared" si="33"/>
        <v>0</v>
      </c>
      <c r="AA290">
        <f t="shared" si="33"/>
        <v>0</v>
      </c>
    </row>
    <row r="291" spans="1:27" x14ac:dyDescent="0.4">
      <c r="A291">
        <v>290</v>
      </c>
      <c r="B291">
        <v>3</v>
      </c>
      <c r="C291" t="s">
        <v>616</v>
      </c>
      <c r="D291" t="s">
        <v>18</v>
      </c>
      <c r="E291">
        <v>22</v>
      </c>
      <c r="F291">
        <v>0</v>
      </c>
      <c r="G291">
        <v>0</v>
      </c>
      <c r="H291" t="s">
        <v>617</v>
      </c>
      <c r="I291">
        <v>7.75</v>
      </c>
      <c r="J291" t="s">
        <v>15</v>
      </c>
      <c r="K291" t="s">
        <v>31</v>
      </c>
      <c r="L291">
        <v>1</v>
      </c>
      <c r="R291">
        <f t="shared" si="30"/>
        <v>22</v>
      </c>
      <c r="S291" t="str">
        <f t="shared" si="31"/>
        <v>Q</v>
      </c>
      <c r="U291">
        <f t="shared" si="32"/>
        <v>1</v>
      </c>
      <c r="V291">
        <f t="shared" si="35"/>
        <v>0</v>
      </c>
      <c r="W291">
        <f t="shared" si="35"/>
        <v>0</v>
      </c>
      <c r="X291">
        <f t="shared" si="35"/>
        <v>1</v>
      </c>
      <c r="Y291">
        <f t="shared" si="33"/>
        <v>0</v>
      </c>
      <c r="Z291">
        <f t="shared" si="33"/>
        <v>1</v>
      </c>
      <c r="AA291">
        <f t="shared" si="33"/>
        <v>0</v>
      </c>
    </row>
    <row r="292" spans="1:27" x14ac:dyDescent="0.4">
      <c r="A292">
        <v>291</v>
      </c>
      <c r="B292">
        <v>1</v>
      </c>
      <c r="C292" t="s">
        <v>618</v>
      </c>
      <c r="D292" t="s">
        <v>18</v>
      </c>
      <c r="E292">
        <v>26</v>
      </c>
      <c r="F292">
        <v>0</v>
      </c>
      <c r="G292">
        <v>0</v>
      </c>
      <c r="H292" t="s">
        <v>619</v>
      </c>
      <c r="I292">
        <v>78.849999999999994</v>
      </c>
      <c r="J292" t="s">
        <v>15</v>
      </c>
      <c r="K292" t="s">
        <v>16</v>
      </c>
      <c r="L292">
        <v>1</v>
      </c>
      <c r="R292">
        <f t="shared" si="30"/>
        <v>26</v>
      </c>
      <c r="S292" t="str">
        <f t="shared" si="31"/>
        <v>S</v>
      </c>
      <c r="U292">
        <f t="shared" si="32"/>
        <v>1</v>
      </c>
      <c r="V292">
        <f t="shared" si="35"/>
        <v>1</v>
      </c>
      <c r="W292">
        <f t="shared" si="35"/>
        <v>0</v>
      </c>
      <c r="X292">
        <f t="shared" si="35"/>
        <v>0</v>
      </c>
      <c r="Y292">
        <f t="shared" si="33"/>
        <v>1</v>
      </c>
      <c r="Z292">
        <f t="shared" si="33"/>
        <v>0</v>
      </c>
      <c r="AA292">
        <f t="shared" si="33"/>
        <v>0</v>
      </c>
    </row>
    <row r="293" spans="1:27" x14ac:dyDescent="0.4">
      <c r="A293">
        <v>292</v>
      </c>
      <c r="B293">
        <v>1</v>
      </c>
      <c r="C293" t="s">
        <v>620</v>
      </c>
      <c r="D293" t="s">
        <v>18</v>
      </c>
      <c r="E293">
        <v>19</v>
      </c>
      <c r="F293">
        <v>1</v>
      </c>
      <c r="G293">
        <v>0</v>
      </c>
      <c r="H293" t="s">
        <v>621</v>
      </c>
      <c r="I293">
        <v>91.0792</v>
      </c>
      <c r="J293" t="s">
        <v>622</v>
      </c>
      <c r="K293" t="s">
        <v>21</v>
      </c>
      <c r="L293">
        <v>1</v>
      </c>
      <c r="R293">
        <f t="shared" si="30"/>
        <v>19</v>
      </c>
      <c r="S293" t="str">
        <f t="shared" si="31"/>
        <v>C</v>
      </c>
      <c r="U293">
        <f t="shared" si="32"/>
        <v>1</v>
      </c>
      <c r="V293">
        <f t="shared" si="35"/>
        <v>1</v>
      </c>
      <c r="W293">
        <f t="shared" si="35"/>
        <v>0</v>
      </c>
      <c r="X293">
        <f t="shared" si="35"/>
        <v>0</v>
      </c>
      <c r="Y293">
        <f t="shared" si="33"/>
        <v>0</v>
      </c>
      <c r="Z293">
        <f t="shared" si="33"/>
        <v>0</v>
      </c>
      <c r="AA293">
        <f t="shared" si="33"/>
        <v>1</v>
      </c>
    </row>
    <row r="294" spans="1:27" x14ac:dyDescent="0.4">
      <c r="A294">
        <v>293</v>
      </c>
      <c r="B294">
        <v>2</v>
      </c>
      <c r="C294" t="s">
        <v>623</v>
      </c>
      <c r="D294" t="s">
        <v>13</v>
      </c>
      <c r="E294">
        <v>36</v>
      </c>
      <c r="F294">
        <v>0</v>
      </c>
      <c r="G294">
        <v>0</v>
      </c>
      <c r="H294" t="s">
        <v>624</v>
      </c>
      <c r="I294">
        <v>12.875</v>
      </c>
      <c r="J294" t="s">
        <v>625</v>
      </c>
      <c r="K294" t="s">
        <v>21</v>
      </c>
      <c r="L294">
        <v>0</v>
      </c>
      <c r="R294">
        <f t="shared" si="30"/>
        <v>36</v>
      </c>
      <c r="S294" t="str">
        <f t="shared" si="31"/>
        <v>C</v>
      </c>
      <c r="U294">
        <f t="shared" si="32"/>
        <v>0</v>
      </c>
      <c r="V294">
        <f t="shared" si="35"/>
        <v>0</v>
      </c>
      <c r="W294">
        <f t="shared" si="35"/>
        <v>1</v>
      </c>
      <c r="X294">
        <f t="shared" si="35"/>
        <v>0</v>
      </c>
      <c r="Y294">
        <f t="shared" si="33"/>
        <v>0</v>
      </c>
      <c r="Z294">
        <f t="shared" si="33"/>
        <v>0</v>
      </c>
      <c r="AA294">
        <f t="shared" si="33"/>
        <v>1</v>
      </c>
    </row>
    <row r="295" spans="1:27" x14ac:dyDescent="0.4">
      <c r="A295">
        <v>294</v>
      </c>
      <c r="B295">
        <v>3</v>
      </c>
      <c r="C295" t="s">
        <v>626</v>
      </c>
      <c r="D295" t="s">
        <v>18</v>
      </c>
      <c r="E295">
        <v>24</v>
      </c>
      <c r="F295">
        <v>0</v>
      </c>
      <c r="G295">
        <v>0</v>
      </c>
      <c r="H295" t="s">
        <v>627</v>
      </c>
      <c r="I295">
        <v>8.85</v>
      </c>
      <c r="J295" t="s">
        <v>15</v>
      </c>
      <c r="K295" t="s">
        <v>16</v>
      </c>
      <c r="L295">
        <v>0</v>
      </c>
      <c r="R295">
        <f t="shared" si="30"/>
        <v>24</v>
      </c>
      <c r="S295" t="str">
        <f t="shared" si="31"/>
        <v>S</v>
      </c>
      <c r="U295">
        <f t="shared" si="32"/>
        <v>1</v>
      </c>
      <c r="V295">
        <f t="shared" si="35"/>
        <v>0</v>
      </c>
      <c r="W295">
        <f t="shared" si="35"/>
        <v>0</v>
      </c>
      <c r="X295">
        <f t="shared" si="35"/>
        <v>1</v>
      </c>
      <c r="Y295">
        <f t="shared" si="33"/>
        <v>1</v>
      </c>
      <c r="Z295">
        <f t="shared" si="33"/>
        <v>0</v>
      </c>
      <c r="AA295">
        <f t="shared" si="33"/>
        <v>0</v>
      </c>
    </row>
    <row r="296" spans="1:27" x14ac:dyDescent="0.4">
      <c r="A296">
        <v>295</v>
      </c>
      <c r="B296">
        <v>3</v>
      </c>
      <c r="C296" t="s">
        <v>628</v>
      </c>
      <c r="D296" t="s">
        <v>13</v>
      </c>
      <c r="E296">
        <v>24</v>
      </c>
      <c r="F296">
        <v>0</v>
      </c>
      <c r="G296">
        <v>0</v>
      </c>
      <c r="H296" t="s">
        <v>629</v>
      </c>
      <c r="I296">
        <v>7.8958000000000004</v>
      </c>
      <c r="J296" t="s">
        <v>15</v>
      </c>
      <c r="K296" t="s">
        <v>16</v>
      </c>
      <c r="L296">
        <v>0</v>
      </c>
      <c r="R296">
        <f t="shared" si="30"/>
        <v>24</v>
      </c>
      <c r="S296" t="str">
        <f t="shared" si="31"/>
        <v>S</v>
      </c>
      <c r="U296">
        <f t="shared" si="32"/>
        <v>0</v>
      </c>
      <c r="V296">
        <f t="shared" si="35"/>
        <v>0</v>
      </c>
      <c r="W296">
        <f t="shared" si="35"/>
        <v>0</v>
      </c>
      <c r="X296">
        <f t="shared" si="35"/>
        <v>1</v>
      </c>
      <c r="Y296">
        <f t="shared" si="33"/>
        <v>1</v>
      </c>
      <c r="Z296">
        <f t="shared" si="33"/>
        <v>0</v>
      </c>
      <c r="AA296">
        <f t="shared" si="33"/>
        <v>0</v>
      </c>
    </row>
    <row r="297" spans="1:27" x14ac:dyDescent="0.4">
      <c r="A297">
        <v>296</v>
      </c>
      <c r="B297">
        <v>1</v>
      </c>
      <c r="C297" t="s">
        <v>630</v>
      </c>
      <c r="D297" t="s">
        <v>13</v>
      </c>
      <c r="F297">
        <v>0</v>
      </c>
      <c r="G297">
        <v>0</v>
      </c>
      <c r="H297" t="s">
        <v>631</v>
      </c>
      <c r="I297">
        <v>27.720800000000001</v>
      </c>
      <c r="J297" t="s">
        <v>15</v>
      </c>
      <c r="K297" t="s">
        <v>21</v>
      </c>
      <c r="L297">
        <v>0</v>
      </c>
      <c r="R297">
        <f t="shared" si="30"/>
        <v>28</v>
      </c>
      <c r="S297" t="str">
        <f t="shared" si="31"/>
        <v>C</v>
      </c>
      <c r="U297">
        <f t="shared" si="32"/>
        <v>0</v>
      </c>
      <c r="V297">
        <f t="shared" si="35"/>
        <v>1</v>
      </c>
      <c r="W297">
        <f t="shared" si="35"/>
        <v>0</v>
      </c>
      <c r="X297">
        <f t="shared" si="35"/>
        <v>0</v>
      </c>
      <c r="Y297">
        <f t="shared" si="33"/>
        <v>0</v>
      </c>
      <c r="Z297">
        <f t="shared" si="33"/>
        <v>0</v>
      </c>
      <c r="AA297">
        <f t="shared" si="33"/>
        <v>1</v>
      </c>
    </row>
    <row r="298" spans="1:27" x14ac:dyDescent="0.4">
      <c r="A298">
        <v>297</v>
      </c>
      <c r="B298">
        <v>3</v>
      </c>
      <c r="C298" t="s">
        <v>632</v>
      </c>
      <c r="D298" t="s">
        <v>13</v>
      </c>
      <c r="E298">
        <v>23.5</v>
      </c>
      <c r="F298">
        <v>0</v>
      </c>
      <c r="G298">
        <v>0</v>
      </c>
      <c r="H298" t="s">
        <v>633</v>
      </c>
      <c r="I298">
        <v>7.2291999999999996</v>
      </c>
      <c r="J298" t="s">
        <v>15</v>
      </c>
      <c r="K298" t="s">
        <v>21</v>
      </c>
      <c r="L298">
        <v>0</v>
      </c>
      <c r="R298">
        <f t="shared" si="30"/>
        <v>23.5</v>
      </c>
      <c r="S298" t="str">
        <f t="shared" si="31"/>
        <v>C</v>
      </c>
      <c r="U298">
        <f t="shared" si="32"/>
        <v>0</v>
      </c>
      <c r="V298">
        <f t="shared" si="35"/>
        <v>0</v>
      </c>
      <c r="W298">
        <f t="shared" si="35"/>
        <v>0</v>
      </c>
      <c r="X298">
        <f t="shared" si="35"/>
        <v>1</v>
      </c>
      <c r="Y298">
        <f t="shared" si="33"/>
        <v>0</v>
      </c>
      <c r="Z298">
        <f t="shared" si="33"/>
        <v>0</v>
      </c>
      <c r="AA298">
        <f t="shared" si="33"/>
        <v>1</v>
      </c>
    </row>
    <row r="299" spans="1:27" x14ac:dyDescent="0.4">
      <c r="A299">
        <v>298</v>
      </c>
      <c r="B299">
        <v>1</v>
      </c>
      <c r="C299" t="s">
        <v>634</v>
      </c>
      <c r="D299" t="s">
        <v>18</v>
      </c>
      <c r="E299">
        <v>2</v>
      </c>
      <c r="F299">
        <v>1</v>
      </c>
      <c r="G299">
        <v>2</v>
      </c>
      <c r="H299" t="s">
        <v>635</v>
      </c>
      <c r="I299">
        <v>151.55000000000001</v>
      </c>
      <c r="J299" t="s">
        <v>636</v>
      </c>
      <c r="K299" t="s">
        <v>16</v>
      </c>
      <c r="L299">
        <v>0</v>
      </c>
      <c r="R299">
        <f t="shared" si="30"/>
        <v>2</v>
      </c>
      <c r="S299" t="str">
        <f t="shared" si="31"/>
        <v>S</v>
      </c>
      <c r="U299">
        <f t="shared" si="32"/>
        <v>1</v>
      </c>
      <c r="V299">
        <f t="shared" si="35"/>
        <v>1</v>
      </c>
      <c r="W299">
        <f t="shared" si="35"/>
        <v>0</v>
      </c>
      <c r="X299">
        <f t="shared" si="35"/>
        <v>0</v>
      </c>
      <c r="Y299">
        <f t="shared" si="33"/>
        <v>1</v>
      </c>
      <c r="Z299">
        <f t="shared" si="33"/>
        <v>0</v>
      </c>
      <c r="AA299">
        <f t="shared" si="33"/>
        <v>0</v>
      </c>
    </row>
    <row r="300" spans="1:27" x14ac:dyDescent="0.4">
      <c r="A300">
        <v>299</v>
      </c>
      <c r="B300">
        <v>1</v>
      </c>
      <c r="C300" t="s">
        <v>637</v>
      </c>
      <c r="D300" t="s">
        <v>13</v>
      </c>
      <c r="F300">
        <v>0</v>
      </c>
      <c r="G300">
        <v>0</v>
      </c>
      <c r="H300" t="s">
        <v>638</v>
      </c>
      <c r="I300">
        <v>30.5</v>
      </c>
      <c r="J300" t="s">
        <v>639</v>
      </c>
      <c r="K300" t="s">
        <v>16</v>
      </c>
      <c r="L300">
        <v>1</v>
      </c>
      <c r="R300">
        <f t="shared" si="30"/>
        <v>28</v>
      </c>
      <c r="S300" t="str">
        <f t="shared" si="31"/>
        <v>S</v>
      </c>
      <c r="U300">
        <f t="shared" si="32"/>
        <v>0</v>
      </c>
      <c r="V300">
        <f t="shared" si="35"/>
        <v>1</v>
      </c>
      <c r="W300">
        <f t="shared" si="35"/>
        <v>0</v>
      </c>
      <c r="X300">
        <f t="shared" si="35"/>
        <v>0</v>
      </c>
      <c r="Y300">
        <f t="shared" si="33"/>
        <v>1</v>
      </c>
      <c r="Z300">
        <f t="shared" si="33"/>
        <v>0</v>
      </c>
      <c r="AA300">
        <f t="shared" si="33"/>
        <v>0</v>
      </c>
    </row>
    <row r="301" spans="1:27" x14ac:dyDescent="0.4">
      <c r="A301">
        <v>300</v>
      </c>
      <c r="B301">
        <v>1</v>
      </c>
      <c r="C301" t="s">
        <v>640</v>
      </c>
      <c r="D301" t="s">
        <v>18</v>
      </c>
      <c r="E301">
        <v>50</v>
      </c>
      <c r="F301">
        <v>0</v>
      </c>
      <c r="G301">
        <v>1</v>
      </c>
      <c r="H301" t="s">
        <v>272</v>
      </c>
      <c r="I301">
        <v>247.52080000000001</v>
      </c>
      <c r="J301" t="s">
        <v>273</v>
      </c>
      <c r="K301" t="s">
        <v>21</v>
      </c>
      <c r="L301">
        <v>1</v>
      </c>
      <c r="R301">
        <f t="shared" si="30"/>
        <v>50</v>
      </c>
      <c r="S301" t="str">
        <f t="shared" si="31"/>
        <v>C</v>
      </c>
      <c r="U301">
        <f t="shared" si="32"/>
        <v>1</v>
      </c>
      <c r="V301">
        <f t="shared" si="35"/>
        <v>1</v>
      </c>
      <c r="W301">
        <f t="shared" si="35"/>
        <v>0</v>
      </c>
      <c r="X301">
        <f t="shared" si="35"/>
        <v>0</v>
      </c>
      <c r="Y301">
        <f t="shared" si="33"/>
        <v>0</v>
      </c>
      <c r="Z301">
        <f t="shared" si="33"/>
        <v>0</v>
      </c>
      <c r="AA301">
        <f t="shared" si="33"/>
        <v>1</v>
      </c>
    </row>
    <row r="302" spans="1:27" x14ac:dyDescent="0.4">
      <c r="A302">
        <v>301</v>
      </c>
      <c r="B302">
        <v>3</v>
      </c>
      <c r="C302" t="s">
        <v>641</v>
      </c>
      <c r="D302" t="s">
        <v>18</v>
      </c>
      <c r="F302">
        <v>0</v>
      </c>
      <c r="G302">
        <v>0</v>
      </c>
      <c r="H302" t="s">
        <v>642</v>
      </c>
      <c r="I302">
        <v>7.75</v>
      </c>
      <c r="J302" t="s">
        <v>15</v>
      </c>
      <c r="K302" t="s">
        <v>31</v>
      </c>
      <c r="L302">
        <v>1</v>
      </c>
      <c r="R302">
        <f t="shared" si="30"/>
        <v>28</v>
      </c>
      <c r="S302" t="str">
        <f t="shared" si="31"/>
        <v>Q</v>
      </c>
      <c r="U302">
        <f t="shared" si="32"/>
        <v>1</v>
      </c>
      <c r="V302">
        <f t="shared" ref="V302:X321" si="36">IF("Pclass_"&amp;$B302=V$1,1,0)</f>
        <v>0</v>
      </c>
      <c r="W302">
        <f t="shared" si="36"/>
        <v>0</v>
      </c>
      <c r="X302">
        <f t="shared" si="36"/>
        <v>1</v>
      </c>
      <c r="Y302">
        <f t="shared" si="33"/>
        <v>0</v>
      </c>
      <c r="Z302">
        <f t="shared" si="33"/>
        <v>1</v>
      </c>
      <c r="AA302">
        <f t="shared" si="33"/>
        <v>0</v>
      </c>
    </row>
    <row r="303" spans="1:27" x14ac:dyDescent="0.4">
      <c r="A303">
        <v>302</v>
      </c>
      <c r="B303">
        <v>3</v>
      </c>
      <c r="C303" t="s">
        <v>643</v>
      </c>
      <c r="D303" t="s">
        <v>13</v>
      </c>
      <c r="F303">
        <v>2</v>
      </c>
      <c r="G303">
        <v>0</v>
      </c>
      <c r="H303" t="s">
        <v>644</v>
      </c>
      <c r="I303">
        <v>23.25</v>
      </c>
      <c r="J303" t="s">
        <v>15</v>
      </c>
      <c r="K303" t="s">
        <v>31</v>
      </c>
      <c r="L303">
        <v>1</v>
      </c>
      <c r="R303">
        <f t="shared" si="30"/>
        <v>28</v>
      </c>
      <c r="S303" t="str">
        <f t="shared" si="31"/>
        <v>Q</v>
      </c>
      <c r="U303">
        <f t="shared" si="32"/>
        <v>0</v>
      </c>
      <c r="V303">
        <f t="shared" si="36"/>
        <v>0</v>
      </c>
      <c r="W303">
        <f t="shared" si="36"/>
        <v>0</v>
      </c>
      <c r="X303">
        <f t="shared" si="36"/>
        <v>1</v>
      </c>
      <c r="Y303">
        <f t="shared" si="33"/>
        <v>0</v>
      </c>
      <c r="Z303">
        <f t="shared" si="33"/>
        <v>1</v>
      </c>
      <c r="AA303">
        <f t="shared" si="33"/>
        <v>0</v>
      </c>
    </row>
    <row r="304" spans="1:27" x14ac:dyDescent="0.4">
      <c r="A304">
        <v>303</v>
      </c>
      <c r="B304">
        <v>3</v>
      </c>
      <c r="C304" t="s">
        <v>645</v>
      </c>
      <c r="D304" t="s">
        <v>13</v>
      </c>
      <c r="E304">
        <v>19</v>
      </c>
      <c r="F304">
        <v>0</v>
      </c>
      <c r="G304">
        <v>0</v>
      </c>
      <c r="H304" t="s">
        <v>393</v>
      </c>
      <c r="I304">
        <v>0</v>
      </c>
      <c r="J304" t="s">
        <v>15</v>
      </c>
      <c r="K304" t="s">
        <v>16</v>
      </c>
      <c r="L304">
        <v>0</v>
      </c>
      <c r="R304">
        <f t="shared" si="30"/>
        <v>19</v>
      </c>
      <c r="S304" t="str">
        <f t="shared" si="31"/>
        <v>S</v>
      </c>
      <c r="U304">
        <f t="shared" si="32"/>
        <v>0</v>
      </c>
      <c r="V304">
        <f t="shared" si="36"/>
        <v>0</v>
      </c>
      <c r="W304">
        <f t="shared" si="36"/>
        <v>0</v>
      </c>
      <c r="X304">
        <f t="shared" si="36"/>
        <v>1</v>
      </c>
      <c r="Y304">
        <f t="shared" si="33"/>
        <v>1</v>
      </c>
      <c r="Z304">
        <f t="shared" si="33"/>
        <v>0</v>
      </c>
      <c r="AA304">
        <f t="shared" si="33"/>
        <v>0</v>
      </c>
    </row>
    <row r="305" spans="1:27" x14ac:dyDescent="0.4">
      <c r="A305">
        <v>304</v>
      </c>
      <c r="B305">
        <v>2</v>
      </c>
      <c r="C305" t="s">
        <v>646</v>
      </c>
      <c r="D305" t="s">
        <v>18</v>
      </c>
      <c r="F305">
        <v>0</v>
      </c>
      <c r="G305">
        <v>0</v>
      </c>
      <c r="H305" t="s">
        <v>647</v>
      </c>
      <c r="I305">
        <v>12.35</v>
      </c>
      <c r="J305" t="s">
        <v>281</v>
      </c>
      <c r="K305" t="s">
        <v>31</v>
      </c>
      <c r="L305">
        <v>1</v>
      </c>
      <c r="R305">
        <f t="shared" si="30"/>
        <v>28</v>
      </c>
      <c r="S305" t="str">
        <f t="shared" si="31"/>
        <v>Q</v>
      </c>
      <c r="U305">
        <f t="shared" si="32"/>
        <v>1</v>
      </c>
      <c r="V305">
        <f t="shared" si="36"/>
        <v>0</v>
      </c>
      <c r="W305">
        <f t="shared" si="36"/>
        <v>1</v>
      </c>
      <c r="X305">
        <f t="shared" si="36"/>
        <v>0</v>
      </c>
      <c r="Y305">
        <f t="shared" si="33"/>
        <v>0</v>
      </c>
      <c r="Z305">
        <f t="shared" si="33"/>
        <v>1</v>
      </c>
      <c r="AA305">
        <f t="shared" si="33"/>
        <v>0</v>
      </c>
    </row>
    <row r="306" spans="1:27" x14ac:dyDescent="0.4">
      <c r="A306">
        <v>305</v>
      </c>
      <c r="B306">
        <v>3</v>
      </c>
      <c r="C306" t="s">
        <v>648</v>
      </c>
      <c r="D306" t="s">
        <v>13</v>
      </c>
      <c r="F306">
        <v>0</v>
      </c>
      <c r="G306">
        <v>0</v>
      </c>
      <c r="H306" t="s">
        <v>649</v>
      </c>
      <c r="I306">
        <v>8.0500000000000007</v>
      </c>
      <c r="J306" t="s">
        <v>15</v>
      </c>
      <c r="K306" t="s">
        <v>16</v>
      </c>
      <c r="L306">
        <v>0</v>
      </c>
      <c r="R306">
        <f t="shared" si="30"/>
        <v>28</v>
      </c>
      <c r="S306" t="str">
        <f t="shared" si="31"/>
        <v>S</v>
      </c>
      <c r="U306">
        <f t="shared" si="32"/>
        <v>0</v>
      </c>
      <c r="V306">
        <f t="shared" si="36"/>
        <v>0</v>
      </c>
      <c r="W306">
        <f t="shared" si="36"/>
        <v>0</v>
      </c>
      <c r="X306">
        <f t="shared" si="36"/>
        <v>1</v>
      </c>
      <c r="Y306">
        <f t="shared" si="33"/>
        <v>1</v>
      </c>
      <c r="Z306">
        <f t="shared" si="33"/>
        <v>0</v>
      </c>
      <c r="AA306">
        <f t="shared" si="33"/>
        <v>0</v>
      </c>
    </row>
    <row r="307" spans="1:27" x14ac:dyDescent="0.4">
      <c r="A307">
        <v>306</v>
      </c>
      <c r="B307">
        <v>1</v>
      </c>
      <c r="C307" t="s">
        <v>650</v>
      </c>
      <c r="D307" t="s">
        <v>13</v>
      </c>
      <c r="E307">
        <v>0.92</v>
      </c>
      <c r="F307">
        <v>1</v>
      </c>
      <c r="G307">
        <v>2</v>
      </c>
      <c r="H307" t="s">
        <v>635</v>
      </c>
      <c r="I307">
        <v>151.55000000000001</v>
      </c>
      <c r="J307" t="s">
        <v>636</v>
      </c>
      <c r="K307" t="s">
        <v>16</v>
      </c>
      <c r="L307">
        <v>1</v>
      </c>
      <c r="R307">
        <f t="shared" si="30"/>
        <v>0.92</v>
      </c>
      <c r="S307" t="str">
        <f t="shared" si="31"/>
        <v>S</v>
      </c>
      <c r="U307">
        <f t="shared" si="32"/>
        <v>0</v>
      </c>
      <c r="V307">
        <f t="shared" si="36"/>
        <v>1</v>
      </c>
      <c r="W307">
        <f t="shared" si="36"/>
        <v>0</v>
      </c>
      <c r="X307">
        <f t="shared" si="36"/>
        <v>0</v>
      </c>
      <c r="Y307">
        <f t="shared" si="33"/>
        <v>1</v>
      </c>
      <c r="Z307">
        <f t="shared" si="33"/>
        <v>0</v>
      </c>
      <c r="AA307">
        <f t="shared" si="33"/>
        <v>0</v>
      </c>
    </row>
    <row r="308" spans="1:27" x14ac:dyDescent="0.4">
      <c r="A308">
        <v>307</v>
      </c>
      <c r="B308">
        <v>1</v>
      </c>
      <c r="C308" t="s">
        <v>651</v>
      </c>
      <c r="D308" t="s">
        <v>18</v>
      </c>
      <c r="F308">
        <v>0</v>
      </c>
      <c r="G308">
        <v>0</v>
      </c>
      <c r="H308" t="s">
        <v>652</v>
      </c>
      <c r="I308">
        <v>110.88330000000001</v>
      </c>
      <c r="J308" t="s">
        <v>15</v>
      </c>
      <c r="K308" t="s">
        <v>21</v>
      </c>
      <c r="L308">
        <v>1</v>
      </c>
      <c r="R308">
        <f t="shared" si="30"/>
        <v>28</v>
      </c>
      <c r="S308" t="str">
        <f t="shared" si="31"/>
        <v>C</v>
      </c>
      <c r="U308">
        <f t="shared" si="32"/>
        <v>1</v>
      </c>
      <c r="V308">
        <f t="shared" si="36"/>
        <v>1</v>
      </c>
      <c r="W308">
        <f t="shared" si="36"/>
        <v>0</v>
      </c>
      <c r="X308">
        <f t="shared" si="36"/>
        <v>0</v>
      </c>
      <c r="Y308">
        <f t="shared" si="33"/>
        <v>0</v>
      </c>
      <c r="Z308">
        <f t="shared" si="33"/>
        <v>0</v>
      </c>
      <c r="AA308">
        <f t="shared" si="33"/>
        <v>1</v>
      </c>
    </row>
    <row r="309" spans="1:27" x14ac:dyDescent="0.4">
      <c r="A309">
        <v>308</v>
      </c>
      <c r="B309">
        <v>1</v>
      </c>
      <c r="C309" t="s">
        <v>653</v>
      </c>
      <c r="D309" t="s">
        <v>18</v>
      </c>
      <c r="E309">
        <v>17</v>
      </c>
      <c r="F309">
        <v>1</v>
      </c>
      <c r="G309">
        <v>0</v>
      </c>
      <c r="H309" t="s">
        <v>654</v>
      </c>
      <c r="I309">
        <v>108.9</v>
      </c>
      <c r="J309" t="s">
        <v>655</v>
      </c>
      <c r="K309" t="s">
        <v>21</v>
      </c>
      <c r="L309">
        <v>1</v>
      </c>
      <c r="R309">
        <f t="shared" si="30"/>
        <v>17</v>
      </c>
      <c r="S309" t="str">
        <f t="shared" si="31"/>
        <v>C</v>
      </c>
      <c r="U309">
        <f t="shared" si="32"/>
        <v>1</v>
      </c>
      <c r="V309">
        <f t="shared" si="36"/>
        <v>1</v>
      </c>
      <c r="W309">
        <f t="shared" si="36"/>
        <v>0</v>
      </c>
      <c r="X309">
        <f t="shared" si="36"/>
        <v>0</v>
      </c>
      <c r="Y309">
        <f t="shared" si="33"/>
        <v>0</v>
      </c>
      <c r="Z309">
        <f t="shared" si="33"/>
        <v>0</v>
      </c>
      <c r="AA309">
        <f t="shared" si="33"/>
        <v>1</v>
      </c>
    </row>
    <row r="310" spans="1:27" x14ac:dyDescent="0.4">
      <c r="A310">
        <v>309</v>
      </c>
      <c r="B310">
        <v>2</v>
      </c>
      <c r="C310" t="s">
        <v>656</v>
      </c>
      <c r="D310" t="s">
        <v>13</v>
      </c>
      <c r="E310">
        <v>30</v>
      </c>
      <c r="F310">
        <v>1</v>
      </c>
      <c r="G310">
        <v>0</v>
      </c>
      <c r="H310" t="s">
        <v>657</v>
      </c>
      <c r="I310">
        <v>24</v>
      </c>
      <c r="J310" t="s">
        <v>15</v>
      </c>
      <c r="K310" t="s">
        <v>21</v>
      </c>
      <c r="L310">
        <v>0</v>
      </c>
      <c r="R310">
        <f t="shared" si="30"/>
        <v>30</v>
      </c>
      <c r="S310" t="str">
        <f t="shared" si="31"/>
        <v>C</v>
      </c>
      <c r="U310">
        <f t="shared" si="32"/>
        <v>0</v>
      </c>
      <c r="V310">
        <f t="shared" si="36"/>
        <v>0</v>
      </c>
      <c r="W310">
        <f t="shared" si="36"/>
        <v>1</v>
      </c>
      <c r="X310">
        <f t="shared" si="36"/>
        <v>0</v>
      </c>
      <c r="Y310">
        <f t="shared" si="33"/>
        <v>0</v>
      </c>
      <c r="Z310">
        <f t="shared" si="33"/>
        <v>0</v>
      </c>
      <c r="AA310">
        <f t="shared" si="33"/>
        <v>1</v>
      </c>
    </row>
    <row r="311" spans="1:27" x14ac:dyDescent="0.4">
      <c r="A311">
        <v>310</v>
      </c>
      <c r="B311">
        <v>1</v>
      </c>
      <c r="C311" t="s">
        <v>658</v>
      </c>
      <c r="D311" t="s">
        <v>18</v>
      </c>
      <c r="E311">
        <v>30</v>
      </c>
      <c r="F311">
        <v>0</v>
      </c>
      <c r="G311">
        <v>0</v>
      </c>
      <c r="H311" t="s">
        <v>659</v>
      </c>
      <c r="I311">
        <v>56.929200000000002</v>
      </c>
      <c r="J311" t="s">
        <v>660</v>
      </c>
      <c r="K311" t="s">
        <v>21</v>
      </c>
      <c r="L311">
        <v>1</v>
      </c>
      <c r="R311">
        <f t="shared" si="30"/>
        <v>30</v>
      </c>
      <c r="S311" t="str">
        <f t="shared" si="31"/>
        <v>C</v>
      </c>
      <c r="U311">
        <f t="shared" si="32"/>
        <v>1</v>
      </c>
      <c r="V311">
        <f t="shared" si="36"/>
        <v>1</v>
      </c>
      <c r="W311">
        <f t="shared" si="36"/>
        <v>0</v>
      </c>
      <c r="X311">
        <f t="shared" si="36"/>
        <v>0</v>
      </c>
      <c r="Y311">
        <f t="shared" si="33"/>
        <v>0</v>
      </c>
      <c r="Z311">
        <f t="shared" si="33"/>
        <v>0</v>
      </c>
      <c r="AA311">
        <f t="shared" si="33"/>
        <v>1</v>
      </c>
    </row>
    <row r="312" spans="1:27" x14ac:dyDescent="0.4">
      <c r="A312">
        <v>311</v>
      </c>
      <c r="B312">
        <v>1</v>
      </c>
      <c r="C312" t="s">
        <v>661</v>
      </c>
      <c r="D312" t="s">
        <v>18</v>
      </c>
      <c r="E312">
        <v>24</v>
      </c>
      <c r="F312">
        <v>0</v>
      </c>
      <c r="G312">
        <v>0</v>
      </c>
      <c r="H312" t="s">
        <v>662</v>
      </c>
      <c r="I312">
        <v>83.158299999999997</v>
      </c>
      <c r="J312" t="s">
        <v>663</v>
      </c>
      <c r="K312" t="s">
        <v>21</v>
      </c>
      <c r="L312">
        <v>1</v>
      </c>
      <c r="R312">
        <f t="shared" si="30"/>
        <v>24</v>
      </c>
      <c r="S312" t="str">
        <f t="shared" si="31"/>
        <v>C</v>
      </c>
      <c r="U312">
        <f t="shared" si="32"/>
        <v>1</v>
      </c>
      <c r="V312">
        <f t="shared" si="36"/>
        <v>1</v>
      </c>
      <c r="W312">
        <f t="shared" si="36"/>
        <v>0</v>
      </c>
      <c r="X312">
        <f t="shared" si="36"/>
        <v>0</v>
      </c>
      <c r="Y312">
        <f t="shared" si="33"/>
        <v>0</v>
      </c>
      <c r="Z312">
        <f t="shared" si="33"/>
        <v>0</v>
      </c>
      <c r="AA312">
        <f t="shared" si="33"/>
        <v>1</v>
      </c>
    </row>
    <row r="313" spans="1:27" x14ac:dyDescent="0.4">
      <c r="A313">
        <v>312</v>
      </c>
      <c r="B313">
        <v>1</v>
      </c>
      <c r="C313" t="s">
        <v>664</v>
      </c>
      <c r="D313" t="s">
        <v>18</v>
      </c>
      <c r="E313">
        <v>18</v>
      </c>
      <c r="F313">
        <v>2</v>
      </c>
      <c r="G313">
        <v>2</v>
      </c>
      <c r="H313" t="s">
        <v>665</v>
      </c>
      <c r="I313">
        <v>262.375</v>
      </c>
      <c r="J313" t="s">
        <v>666</v>
      </c>
      <c r="K313" t="s">
        <v>21</v>
      </c>
      <c r="L313">
        <v>1</v>
      </c>
      <c r="R313">
        <f t="shared" si="30"/>
        <v>18</v>
      </c>
      <c r="S313" t="str">
        <f t="shared" si="31"/>
        <v>C</v>
      </c>
      <c r="U313">
        <f t="shared" si="32"/>
        <v>1</v>
      </c>
      <c r="V313">
        <f t="shared" si="36"/>
        <v>1</v>
      </c>
      <c r="W313">
        <f t="shared" si="36"/>
        <v>0</v>
      </c>
      <c r="X313">
        <f t="shared" si="36"/>
        <v>0</v>
      </c>
      <c r="Y313">
        <f t="shared" si="33"/>
        <v>0</v>
      </c>
      <c r="Z313">
        <f t="shared" si="33"/>
        <v>0</v>
      </c>
      <c r="AA313">
        <f t="shared" si="33"/>
        <v>1</v>
      </c>
    </row>
    <row r="314" spans="1:27" x14ac:dyDescent="0.4">
      <c r="A314">
        <v>313</v>
      </c>
      <c r="B314">
        <v>2</v>
      </c>
      <c r="C314" t="s">
        <v>667</v>
      </c>
      <c r="D314" t="s">
        <v>18</v>
      </c>
      <c r="E314">
        <v>26</v>
      </c>
      <c r="F314">
        <v>1</v>
      </c>
      <c r="G314">
        <v>1</v>
      </c>
      <c r="H314" t="s">
        <v>668</v>
      </c>
      <c r="I314">
        <v>26</v>
      </c>
      <c r="J314" t="s">
        <v>15</v>
      </c>
      <c r="K314" t="s">
        <v>16</v>
      </c>
      <c r="L314">
        <v>0</v>
      </c>
      <c r="R314">
        <f t="shared" si="30"/>
        <v>26</v>
      </c>
      <c r="S314" t="str">
        <f t="shared" si="31"/>
        <v>S</v>
      </c>
      <c r="U314">
        <f t="shared" si="32"/>
        <v>1</v>
      </c>
      <c r="V314">
        <f t="shared" si="36"/>
        <v>0</v>
      </c>
      <c r="W314">
        <f t="shared" si="36"/>
        <v>1</v>
      </c>
      <c r="X314">
        <f t="shared" si="36"/>
        <v>0</v>
      </c>
      <c r="Y314">
        <f t="shared" si="33"/>
        <v>1</v>
      </c>
      <c r="Z314">
        <f t="shared" si="33"/>
        <v>0</v>
      </c>
      <c r="AA314">
        <f t="shared" si="33"/>
        <v>0</v>
      </c>
    </row>
    <row r="315" spans="1:27" x14ac:dyDescent="0.4">
      <c r="A315">
        <v>314</v>
      </c>
      <c r="B315">
        <v>3</v>
      </c>
      <c r="C315" t="s">
        <v>669</v>
      </c>
      <c r="D315" t="s">
        <v>13</v>
      </c>
      <c r="E315">
        <v>28</v>
      </c>
      <c r="F315">
        <v>0</v>
      </c>
      <c r="G315">
        <v>0</v>
      </c>
      <c r="H315" t="s">
        <v>670</v>
      </c>
      <c r="I315">
        <v>7.8958000000000004</v>
      </c>
      <c r="J315" t="s">
        <v>15</v>
      </c>
      <c r="K315" t="s">
        <v>16</v>
      </c>
      <c r="L315">
        <v>0</v>
      </c>
      <c r="R315">
        <f t="shared" si="30"/>
        <v>28</v>
      </c>
      <c r="S315" t="str">
        <f t="shared" si="31"/>
        <v>S</v>
      </c>
      <c r="U315">
        <f t="shared" si="32"/>
        <v>0</v>
      </c>
      <c r="V315">
        <f t="shared" si="36"/>
        <v>0</v>
      </c>
      <c r="W315">
        <f t="shared" si="36"/>
        <v>0</v>
      </c>
      <c r="X315">
        <f t="shared" si="36"/>
        <v>1</v>
      </c>
      <c r="Y315">
        <f t="shared" si="33"/>
        <v>1</v>
      </c>
      <c r="Z315">
        <f t="shared" si="33"/>
        <v>0</v>
      </c>
      <c r="AA315">
        <f t="shared" si="33"/>
        <v>0</v>
      </c>
    </row>
    <row r="316" spans="1:27" x14ac:dyDescent="0.4">
      <c r="A316">
        <v>315</v>
      </c>
      <c r="B316">
        <v>2</v>
      </c>
      <c r="C316" t="s">
        <v>671</v>
      </c>
      <c r="D316" t="s">
        <v>13</v>
      </c>
      <c r="E316">
        <v>43</v>
      </c>
      <c r="F316">
        <v>1</v>
      </c>
      <c r="G316">
        <v>1</v>
      </c>
      <c r="H316" t="s">
        <v>672</v>
      </c>
      <c r="I316">
        <v>26.25</v>
      </c>
      <c r="J316" t="s">
        <v>15</v>
      </c>
      <c r="K316" t="s">
        <v>16</v>
      </c>
      <c r="L316">
        <v>0</v>
      </c>
      <c r="R316">
        <f t="shared" si="30"/>
        <v>43</v>
      </c>
      <c r="S316" t="str">
        <f t="shared" si="31"/>
        <v>S</v>
      </c>
      <c r="U316">
        <f t="shared" si="32"/>
        <v>0</v>
      </c>
      <c r="V316">
        <f t="shared" si="36"/>
        <v>0</v>
      </c>
      <c r="W316">
        <f t="shared" si="36"/>
        <v>1</v>
      </c>
      <c r="X316">
        <f t="shared" si="36"/>
        <v>0</v>
      </c>
      <c r="Y316">
        <f t="shared" si="33"/>
        <v>1</v>
      </c>
      <c r="Z316">
        <f t="shared" si="33"/>
        <v>0</v>
      </c>
      <c r="AA316">
        <f t="shared" si="33"/>
        <v>0</v>
      </c>
    </row>
    <row r="317" spans="1:27" x14ac:dyDescent="0.4">
      <c r="A317">
        <v>316</v>
      </c>
      <c r="B317">
        <v>3</v>
      </c>
      <c r="C317" t="s">
        <v>673</v>
      </c>
      <c r="D317" t="s">
        <v>18</v>
      </c>
      <c r="E317">
        <v>26</v>
      </c>
      <c r="F317">
        <v>0</v>
      </c>
      <c r="G317">
        <v>0</v>
      </c>
      <c r="H317" t="s">
        <v>674</v>
      </c>
      <c r="I317">
        <v>7.8541999999999996</v>
      </c>
      <c r="J317" t="s">
        <v>15</v>
      </c>
      <c r="K317" t="s">
        <v>16</v>
      </c>
      <c r="L317">
        <v>1</v>
      </c>
      <c r="R317">
        <f t="shared" si="30"/>
        <v>26</v>
      </c>
      <c r="S317" t="str">
        <f t="shared" si="31"/>
        <v>S</v>
      </c>
      <c r="U317">
        <f t="shared" si="32"/>
        <v>1</v>
      </c>
      <c r="V317">
        <f t="shared" si="36"/>
        <v>0</v>
      </c>
      <c r="W317">
        <f t="shared" si="36"/>
        <v>0</v>
      </c>
      <c r="X317">
        <f t="shared" si="36"/>
        <v>1</v>
      </c>
      <c r="Y317">
        <f t="shared" si="33"/>
        <v>1</v>
      </c>
      <c r="Z317">
        <f t="shared" si="33"/>
        <v>0</v>
      </c>
      <c r="AA317">
        <f t="shared" si="33"/>
        <v>0</v>
      </c>
    </row>
    <row r="318" spans="1:27" x14ac:dyDescent="0.4">
      <c r="A318">
        <v>317</v>
      </c>
      <c r="B318">
        <v>2</v>
      </c>
      <c r="C318" t="s">
        <v>675</v>
      </c>
      <c r="D318" t="s">
        <v>18</v>
      </c>
      <c r="E318">
        <v>24</v>
      </c>
      <c r="F318">
        <v>1</v>
      </c>
      <c r="G318">
        <v>0</v>
      </c>
      <c r="H318" t="s">
        <v>233</v>
      </c>
      <c r="I318">
        <v>26</v>
      </c>
      <c r="J318" t="s">
        <v>15</v>
      </c>
      <c r="K318" t="s">
        <v>16</v>
      </c>
      <c r="L318">
        <v>1</v>
      </c>
      <c r="R318">
        <f t="shared" si="30"/>
        <v>24</v>
      </c>
      <c r="S318" t="str">
        <f t="shared" si="31"/>
        <v>S</v>
      </c>
      <c r="U318">
        <f t="shared" si="32"/>
        <v>1</v>
      </c>
      <c r="V318">
        <f t="shared" si="36"/>
        <v>0</v>
      </c>
      <c r="W318">
        <f t="shared" si="36"/>
        <v>1</v>
      </c>
      <c r="X318">
        <f t="shared" si="36"/>
        <v>0</v>
      </c>
      <c r="Y318">
        <f t="shared" si="33"/>
        <v>1</v>
      </c>
      <c r="Z318">
        <f t="shared" si="33"/>
        <v>0</v>
      </c>
      <c r="AA318">
        <f t="shared" si="33"/>
        <v>0</v>
      </c>
    </row>
    <row r="319" spans="1:27" x14ac:dyDescent="0.4">
      <c r="A319">
        <v>318</v>
      </c>
      <c r="B319">
        <v>2</v>
      </c>
      <c r="C319" t="s">
        <v>676</v>
      </c>
      <c r="D319" t="s">
        <v>13</v>
      </c>
      <c r="E319">
        <v>54</v>
      </c>
      <c r="F319">
        <v>0</v>
      </c>
      <c r="G319">
        <v>0</v>
      </c>
      <c r="H319" t="s">
        <v>677</v>
      </c>
      <c r="I319">
        <v>14</v>
      </c>
      <c r="J319" t="s">
        <v>15</v>
      </c>
      <c r="K319" t="s">
        <v>16</v>
      </c>
      <c r="L319">
        <v>0</v>
      </c>
      <c r="R319">
        <f t="shared" si="30"/>
        <v>54</v>
      </c>
      <c r="S319" t="str">
        <f t="shared" si="31"/>
        <v>S</v>
      </c>
      <c r="U319">
        <f t="shared" si="32"/>
        <v>0</v>
      </c>
      <c r="V319">
        <f t="shared" si="36"/>
        <v>0</v>
      </c>
      <c r="W319">
        <f t="shared" si="36"/>
        <v>1</v>
      </c>
      <c r="X319">
        <f t="shared" si="36"/>
        <v>0</v>
      </c>
      <c r="Y319">
        <f t="shared" si="33"/>
        <v>1</v>
      </c>
      <c r="Z319">
        <f t="shared" si="33"/>
        <v>0</v>
      </c>
      <c r="AA319">
        <f t="shared" si="33"/>
        <v>0</v>
      </c>
    </row>
    <row r="320" spans="1:27" x14ac:dyDescent="0.4">
      <c r="A320">
        <v>319</v>
      </c>
      <c r="B320">
        <v>1</v>
      </c>
      <c r="C320" t="s">
        <v>678</v>
      </c>
      <c r="D320" t="s">
        <v>18</v>
      </c>
      <c r="E320">
        <v>31</v>
      </c>
      <c r="F320">
        <v>0</v>
      </c>
      <c r="G320">
        <v>2</v>
      </c>
      <c r="H320" t="s">
        <v>679</v>
      </c>
      <c r="I320">
        <v>164.86670000000001</v>
      </c>
      <c r="J320" t="s">
        <v>680</v>
      </c>
      <c r="K320" t="s">
        <v>16</v>
      </c>
      <c r="L320">
        <v>1</v>
      </c>
      <c r="R320">
        <f t="shared" si="30"/>
        <v>31</v>
      </c>
      <c r="S320" t="str">
        <f t="shared" si="31"/>
        <v>S</v>
      </c>
      <c r="U320">
        <f t="shared" si="32"/>
        <v>1</v>
      </c>
      <c r="V320">
        <f t="shared" si="36"/>
        <v>1</v>
      </c>
      <c r="W320">
        <f t="shared" si="36"/>
        <v>0</v>
      </c>
      <c r="X320">
        <f t="shared" si="36"/>
        <v>0</v>
      </c>
      <c r="Y320">
        <f t="shared" si="33"/>
        <v>1</v>
      </c>
      <c r="Z320">
        <f t="shared" si="33"/>
        <v>0</v>
      </c>
      <c r="AA320">
        <f t="shared" si="33"/>
        <v>0</v>
      </c>
    </row>
    <row r="321" spans="1:27" x14ac:dyDescent="0.4">
      <c r="A321">
        <v>320</v>
      </c>
      <c r="B321">
        <v>1</v>
      </c>
      <c r="C321" t="s">
        <v>681</v>
      </c>
      <c r="D321" t="s">
        <v>18</v>
      </c>
      <c r="E321">
        <v>40</v>
      </c>
      <c r="F321">
        <v>1</v>
      </c>
      <c r="G321">
        <v>1</v>
      </c>
      <c r="H321" t="s">
        <v>682</v>
      </c>
      <c r="I321">
        <v>134.5</v>
      </c>
      <c r="J321" t="s">
        <v>683</v>
      </c>
      <c r="K321" t="s">
        <v>21</v>
      </c>
      <c r="L321">
        <v>1</v>
      </c>
      <c r="R321">
        <f t="shared" si="30"/>
        <v>40</v>
      </c>
      <c r="S321" t="str">
        <f t="shared" si="31"/>
        <v>C</v>
      </c>
      <c r="U321">
        <f t="shared" si="32"/>
        <v>1</v>
      </c>
      <c r="V321">
        <f t="shared" si="36"/>
        <v>1</v>
      </c>
      <c r="W321">
        <f t="shared" si="36"/>
        <v>0</v>
      </c>
      <c r="X321">
        <f t="shared" si="36"/>
        <v>0</v>
      </c>
      <c r="Y321">
        <f t="shared" si="33"/>
        <v>0</v>
      </c>
      <c r="Z321">
        <f t="shared" si="33"/>
        <v>0</v>
      </c>
      <c r="AA321">
        <f t="shared" si="33"/>
        <v>1</v>
      </c>
    </row>
    <row r="322" spans="1:27" x14ac:dyDescent="0.4">
      <c r="A322">
        <v>321</v>
      </c>
      <c r="B322">
        <v>3</v>
      </c>
      <c r="C322" t="s">
        <v>684</v>
      </c>
      <c r="D322" t="s">
        <v>13</v>
      </c>
      <c r="E322">
        <v>22</v>
      </c>
      <c r="F322">
        <v>0</v>
      </c>
      <c r="G322">
        <v>0</v>
      </c>
      <c r="H322" t="s">
        <v>685</v>
      </c>
      <c r="I322">
        <v>7.25</v>
      </c>
      <c r="J322" t="s">
        <v>15</v>
      </c>
      <c r="K322" t="s">
        <v>16</v>
      </c>
      <c r="L322">
        <v>0</v>
      </c>
      <c r="R322">
        <f t="shared" si="30"/>
        <v>22</v>
      </c>
      <c r="S322" t="str">
        <f t="shared" si="31"/>
        <v>S</v>
      </c>
      <c r="U322">
        <f t="shared" si="32"/>
        <v>0</v>
      </c>
      <c r="V322">
        <f t="shared" ref="V322:X341" si="37">IF("Pclass_"&amp;$B322=V$1,1,0)</f>
        <v>0</v>
      </c>
      <c r="W322">
        <f t="shared" si="37"/>
        <v>0</v>
      </c>
      <c r="X322">
        <f t="shared" si="37"/>
        <v>1</v>
      </c>
      <c r="Y322">
        <f t="shared" si="33"/>
        <v>1</v>
      </c>
      <c r="Z322">
        <f t="shared" si="33"/>
        <v>0</v>
      </c>
      <c r="AA322">
        <f t="shared" si="33"/>
        <v>0</v>
      </c>
    </row>
    <row r="323" spans="1:27" x14ac:dyDescent="0.4">
      <c r="A323">
        <v>322</v>
      </c>
      <c r="B323">
        <v>3</v>
      </c>
      <c r="C323" t="s">
        <v>686</v>
      </c>
      <c r="D323" t="s">
        <v>13</v>
      </c>
      <c r="E323">
        <v>27</v>
      </c>
      <c r="F323">
        <v>0</v>
      </c>
      <c r="G323">
        <v>0</v>
      </c>
      <c r="H323" t="s">
        <v>687</v>
      </c>
      <c r="I323">
        <v>7.8958000000000004</v>
      </c>
      <c r="J323" t="s">
        <v>15</v>
      </c>
      <c r="K323" t="s">
        <v>16</v>
      </c>
      <c r="L323">
        <v>0</v>
      </c>
      <c r="R323">
        <f t="shared" ref="R323:R386" si="38">IF(E323&lt;&gt;"",E323,$O$18)</f>
        <v>27</v>
      </c>
      <c r="S323" t="str">
        <f t="shared" ref="S323:S386" si="39">IF(K323&lt;&gt;"",K323,$N$9)</f>
        <v>S</v>
      </c>
      <c r="U323">
        <f t="shared" ref="U323:U386" si="40">IF(D323="male",0,1)</f>
        <v>0</v>
      </c>
      <c r="V323">
        <f t="shared" si="37"/>
        <v>0</v>
      </c>
      <c r="W323">
        <f t="shared" si="37"/>
        <v>0</v>
      </c>
      <c r="X323">
        <f t="shared" si="37"/>
        <v>1</v>
      </c>
      <c r="Y323">
        <f t="shared" ref="Y323:AA386" si="41">IF($S323=RIGHT(Y$1,1),1,0)</f>
        <v>1</v>
      </c>
      <c r="Z323">
        <f t="shared" si="41"/>
        <v>0</v>
      </c>
      <c r="AA323">
        <f t="shared" si="41"/>
        <v>0</v>
      </c>
    </row>
    <row r="324" spans="1:27" x14ac:dyDescent="0.4">
      <c r="A324">
        <v>323</v>
      </c>
      <c r="B324">
        <v>2</v>
      </c>
      <c r="C324" t="s">
        <v>688</v>
      </c>
      <c r="D324" t="s">
        <v>18</v>
      </c>
      <c r="E324">
        <v>30</v>
      </c>
      <c r="F324">
        <v>0</v>
      </c>
      <c r="G324">
        <v>0</v>
      </c>
      <c r="H324" t="s">
        <v>689</v>
      </c>
      <c r="I324">
        <v>12.35</v>
      </c>
      <c r="J324" t="s">
        <v>15</v>
      </c>
      <c r="K324" t="s">
        <v>31</v>
      </c>
      <c r="L324">
        <v>1</v>
      </c>
      <c r="R324">
        <f t="shared" si="38"/>
        <v>30</v>
      </c>
      <c r="S324" t="str">
        <f t="shared" si="39"/>
        <v>Q</v>
      </c>
      <c r="U324">
        <f t="shared" si="40"/>
        <v>1</v>
      </c>
      <c r="V324">
        <f t="shared" si="37"/>
        <v>0</v>
      </c>
      <c r="W324">
        <f t="shared" si="37"/>
        <v>1</v>
      </c>
      <c r="X324">
        <f t="shared" si="37"/>
        <v>0</v>
      </c>
      <c r="Y324">
        <f t="shared" si="41"/>
        <v>0</v>
      </c>
      <c r="Z324">
        <f t="shared" si="41"/>
        <v>1</v>
      </c>
      <c r="AA324">
        <f t="shared" si="41"/>
        <v>0</v>
      </c>
    </row>
    <row r="325" spans="1:27" x14ac:dyDescent="0.4">
      <c r="A325">
        <v>324</v>
      </c>
      <c r="B325">
        <v>2</v>
      </c>
      <c r="C325" t="s">
        <v>690</v>
      </c>
      <c r="D325" t="s">
        <v>18</v>
      </c>
      <c r="E325">
        <v>22</v>
      </c>
      <c r="F325">
        <v>1</v>
      </c>
      <c r="G325">
        <v>1</v>
      </c>
      <c r="H325" t="s">
        <v>189</v>
      </c>
      <c r="I325">
        <v>29</v>
      </c>
      <c r="J325" t="s">
        <v>15</v>
      </c>
      <c r="K325" t="s">
        <v>16</v>
      </c>
      <c r="L325">
        <v>1</v>
      </c>
      <c r="R325">
        <f t="shared" si="38"/>
        <v>22</v>
      </c>
      <c r="S325" t="str">
        <f t="shared" si="39"/>
        <v>S</v>
      </c>
      <c r="U325">
        <f t="shared" si="40"/>
        <v>1</v>
      </c>
      <c r="V325">
        <f t="shared" si="37"/>
        <v>0</v>
      </c>
      <c r="W325">
        <f t="shared" si="37"/>
        <v>1</v>
      </c>
      <c r="X325">
        <f t="shared" si="37"/>
        <v>0</v>
      </c>
      <c r="Y325">
        <f t="shared" si="41"/>
        <v>1</v>
      </c>
      <c r="Z325">
        <f t="shared" si="41"/>
        <v>0</v>
      </c>
      <c r="AA325">
        <f t="shared" si="41"/>
        <v>0</v>
      </c>
    </row>
    <row r="326" spans="1:27" x14ac:dyDescent="0.4">
      <c r="A326">
        <v>325</v>
      </c>
      <c r="B326">
        <v>3</v>
      </c>
      <c r="C326" t="s">
        <v>691</v>
      </c>
      <c r="D326" t="s">
        <v>13</v>
      </c>
      <c r="F326">
        <v>8</v>
      </c>
      <c r="G326">
        <v>2</v>
      </c>
      <c r="H326" t="s">
        <v>354</v>
      </c>
      <c r="I326">
        <v>69.55</v>
      </c>
      <c r="J326" t="s">
        <v>15</v>
      </c>
      <c r="K326" t="s">
        <v>16</v>
      </c>
      <c r="L326">
        <v>0</v>
      </c>
      <c r="R326">
        <f t="shared" si="38"/>
        <v>28</v>
      </c>
      <c r="S326" t="str">
        <f t="shared" si="39"/>
        <v>S</v>
      </c>
      <c r="U326">
        <f t="shared" si="40"/>
        <v>0</v>
      </c>
      <c r="V326">
        <f t="shared" si="37"/>
        <v>0</v>
      </c>
      <c r="W326">
        <f t="shared" si="37"/>
        <v>0</v>
      </c>
      <c r="X326">
        <f t="shared" si="37"/>
        <v>1</v>
      </c>
      <c r="Y326">
        <f t="shared" si="41"/>
        <v>1</v>
      </c>
      <c r="Z326">
        <f t="shared" si="41"/>
        <v>0</v>
      </c>
      <c r="AA326">
        <f t="shared" si="41"/>
        <v>0</v>
      </c>
    </row>
    <row r="327" spans="1:27" x14ac:dyDescent="0.4">
      <c r="A327">
        <v>326</v>
      </c>
      <c r="B327">
        <v>1</v>
      </c>
      <c r="C327" t="s">
        <v>692</v>
      </c>
      <c r="D327" t="s">
        <v>18</v>
      </c>
      <c r="E327">
        <v>36</v>
      </c>
      <c r="F327">
        <v>0</v>
      </c>
      <c r="G327">
        <v>0</v>
      </c>
      <c r="H327" t="s">
        <v>575</v>
      </c>
      <c r="I327">
        <v>135.63329999999999</v>
      </c>
      <c r="J327" t="s">
        <v>693</v>
      </c>
      <c r="K327" t="s">
        <v>21</v>
      </c>
      <c r="L327">
        <v>1</v>
      </c>
      <c r="R327">
        <f t="shared" si="38"/>
        <v>36</v>
      </c>
      <c r="S327" t="str">
        <f t="shared" si="39"/>
        <v>C</v>
      </c>
      <c r="U327">
        <f t="shared" si="40"/>
        <v>1</v>
      </c>
      <c r="V327">
        <f t="shared" si="37"/>
        <v>1</v>
      </c>
      <c r="W327">
        <f t="shared" si="37"/>
        <v>0</v>
      </c>
      <c r="X327">
        <f t="shared" si="37"/>
        <v>0</v>
      </c>
      <c r="Y327">
        <f t="shared" si="41"/>
        <v>0</v>
      </c>
      <c r="Z327">
        <f t="shared" si="41"/>
        <v>0</v>
      </c>
      <c r="AA327">
        <f t="shared" si="41"/>
        <v>1</v>
      </c>
    </row>
    <row r="328" spans="1:27" x14ac:dyDescent="0.4">
      <c r="A328">
        <v>327</v>
      </c>
      <c r="B328">
        <v>3</v>
      </c>
      <c r="C328" t="s">
        <v>694</v>
      </c>
      <c r="D328" t="s">
        <v>13</v>
      </c>
      <c r="E328">
        <v>61</v>
      </c>
      <c r="F328">
        <v>0</v>
      </c>
      <c r="G328">
        <v>0</v>
      </c>
      <c r="H328" t="s">
        <v>695</v>
      </c>
      <c r="I328">
        <v>6.2374999999999998</v>
      </c>
      <c r="J328" t="s">
        <v>15</v>
      </c>
      <c r="K328" t="s">
        <v>16</v>
      </c>
      <c r="L328">
        <v>0</v>
      </c>
      <c r="R328">
        <f t="shared" si="38"/>
        <v>61</v>
      </c>
      <c r="S328" t="str">
        <f t="shared" si="39"/>
        <v>S</v>
      </c>
      <c r="U328">
        <f t="shared" si="40"/>
        <v>0</v>
      </c>
      <c r="V328">
        <f t="shared" si="37"/>
        <v>0</v>
      </c>
      <c r="W328">
        <f t="shared" si="37"/>
        <v>0</v>
      </c>
      <c r="X328">
        <f t="shared" si="37"/>
        <v>1</v>
      </c>
      <c r="Y328">
        <f t="shared" si="41"/>
        <v>1</v>
      </c>
      <c r="Z328">
        <f t="shared" si="41"/>
        <v>0</v>
      </c>
      <c r="AA328">
        <f t="shared" si="41"/>
        <v>0</v>
      </c>
    </row>
    <row r="329" spans="1:27" x14ac:dyDescent="0.4">
      <c r="A329">
        <v>328</v>
      </c>
      <c r="B329">
        <v>2</v>
      </c>
      <c r="C329" t="s">
        <v>696</v>
      </c>
      <c r="D329" t="s">
        <v>18</v>
      </c>
      <c r="E329">
        <v>36</v>
      </c>
      <c r="F329">
        <v>0</v>
      </c>
      <c r="G329">
        <v>0</v>
      </c>
      <c r="H329" t="s">
        <v>697</v>
      </c>
      <c r="I329">
        <v>13</v>
      </c>
      <c r="J329" t="s">
        <v>625</v>
      </c>
      <c r="K329" t="s">
        <v>16</v>
      </c>
      <c r="L329">
        <v>1</v>
      </c>
      <c r="R329">
        <f t="shared" si="38"/>
        <v>36</v>
      </c>
      <c r="S329" t="str">
        <f t="shared" si="39"/>
        <v>S</v>
      </c>
      <c r="U329">
        <f t="shared" si="40"/>
        <v>1</v>
      </c>
      <c r="V329">
        <f t="shared" si="37"/>
        <v>0</v>
      </c>
      <c r="W329">
        <f t="shared" si="37"/>
        <v>1</v>
      </c>
      <c r="X329">
        <f t="shared" si="37"/>
        <v>0</v>
      </c>
      <c r="Y329">
        <f t="shared" si="41"/>
        <v>1</v>
      </c>
      <c r="Z329">
        <f t="shared" si="41"/>
        <v>0</v>
      </c>
      <c r="AA329">
        <f t="shared" si="41"/>
        <v>0</v>
      </c>
    </row>
    <row r="330" spans="1:27" x14ac:dyDescent="0.4">
      <c r="A330">
        <v>329</v>
      </c>
      <c r="B330">
        <v>3</v>
      </c>
      <c r="C330" t="s">
        <v>698</v>
      </c>
      <c r="D330" t="s">
        <v>18</v>
      </c>
      <c r="E330">
        <v>31</v>
      </c>
      <c r="F330">
        <v>1</v>
      </c>
      <c r="G330">
        <v>1</v>
      </c>
      <c r="H330" t="s">
        <v>365</v>
      </c>
      <c r="I330">
        <v>20.524999999999999</v>
      </c>
      <c r="J330" t="s">
        <v>15</v>
      </c>
      <c r="K330" t="s">
        <v>16</v>
      </c>
      <c r="L330">
        <v>1</v>
      </c>
      <c r="R330">
        <f t="shared" si="38"/>
        <v>31</v>
      </c>
      <c r="S330" t="str">
        <f t="shared" si="39"/>
        <v>S</v>
      </c>
      <c r="U330">
        <f t="shared" si="40"/>
        <v>1</v>
      </c>
      <c r="V330">
        <f t="shared" si="37"/>
        <v>0</v>
      </c>
      <c r="W330">
        <f t="shared" si="37"/>
        <v>0</v>
      </c>
      <c r="X330">
        <f t="shared" si="37"/>
        <v>1</v>
      </c>
      <c r="Y330">
        <f t="shared" si="41"/>
        <v>1</v>
      </c>
      <c r="Z330">
        <f t="shared" si="41"/>
        <v>0</v>
      </c>
      <c r="AA330">
        <f t="shared" si="41"/>
        <v>0</v>
      </c>
    </row>
    <row r="331" spans="1:27" x14ac:dyDescent="0.4">
      <c r="A331">
        <v>330</v>
      </c>
      <c r="B331">
        <v>1</v>
      </c>
      <c r="C331" t="s">
        <v>699</v>
      </c>
      <c r="D331" t="s">
        <v>18</v>
      </c>
      <c r="E331">
        <v>16</v>
      </c>
      <c r="F331">
        <v>0</v>
      </c>
      <c r="G331">
        <v>1</v>
      </c>
      <c r="H331" t="s">
        <v>700</v>
      </c>
      <c r="I331">
        <v>57.979199999999999</v>
      </c>
      <c r="J331" t="s">
        <v>701</v>
      </c>
      <c r="K331" t="s">
        <v>21</v>
      </c>
      <c r="L331">
        <v>1</v>
      </c>
      <c r="R331">
        <f t="shared" si="38"/>
        <v>16</v>
      </c>
      <c r="S331" t="str">
        <f t="shared" si="39"/>
        <v>C</v>
      </c>
      <c r="U331">
        <f t="shared" si="40"/>
        <v>1</v>
      </c>
      <c r="V331">
        <f t="shared" si="37"/>
        <v>1</v>
      </c>
      <c r="W331">
        <f t="shared" si="37"/>
        <v>0</v>
      </c>
      <c r="X331">
        <f t="shared" si="37"/>
        <v>0</v>
      </c>
      <c r="Y331">
        <f t="shared" si="41"/>
        <v>0</v>
      </c>
      <c r="Z331">
        <f t="shared" si="41"/>
        <v>0</v>
      </c>
      <c r="AA331">
        <f t="shared" si="41"/>
        <v>1</v>
      </c>
    </row>
    <row r="332" spans="1:27" x14ac:dyDescent="0.4">
      <c r="A332">
        <v>331</v>
      </c>
      <c r="B332">
        <v>3</v>
      </c>
      <c r="C332" t="s">
        <v>702</v>
      </c>
      <c r="D332" t="s">
        <v>18</v>
      </c>
      <c r="F332">
        <v>2</v>
      </c>
      <c r="G332">
        <v>0</v>
      </c>
      <c r="H332" t="s">
        <v>644</v>
      </c>
      <c r="I332">
        <v>23.25</v>
      </c>
      <c r="J332" t="s">
        <v>15</v>
      </c>
      <c r="K332" t="s">
        <v>31</v>
      </c>
      <c r="L332">
        <v>1</v>
      </c>
      <c r="R332">
        <f t="shared" si="38"/>
        <v>28</v>
      </c>
      <c r="S332" t="str">
        <f t="shared" si="39"/>
        <v>Q</v>
      </c>
      <c r="U332">
        <f t="shared" si="40"/>
        <v>1</v>
      </c>
      <c r="V332">
        <f t="shared" si="37"/>
        <v>0</v>
      </c>
      <c r="W332">
        <f t="shared" si="37"/>
        <v>0</v>
      </c>
      <c r="X332">
        <f t="shared" si="37"/>
        <v>1</v>
      </c>
      <c r="Y332">
        <f t="shared" si="41"/>
        <v>0</v>
      </c>
      <c r="Z332">
        <f t="shared" si="41"/>
        <v>1</v>
      </c>
      <c r="AA332">
        <f t="shared" si="41"/>
        <v>0</v>
      </c>
    </row>
    <row r="333" spans="1:27" x14ac:dyDescent="0.4">
      <c r="A333">
        <v>332</v>
      </c>
      <c r="B333">
        <v>1</v>
      </c>
      <c r="C333" t="s">
        <v>703</v>
      </c>
      <c r="D333" t="s">
        <v>13</v>
      </c>
      <c r="E333">
        <v>45.5</v>
      </c>
      <c r="F333">
        <v>0</v>
      </c>
      <c r="G333">
        <v>0</v>
      </c>
      <c r="H333" t="s">
        <v>704</v>
      </c>
      <c r="I333">
        <v>28.5</v>
      </c>
      <c r="J333" t="s">
        <v>705</v>
      </c>
      <c r="K333" t="s">
        <v>16</v>
      </c>
      <c r="L333">
        <v>0</v>
      </c>
      <c r="R333">
        <f t="shared" si="38"/>
        <v>45.5</v>
      </c>
      <c r="S333" t="str">
        <f t="shared" si="39"/>
        <v>S</v>
      </c>
      <c r="U333">
        <f t="shared" si="40"/>
        <v>0</v>
      </c>
      <c r="V333">
        <f t="shared" si="37"/>
        <v>1</v>
      </c>
      <c r="W333">
        <f t="shared" si="37"/>
        <v>0</v>
      </c>
      <c r="X333">
        <f t="shared" si="37"/>
        <v>0</v>
      </c>
      <c r="Y333">
        <f t="shared" si="41"/>
        <v>1</v>
      </c>
      <c r="Z333">
        <f t="shared" si="41"/>
        <v>0</v>
      </c>
      <c r="AA333">
        <f t="shared" si="41"/>
        <v>0</v>
      </c>
    </row>
    <row r="334" spans="1:27" x14ac:dyDescent="0.4">
      <c r="A334">
        <v>333</v>
      </c>
      <c r="B334">
        <v>1</v>
      </c>
      <c r="C334" t="s">
        <v>706</v>
      </c>
      <c r="D334" t="s">
        <v>13</v>
      </c>
      <c r="E334">
        <v>38</v>
      </c>
      <c r="F334">
        <v>0</v>
      </c>
      <c r="G334">
        <v>1</v>
      </c>
      <c r="H334" t="s">
        <v>572</v>
      </c>
      <c r="I334">
        <v>153.46250000000001</v>
      </c>
      <c r="J334" t="s">
        <v>707</v>
      </c>
      <c r="K334" t="s">
        <v>16</v>
      </c>
      <c r="L334">
        <v>0</v>
      </c>
      <c r="R334">
        <f t="shared" si="38"/>
        <v>38</v>
      </c>
      <c r="S334" t="str">
        <f t="shared" si="39"/>
        <v>S</v>
      </c>
      <c r="U334">
        <f t="shared" si="40"/>
        <v>0</v>
      </c>
      <c r="V334">
        <f t="shared" si="37"/>
        <v>1</v>
      </c>
      <c r="W334">
        <f t="shared" si="37"/>
        <v>0</v>
      </c>
      <c r="X334">
        <f t="shared" si="37"/>
        <v>0</v>
      </c>
      <c r="Y334">
        <f t="shared" si="41"/>
        <v>1</v>
      </c>
      <c r="Z334">
        <f t="shared" si="41"/>
        <v>0</v>
      </c>
      <c r="AA334">
        <f t="shared" si="41"/>
        <v>0</v>
      </c>
    </row>
    <row r="335" spans="1:27" x14ac:dyDescent="0.4">
      <c r="A335">
        <v>334</v>
      </c>
      <c r="B335">
        <v>3</v>
      </c>
      <c r="C335" t="s">
        <v>708</v>
      </c>
      <c r="D335" t="s">
        <v>13</v>
      </c>
      <c r="E335">
        <v>16</v>
      </c>
      <c r="F335">
        <v>2</v>
      </c>
      <c r="G335">
        <v>0</v>
      </c>
      <c r="H335" t="s">
        <v>103</v>
      </c>
      <c r="I335">
        <v>18</v>
      </c>
      <c r="J335" t="s">
        <v>15</v>
      </c>
      <c r="K335" t="s">
        <v>16</v>
      </c>
      <c r="L335">
        <v>0</v>
      </c>
      <c r="R335">
        <f t="shared" si="38"/>
        <v>16</v>
      </c>
      <c r="S335" t="str">
        <f t="shared" si="39"/>
        <v>S</v>
      </c>
      <c r="U335">
        <f t="shared" si="40"/>
        <v>0</v>
      </c>
      <c r="V335">
        <f t="shared" si="37"/>
        <v>0</v>
      </c>
      <c r="W335">
        <f t="shared" si="37"/>
        <v>0</v>
      </c>
      <c r="X335">
        <f t="shared" si="37"/>
        <v>1</v>
      </c>
      <c r="Y335">
        <f t="shared" si="41"/>
        <v>1</v>
      </c>
      <c r="Z335">
        <f t="shared" si="41"/>
        <v>0</v>
      </c>
      <c r="AA335">
        <f t="shared" si="41"/>
        <v>0</v>
      </c>
    </row>
    <row r="336" spans="1:27" x14ac:dyDescent="0.4">
      <c r="A336">
        <v>335</v>
      </c>
      <c r="B336">
        <v>1</v>
      </c>
      <c r="C336" t="s">
        <v>709</v>
      </c>
      <c r="D336" t="s">
        <v>18</v>
      </c>
      <c r="F336">
        <v>1</v>
      </c>
      <c r="G336">
        <v>0</v>
      </c>
      <c r="H336" t="s">
        <v>710</v>
      </c>
      <c r="I336">
        <v>133.65</v>
      </c>
      <c r="J336" t="s">
        <v>15</v>
      </c>
      <c r="K336" t="s">
        <v>16</v>
      </c>
      <c r="L336">
        <v>1</v>
      </c>
      <c r="R336">
        <f t="shared" si="38"/>
        <v>28</v>
      </c>
      <c r="S336" t="str">
        <f t="shared" si="39"/>
        <v>S</v>
      </c>
      <c r="U336">
        <f t="shared" si="40"/>
        <v>1</v>
      </c>
      <c r="V336">
        <f t="shared" si="37"/>
        <v>1</v>
      </c>
      <c r="W336">
        <f t="shared" si="37"/>
        <v>0</v>
      </c>
      <c r="X336">
        <f t="shared" si="37"/>
        <v>0</v>
      </c>
      <c r="Y336">
        <f t="shared" si="41"/>
        <v>1</v>
      </c>
      <c r="Z336">
        <f t="shared" si="41"/>
        <v>0</v>
      </c>
      <c r="AA336">
        <f t="shared" si="41"/>
        <v>0</v>
      </c>
    </row>
    <row r="337" spans="1:27" x14ac:dyDescent="0.4">
      <c r="A337">
        <v>336</v>
      </c>
      <c r="B337">
        <v>3</v>
      </c>
      <c r="C337" t="s">
        <v>711</v>
      </c>
      <c r="D337" t="s">
        <v>13</v>
      </c>
      <c r="F337">
        <v>0</v>
      </c>
      <c r="G337">
        <v>0</v>
      </c>
      <c r="H337" t="s">
        <v>712</v>
      </c>
      <c r="I337">
        <v>7.8958000000000004</v>
      </c>
      <c r="J337" t="s">
        <v>15</v>
      </c>
      <c r="K337" t="s">
        <v>16</v>
      </c>
      <c r="L337">
        <v>0</v>
      </c>
      <c r="R337">
        <f t="shared" si="38"/>
        <v>28</v>
      </c>
      <c r="S337" t="str">
        <f t="shared" si="39"/>
        <v>S</v>
      </c>
      <c r="U337">
        <f t="shared" si="40"/>
        <v>0</v>
      </c>
      <c r="V337">
        <f t="shared" si="37"/>
        <v>0</v>
      </c>
      <c r="W337">
        <f t="shared" si="37"/>
        <v>0</v>
      </c>
      <c r="X337">
        <f t="shared" si="37"/>
        <v>1</v>
      </c>
      <c r="Y337">
        <f t="shared" si="41"/>
        <v>1</v>
      </c>
      <c r="Z337">
        <f t="shared" si="41"/>
        <v>0</v>
      </c>
      <c r="AA337">
        <f t="shared" si="41"/>
        <v>0</v>
      </c>
    </row>
    <row r="338" spans="1:27" x14ac:dyDescent="0.4">
      <c r="A338">
        <v>337</v>
      </c>
      <c r="B338">
        <v>1</v>
      </c>
      <c r="C338" t="s">
        <v>713</v>
      </c>
      <c r="D338" t="s">
        <v>13</v>
      </c>
      <c r="E338">
        <v>29</v>
      </c>
      <c r="F338">
        <v>1</v>
      </c>
      <c r="G338">
        <v>0</v>
      </c>
      <c r="H338" t="s">
        <v>337</v>
      </c>
      <c r="I338">
        <v>66.599999999999994</v>
      </c>
      <c r="J338" t="s">
        <v>338</v>
      </c>
      <c r="K338" t="s">
        <v>16</v>
      </c>
      <c r="L338">
        <v>0</v>
      </c>
      <c r="R338">
        <f t="shared" si="38"/>
        <v>29</v>
      </c>
      <c r="S338" t="str">
        <f t="shared" si="39"/>
        <v>S</v>
      </c>
      <c r="U338">
        <f t="shared" si="40"/>
        <v>0</v>
      </c>
      <c r="V338">
        <f t="shared" si="37"/>
        <v>1</v>
      </c>
      <c r="W338">
        <f t="shared" si="37"/>
        <v>0</v>
      </c>
      <c r="X338">
        <f t="shared" si="37"/>
        <v>0</v>
      </c>
      <c r="Y338">
        <f t="shared" si="41"/>
        <v>1</v>
      </c>
      <c r="Z338">
        <f t="shared" si="41"/>
        <v>0</v>
      </c>
      <c r="AA338">
        <f t="shared" si="41"/>
        <v>0</v>
      </c>
    </row>
    <row r="339" spans="1:27" x14ac:dyDescent="0.4">
      <c r="A339">
        <v>338</v>
      </c>
      <c r="B339">
        <v>1</v>
      </c>
      <c r="C339" t="s">
        <v>714</v>
      </c>
      <c r="D339" t="s">
        <v>18</v>
      </c>
      <c r="E339">
        <v>41</v>
      </c>
      <c r="F339">
        <v>0</v>
      </c>
      <c r="G339">
        <v>0</v>
      </c>
      <c r="H339" t="s">
        <v>682</v>
      </c>
      <c r="I339">
        <v>134.5</v>
      </c>
      <c r="J339" t="s">
        <v>715</v>
      </c>
      <c r="K339" t="s">
        <v>21</v>
      </c>
      <c r="L339">
        <v>1</v>
      </c>
      <c r="R339">
        <f t="shared" si="38"/>
        <v>41</v>
      </c>
      <c r="S339" t="str">
        <f t="shared" si="39"/>
        <v>C</v>
      </c>
      <c r="U339">
        <f t="shared" si="40"/>
        <v>1</v>
      </c>
      <c r="V339">
        <f t="shared" si="37"/>
        <v>1</v>
      </c>
      <c r="W339">
        <f t="shared" si="37"/>
        <v>0</v>
      </c>
      <c r="X339">
        <f t="shared" si="37"/>
        <v>0</v>
      </c>
      <c r="Y339">
        <f t="shared" si="41"/>
        <v>0</v>
      </c>
      <c r="Z339">
        <f t="shared" si="41"/>
        <v>0</v>
      </c>
      <c r="AA339">
        <f t="shared" si="41"/>
        <v>1</v>
      </c>
    </row>
    <row r="340" spans="1:27" x14ac:dyDescent="0.4">
      <c r="A340">
        <v>339</v>
      </c>
      <c r="B340">
        <v>3</v>
      </c>
      <c r="C340" t="s">
        <v>716</v>
      </c>
      <c r="D340" t="s">
        <v>13</v>
      </c>
      <c r="E340">
        <v>45</v>
      </c>
      <c r="F340">
        <v>0</v>
      </c>
      <c r="G340">
        <v>0</v>
      </c>
      <c r="H340" t="s">
        <v>717</v>
      </c>
      <c r="I340">
        <v>8.0500000000000007</v>
      </c>
      <c r="J340" t="s">
        <v>15</v>
      </c>
      <c r="K340" t="s">
        <v>16</v>
      </c>
      <c r="L340">
        <v>1</v>
      </c>
      <c r="R340">
        <f t="shared" si="38"/>
        <v>45</v>
      </c>
      <c r="S340" t="str">
        <f t="shared" si="39"/>
        <v>S</v>
      </c>
      <c r="U340">
        <f t="shared" si="40"/>
        <v>0</v>
      </c>
      <c r="V340">
        <f t="shared" si="37"/>
        <v>0</v>
      </c>
      <c r="W340">
        <f t="shared" si="37"/>
        <v>0</v>
      </c>
      <c r="X340">
        <f t="shared" si="37"/>
        <v>1</v>
      </c>
      <c r="Y340">
        <f t="shared" si="41"/>
        <v>1</v>
      </c>
      <c r="Z340">
        <f t="shared" si="41"/>
        <v>0</v>
      </c>
      <c r="AA340">
        <f t="shared" si="41"/>
        <v>0</v>
      </c>
    </row>
    <row r="341" spans="1:27" x14ac:dyDescent="0.4">
      <c r="A341">
        <v>340</v>
      </c>
      <c r="B341">
        <v>1</v>
      </c>
      <c r="C341" t="s">
        <v>718</v>
      </c>
      <c r="D341" t="s">
        <v>13</v>
      </c>
      <c r="E341">
        <v>45</v>
      </c>
      <c r="F341">
        <v>0</v>
      </c>
      <c r="G341">
        <v>0</v>
      </c>
      <c r="H341" t="s">
        <v>719</v>
      </c>
      <c r="I341">
        <v>35.5</v>
      </c>
      <c r="J341" t="s">
        <v>720</v>
      </c>
      <c r="K341" t="s">
        <v>16</v>
      </c>
      <c r="L341">
        <v>0</v>
      </c>
      <c r="R341">
        <f t="shared" si="38"/>
        <v>45</v>
      </c>
      <c r="S341" t="str">
        <f t="shared" si="39"/>
        <v>S</v>
      </c>
      <c r="U341">
        <f t="shared" si="40"/>
        <v>0</v>
      </c>
      <c r="V341">
        <f t="shared" si="37"/>
        <v>1</v>
      </c>
      <c r="W341">
        <f t="shared" si="37"/>
        <v>0</v>
      </c>
      <c r="X341">
        <f t="shared" si="37"/>
        <v>0</v>
      </c>
      <c r="Y341">
        <f t="shared" si="41"/>
        <v>1</v>
      </c>
      <c r="Z341">
        <f t="shared" si="41"/>
        <v>0</v>
      </c>
      <c r="AA341">
        <f t="shared" si="41"/>
        <v>0</v>
      </c>
    </row>
    <row r="342" spans="1:27" x14ac:dyDescent="0.4">
      <c r="A342">
        <v>341</v>
      </c>
      <c r="B342">
        <v>2</v>
      </c>
      <c r="C342" t="s">
        <v>721</v>
      </c>
      <c r="D342" t="s">
        <v>13</v>
      </c>
      <c r="E342">
        <v>2</v>
      </c>
      <c r="F342">
        <v>1</v>
      </c>
      <c r="G342">
        <v>1</v>
      </c>
      <c r="H342" t="s">
        <v>330</v>
      </c>
      <c r="I342">
        <v>26</v>
      </c>
      <c r="J342" t="s">
        <v>331</v>
      </c>
      <c r="K342" t="s">
        <v>16</v>
      </c>
      <c r="L342">
        <v>1</v>
      </c>
      <c r="R342">
        <f t="shared" si="38"/>
        <v>2</v>
      </c>
      <c r="S342" t="str">
        <f t="shared" si="39"/>
        <v>S</v>
      </c>
      <c r="U342">
        <f t="shared" si="40"/>
        <v>0</v>
      </c>
      <c r="V342">
        <f t="shared" ref="V342:X361" si="42">IF("Pclass_"&amp;$B342=V$1,1,0)</f>
        <v>0</v>
      </c>
      <c r="W342">
        <f t="shared" si="42"/>
        <v>1</v>
      </c>
      <c r="X342">
        <f t="shared" si="42"/>
        <v>0</v>
      </c>
      <c r="Y342">
        <f t="shared" si="41"/>
        <v>1</v>
      </c>
      <c r="Z342">
        <f t="shared" si="41"/>
        <v>0</v>
      </c>
      <c r="AA342">
        <f t="shared" si="41"/>
        <v>0</v>
      </c>
    </row>
    <row r="343" spans="1:27" x14ac:dyDescent="0.4">
      <c r="A343">
        <v>342</v>
      </c>
      <c r="B343">
        <v>1</v>
      </c>
      <c r="C343" t="s">
        <v>722</v>
      </c>
      <c r="D343" t="s">
        <v>18</v>
      </c>
      <c r="E343">
        <v>24</v>
      </c>
      <c r="F343">
        <v>3</v>
      </c>
      <c r="G343">
        <v>2</v>
      </c>
      <c r="H343" t="s">
        <v>79</v>
      </c>
      <c r="I343">
        <v>263</v>
      </c>
      <c r="J343" t="s">
        <v>80</v>
      </c>
      <c r="K343" t="s">
        <v>16</v>
      </c>
      <c r="L343">
        <v>1</v>
      </c>
      <c r="R343">
        <f t="shared" si="38"/>
        <v>24</v>
      </c>
      <c r="S343" t="str">
        <f t="shared" si="39"/>
        <v>S</v>
      </c>
      <c r="U343">
        <f t="shared" si="40"/>
        <v>1</v>
      </c>
      <c r="V343">
        <f t="shared" si="42"/>
        <v>1</v>
      </c>
      <c r="W343">
        <f t="shared" si="42"/>
        <v>0</v>
      </c>
      <c r="X343">
        <f t="shared" si="42"/>
        <v>0</v>
      </c>
      <c r="Y343">
        <f t="shared" si="41"/>
        <v>1</v>
      </c>
      <c r="Z343">
        <f t="shared" si="41"/>
        <v>0</v>
      </c>
      <c r="AA343">
        <f t="shared" si="41"/>
        <v>0</v>
      </c>
    </row>
    <row r="344" spans="1:27" x14ac:dyDescent="0.4">
      <c r="A344">
        <v>343</v>
      </c>
      <c r="B344">
        <v>2</v>
      </c>
      <c r="C344" t="s">
        <v>723</v>
      </c>
      <c r="D344" t="s">
        <v>13</v>
      </c>
      <c r="E344">
        <v>28</v>
      </c>
      <c r="F344">
        <v>0</v>
      </c>
      <c r="G344">
        <v>0</v>
      </c>
      <c r="H344" t="s">
        <v>724</v>
      </c>
      <c r="I344">
        <v>13</v>
      </c>
      <c r="J344" t="s">
        <v>15</v>
      </c>
      <c r="K344" t="s">
        <v>16</v>
      </c>
      <c r="L344">
        <v>0</v>
      </c>
      <c r="R344">
        <f t="shared" si="38"/>
        <v>28</v>
      </c>
      <c r="S344" t="str">
        <f t="shared" si="39"/>
        <v>S</v>
      </c>
      <c r="U344">
        <f t="shared" si="40"/>
        <v>0</v>
      </c>
      <c r="V344">
        <f t="shared" si="42"/>
        <v>0</v>
      </c>
      <c r="W344">
        <f t="shared" si="42"/>
        <v>1</v>
      </c>
      <c r="X344">
        <f t="shared" si="42"/>
        <v>0</v>
      </c>
      <c r="Y344">
        <f t="shared" si="41"/>
        <v>1</v>
      </c>
      <c r="Z344">
        <f t="shared" si="41"/>
        <v>0</v>
      </c>
      <c r="AA344">
        <f t="shared" si="41"/>
        <v>0</v>
      </c>
    </row>
    <row r="345" spans="1:27" x14ac:dyDescent="0.4">
      <c r="A345">
        <v>344</v>
      </c>
      <c r="B345">
        <v>2</v>
      </c>
      <c r="C345" t="s">
        <v>725</v>
      </c>
      <c r="D345" t="s">
        <v>13</v>
      </c>
      <c r="E345">
        <v>25</v>
      </c>
      <c r="F345">
        <v>0</v>
      </c>
      <c r="G345">
        <v>0</v>
      </c>
      <c r="H345" t="s">
        <v>726</v>
      </c>
      <c r="I345">
        <v>13</v>
      </c>
      <c r="J345" t="s">
        <v>15</v>
      </c>
      <c r="K345" t="s">
        <v>16</v>
      </c>
      <c r="L345">
        <v>0</v>
      </c>
      <c r="R345">
        <f t="shared" si="38"/>
        <v>25</v>
      </c>
      <c r="S345" t="str">
        <f t="shared" si="39"/>
        <v>S</v>
      </c>
      <c r="U345">
        <f t="shared" si="40"/>
        <v>0</v>
      </c>
      <c r="V345">
        <f t="shared" si="42"/>
        <v>0</v>
      </c>
      <c r="W345">
        <f t="shared" si="42"/>
        <v>1</v>
      </c>
      <c r="X345">
        <f t="shared" si="42"/>
        <v>0</v>
      </c>
      <c r="Y345">
        <f t="shared" si="41"/>
        <v>1</v>
      </c>
      <c r="Z345">
        <f t="shared" si="41"/>
        <v>0</v>
      </c>
      <c r="AA345">
        <f t="shared" si="41"/>
        <v>0</v>
      </c>
    </row>
    <row r="346" spans="1:27" x14ac:dyDescent="0.4">
      <c r="A346">
        <v>345</v>
      </c>
      <c r="B346">
        <v>2</v>
      </c>
      <c r="C346" t="s">
        <v>727</v>
      </c>
      <c r="D346" t="s">
        <v>13</v>
      </c>
      <c r="E346">
        <v>36</v>
      </c>
      <c r="F346">
        <v>0</v>
      </c>
      <c r="G346">
        <v>0</v>
      </c>
      <c r="H346" t="s">
        <v>728</v>
      </c>
      <c r="I346">
        <v>13</v>
      </c>
      <c r="J346" t="s">
        <v>15</v>
      </c>
      <c r="K346" t="s">
        <v>16</v>
      </c>
      <c r="L346">
        <v>0</v>
      </c>
      <c r="R346">
        <f t="shared" si="38"/>
        <v>36</v>
      </c>
      <c r="S346" t="str">
        <f t="shared" si="39"/>
        <v>S</v>
      </c>
      <c r="U346">
        <f t="shared" si="40"/>
        <v>0</v>
      </c>
      <c r="V346">
        <f t="shared" si="42"/>
        <v>0</v>
      </c>
      <c r="W346">
        <f t="shared" si="42"/>
        <v>1</v>
      </c>
      <c r="X346">
        <f t="shared" si="42"/>
        <v>0</v>
      </c>
      <c r="Y346">
        <f t="shared" si="41"/>
        <v>1</v>
      </c>
      <c r="Z346">
        <f t="shared" si="41"/>
        <v>0</v>
      </c>
      <c r="AA346">
        <f t="shared" si="41"/>
        <v>0</v>
      </c>
    </row>
    <row r="347" spans="1:27" x14ac:dyDescent="0.4">
      <c r="A347">
        <v>346</v>
      </c>
      <c r="B347">
        <v>2</v>
      </c>
      <c r="C347" t="s">
        <v>729</v>
      </c>
      <c r="D347" t="s">
        <v>18</v>
      </c>
      <c r="E347">
        <v>24</v>
      </c>
      <c r="F347">
        <v>0</v>
      </c>
      <c r="G347">
        <v>0</v>
      </c>
      <c r="H347" t="s">
        <v>730</v>
      </c>
      <c r="I347">
        <v>13</v>
      </c>
      <c r="J347" t="s">
        <v>165</v>
      </c>
      <c r="K347" t="s">
        <v>16</v>
      </c>
      <c r="L347">
        <v>1</v>
      </c>
      <c r="R347">
        <f t="shared" si="38"/>
        <v>24</v>
      </c>
      <c r="S347" t="str">
        <f t="shared" si="39"/>
        <v>S</v>
      </c>
      <c r="U347">
        <f t="shared" si="40"/>
        <v>1</v>
      </c>
      <c r="V347">
        <f t="shared" si="42"/>
        <v>0</v>
      </c>
      <c r="W347">
        <f t="shared" si="42"/>
        <v>1</v>
      </c>
      <c r="X347">
        <f t="shared" si="42"/>
        <v>0</v>
      </c>
      <c r="Y347">
        <f t="shared" si="41"/>
        <v>1</v>
      </c>
      <c r="Z347">
        <f t="shared" si="41"/>
        <v>0</v>
      </c>
      <c r="AA347">
        <f t="shared" si="41"/>
        <v>0</v>
      </c>
    </row>
    <row r="348" spans="1:27" x14ac:dyDescent="0.4">
      <c r="A348">
        <v>347</v>
      </c>
      <c r="B348">
        <v>2</v>
      </c>
      <c r="C348" t="s">
        <v>731</v>
      </c>
      <c r="D348" t="s">
        <v>18</v>
      </c>
      <c r="E348">
        <v>40</v>
      </c>
      <c r="F348">
        <v>0</v>
      </c>
      <c r="G348">
        <v>0</v>
      </c>
      <c r="H348" t="s">
        <v>732</v>
      </c>
      <c r="I348">
        <v>13</v>
      </c>
      <c r="J348" t="s">
        <v>15</v>
      </c>
      <c r="K348" t="s">
        <v>16</v>
      </c>
      <c r="L348">
        <v>1</v>
      </c>
      <c r="R348">
        <f t="shared" si="38"/>
        <v>40</v>
      </c>
      <c r="S348" t="str">
        <f t="shared" si="39"/>
        <v>S</v>
      </c>
      <c r="U348">
        <f t="shared" si="40"/>
        <v>1</v>
      </c>
      <c r="V348">
        <f t="shared" si="42"/>
        <v>0</v>
      </c>
      <c r="W348">
        <f t="shared" si="42"/>
        <v>1</v>
      </c>
      <c r="X348">
        <f t="shared" si="42"/>
        <v>0</v>
      </c>
      <c r="Y348">
        <f t="shared" si="41"/>
        <v>1</v>
      </c>
      <c r="Z348">
        <f t="shared" si="41"/>
        <v>0</v>
      </c>
      <c r="AA348">
        <f t="shared" si="41"/>
        <v>0</v>
      </c>
    </row>
    <row r="349" spans="1:27" x14ac:dyDescent="0.4">
      <c r="A349">
        <v>348</v>
      </c>
      <c r="B349">
        <v>3</v>
      </c>
      <c r="C349" t="s">
        <v>733</v>
      </c>
      <c r="D349" t="s">
        <v>18</v>
      </c>
      <c r="F349">
        <v>1</v>
      </c>
      <c r="G349">
        <v>0</v>
      </c>
      <c r="H349" t="s">
        <v>734</v>
      </c>
      <c r="I349">
        <v>16.100000000000001</v>
      </c>
      <c r="J349" t="s">
        <v>15</v>
      </c>
      <c r="K349" t="s">
        <v>16</v>
      </c>
      <c r="L349">
        <v>1</v>
      </c>
      <c r="R349">
        <f t="shared" si="38"/>
        <v>28</v>
      </c>
      <c r="S349" t="str">
        <f t="shared" si="39"/>
        <v>S</v>
      </c>
      <c r="U349">
        <f t="shared" si="40"/>
        <v>1</v>
      </c>
      <c r="V349">
        <f t="shared" si="42"/>
        <v>0</v>
      </c>
      <c r="W349">
        <f t="shared" si="42"/>
        <v>0</v>
      </c>
      <c r="X349">
        <f t="shared" si="42"/>
        <v>1</v>
      </c>
      <c r="Y349">
        <f t="shared" si="41"/>
        <v>1</v>
      </c>
      <c r="Z349">
        <f t="shared" si="41"/>
        <v>0</v>
      </c>
      <c r="AA349">
        <f t="shared" si="41"/>
        <v>0</v>
      </c>
    </row>
    <row r="350" spans="1:27" x14ac:dyDescent="0.4">
      <c r="A350">
        <v>349</v>
      </c>
      <c r="B350">
        <v>3</v>
      </c>
      <c r="C350" t="s">
        <v>735</v>
      </c>
      <c r="D350" t="s">
        <v>13</v>
      </c>
      <c r="E350">
        <v>3</v>
      </c>
      <c r="F350">
        <v>1</v>
      </c>
      <c r="G350">
        <v>1</v>
      </c>
      <c r="H350" t="s">
        <v>736</v>
      </c>
      <c r="I350">
        <v>15.9</v>
      </c>
      <c r="J350" t="s">
        <v>15</v>
      </c>
      <c r="K350" t="s">
        <v>16</v>
      </c>
      <c r="L350">
        <v>1</v>
      </c>
      <c r="R350">
        <f t="shared" si="38"/>
        <v>3</v>
      </c>
      <c r="S350" t="str">
        <f t="shared" si="39"/>
        <v>S</v>
      </c>
      <c r="U350">
        <f t="shared" si="40"/>
        <v>0</v>
      </c>
      <c r="V350">
        <f t="shared" si="42"/>
        <v>0</v>
      </c>
      <c r="W350">
        <f t="shared" si="42"/>
        <v>0</v>
      </c>
      <c r="X350">
        <f t="shared" si="42"/>
        <v>1</v>
      </c>
      <c r="Y350">
        <f t="shared" si="41"/>
        <v>1</v>
      </c>
      <c r="Z350">
        <f t="shared" si="41"/>
        <v>0</v>
      </c>
      <c r="AA350">
        <f t="shared" si="41"/>
        <v>0</v>
      </c>
    </row>
    <row r="351" spans="1:27" x14ac:dyDescent="0.4">
      <c r="A351">
        <v>350</v>
      </c>
      <c r="B351">
        <v>3</v>
      </c>
      <c r="C351" t="s">
        <v>737</v>
      </c>
      <c r="D351" t="s">
        <v>13</v>
      </c>
      <c r="E351">
        <v>42</v>
      </c>
      <c r="F351">
        <v>0</v>
      </c>
      <c r="G351">
        <v>0</v>
      </c>
      <c r="H351" t="s">
        <v>738</v>
      </c>
      <c r="I351">
        <v>8.6624999999999996</v>
      </c>
      <c r="J351" t="s">
        <v>15</v>
      </c>
      <c r="K351" t="s">
        <v>16</v>
      </c>
      <c r="L351">
        <v>0</v>
      </c>
      <c r="R351">
        <f t="shared" si="38"/>
        <v>42</v>
      </c>
      <c r="S351" t="str">
        <f t="shared" si="39"/>
        <v>S</v>
      </c>
      <c r="U351">
        <f t="shared" si="40"/>
        <v>0</v>
      </c>
      <c r="V351">
        <f t="shared" si="42"/>
        <v>0</v>
      </c>
      <c r="W351">
        <f t="shared" si="42"/>
        <v>0</v>
      </c>
      <c r="X351">
        <f t="shared" si="42"/>
        <v>1</v>
      </c>
      <c r="Y351">
        <f t="shared" si="41"/>
        <v>1</v>
      </c>
      <c r="Z351">
        <f t="shared" si="41"/>
        <v>0</v>
      </c>
      <c r="AA351">
        <f t="shared" si="41"/>
        <v>0</v>
      </c>
    </row>
    <row r="352" spans="1:27" x14ac:dyDescent="0.4">
      <c r="A352">
        <v>351</v>
      </c>
      <c r="B352">
        <v>3</v>
      </c>
      <c r="C352" t="s">
        <v>739</v>
      </c>
      <c r="D352" t="s">
        <v>13</v>
      </c>
      <c r="E352">
        <v>23</v>
      </c>
      <c r="F352">
        <v>0</v>
      </c>
      <c r="G352">
        <v>0</v>
      </c>
      <c r="H352" t="s">
        <v>740</v>
      </c>
      <c r="I352">
        <v>9.2249999999999996</v>
      </c>
      <c r="J352" t="s">
        <v>15</v>
      </c>
      <c r="K352" t="s">
        <v>16</v>
      </c>
      <c r="L352">
        <v>0</v>
      </c>
      <c r="R352">
        <f t="shared" si="38"/>
        <v>23</v>
      </c>
      <c r="S352" t="str">
        <f t="shared" si="39"/>
        <v>S</v>
      </c>
      <c r="U352">
        <f t="shared" si="40"/>
        <v>0</v>
      </c>
      <c r="V352">
        <f t="shared" si="42"/>
        <v>0</v>
      </c>
      <c r="W352">
        <f t="shared" si="42"/>
        <v>0</v>
      </c>
      <c r="X352">
        <f t="shared" si="42"/>
        <v>1</v>
      </c>
      <c r="Y352">
        <f t="shared" si="41"/>
        <v>1</v>
      </c>
      <c r="Z352">
        <f t="shared" si="41"/>
        <v>0</v>
      </c>
      <c r="AA352">
        <f t="shared" si="41"/>
        <v>0</v>
      </c>
    </row>
    <row r="353" spans="1:27" x14ac:dyDescent="0.4">
      <c r="A353">
        <v>352</v>
      </c>
      <c r="B353">
        <v>1</v>
      </c>
      <c r="C353" t="s">
        <v>741</v>
      </c>
      <c r="D353" t="s">
        <v>13</v>
      </c>
      <c r="F353">
        <v>0</v>
      </c>
      <c r="G353">
        <v>0</v>
      </c>
      <c r="H353" t="s">
        <v>742</v>
      </c>
      <c r="I353">
        <v>35</v>
      </c>
      <c r="J353" t="s">
        <v>743</v>
      </c>
      <c r="K353" t="s">
        <v>16</v>
      </c>
      <c r="L353">
        <v>0</v>
      </c>
      <c r="R353">
        <f t="shared" si="38"/>
        <v>28</v>
      </c>
      <c r="S353" t="str">
        <f t="shared" si="39"/>
        <v>S</v>
      </c>
      <c r="U353">
        <f t="shared" si="40"/>
        <v>0</v>
      </c>
      <c r="V353">
        <f t="shared" si="42"/>
        <v>1</v>
      </c>
      <c r="W353">
        <f t="shared" si="42"/>
        <v>0</v>
      </c>
      <c r="X353">
        <f t="shared" si="42"/>
        <v>0</v>
      </c>
      <c r="Y353">
        <f t="shared" si="41"/>
        <v>1</v>
      </c>
      <c r="Z353">
        <f t="shared" si="41"/>
        <v>0</v>
      </c>
      <c r="AA353">
        <f t="shared" si="41"/>
        <v>0</v>
      </c>
    </row>
    <row r="354" spans="1:27" x14ac:dyDescent="0.4">
      <c r="A354">
        <v>353</v>
      </c>
      <c r="B354">
        <v>3</v>
      </c>
      <c r="C354" t="s">
        <v>744</v>
      </c>
      <c r="D354" t="s">
        <v>13</v>
      </c>
      <c r="E354">
        <v>15</v>
      </c>
      <c r="F354">
        <v>1</v>
      </c>
      <c r="G354">
        <v>1</v>
      </c>
      <c r="H354" t="s">
        <v>745</v>
      </c>
      <c r="I354">
        <v>7.2291999999999996</v>
      </c>
      <c r="J354" t="s">
        <v>15</v>
      </c>
      <c r="K354" t="s">
        <v>21</v>
      </c>
      <c r="L354">
        <v>0</v>
      </c>
      <c r="R354">
        <f t="shared" si="38"/>
        <v>15</v>
      </c>
      <c r="S354" t="str">
        <f t="shared" si="39"/>
        <v>C</v>
      </c>
      <c r="U354">
        <f t="shared" si="40"/>
        <v>0</v>
      </c>
      <c r="V354">
        <f t="shared" si="42"/>
        <v>0</v>
      </c>
      <c r="W354">
        <f t="shared" si="42"/>
        <v>0</v>
      </c>
      <c r="X354">
        <f t="shared" si="42"/>
        <v>1</v>
      </c>
      <c r="Y354">
        <f t="shared" si="41"/>
        <v>0</v>
      </c>
      <c r="Z354">
        <f t="shared" si="41"/>
        <v>0</v>
      </c>
      <c r="AA354">
        <f t="shared" si="41"/>
        <v>1</v>
      </c>
    </row>
    <row r="355" spans="1:27" x14ac:dyDescent="0.4">
      <c r="A355">
        <v>354</v>
      </c>
      <c r="B355">
        <v>3</v>
      </c>
      <c r="C355" t="s">
        <v>746</v>
      </c>
      <c r="D355" t="s">
        <v>13</v>
      </c>
      <c r="E355">
        <v>25</v>
      </c>
      <c r="F355">
        <v>1</v>
      </c>
      <c r="G355">
        <v>0</v>
      </c>
      <c r="H355" t="s">
        <v>125</v>
      </c>
      <c r="I355">
        <v>17.8</v>
      </c>
      <c r="J355" t="s">
        <v>15</v>
      </c>
      <c r="K355" t="s">
        <v>16</v>
      </c>
      <c r="L355">
        <v>0</v>
      </c>
      <c r="R355">
        <f t="shared" si="38"/>
        <v>25</v>
      </c>
      <c r="S355" t="str">
        <f t="shared" si="39"/>
        <v>S</v>
      </c>
      <c r="U355">
        <f t="shared" si="40"/>
        <v>0</v>
      </c>
      <c r="V355">
        <f t="shared" si="42"/>
        <v>0</v>
      </c>
      <c r="W355">
        <f t="shared" si="42"/>
        <v>0</v>
      </c>
      <c r="X355">
        <f t="shared" si="42"/>
        <v>1</v>
      </c>
      <c r="Y355">
        <f t="shared" si="41"/>
        <v>1</v>
      </c>
      <c r="Z355">
        <f t="shared" si="41"/>
        <v>0</v>
      </c>
      <c r="AA355">
        <f t="shared" si="41"/>
        <v>0</v>
      </c>
    </row>
    <row r="356" spans="1:27" x14ac:dyDescent="0.4">
      <c r="A356">
        <v>355</v>
      </c>
      <c r="B356">
        <v>3</v>
      </c>
      <c r="C356" t="s">
        <v>747</v>
      </c>
      <c r="D356" t="s">
        <v>13</v>
      </c>
      <c r="F356">
        <v>0</v>
      </c>
      <c r="G356">
        <v>0</v>
      </c>
      <c r="H356" t="s">
        <v>748</v>
      </c>
      <c r="I356">
        <v>7.2249999999999996</v>
      </c>
      <c r="J356" t="s">
        <v>15</v>
      </c>
      <c r="K356" t="s">
        <v>21</v>
      </c>
      <c r="L356">
        <v>0</v>
      </c>
      <c r="R356">
        <f t="shared" si="38"/>
        <v>28</v>
      </c>
      <c r="S356" t="str">
        <f t="shared" si="39"/>
        <v>C</v>
      </c>
      <c r="U356">
        <f t="shared" si="40"/>
        <v>0</v>
      </c>
      <c r="V356">
        <f t="shared" si="42"/>
        <v>0</v>
      </c>
      <c r="W356">
        <f t="shared" si="42"/>
        <v>0</v>
      </c>
      <c r="X356">
        <f t="shared" si="42"/>
        <v>1</v>
      </c>
      <c r="Y356">
        <f t="shared" si="41"/>
        <v>0</v>
      </c>
      <c r="Z356">
        <f t="shared" si="41"/>
        <v>0</v>
      </c>
      <c r="AA356">
        <f t="shared" si="41"/>
        <v>1</v>
      </c>
    </row>
    <row r="357" spans="1:27" x14ac:dyDescent="0.4">
      <c r="A357">
        <v>356</v>
      </c>
      <c r="B357">
        <v>3</v>
      </c>
      <c r="C357" t="s">
        <v>749</v>
      </c>
      <c r="D357" t="s">
        <v>13</v>
      </c>
      <c r="E357">
        <v>28</v>
      </c>
      <c r="F357">
        <v>0</v>
      </c>
      <c r="G357">
        <v>0</v>
      </c>
      <c r="H357" t="s">
        <v>750</v>
      </c>
      <c r="I357">
        <v>9.5</v>
      </c>
      <c r="J357" t="s">
        <v>15</v>
      </c>
      <c r="K357" t="s">
        <v>16</v>
      </c>
      <c r="L357">
        <v>0</v>
      </c>
      <c r="R357">
        <f t="shared" si="38"/>
        <v>28</v>
      </c>
      <c r="S357" t="str">
        <f t="shared" si="39"/>
        <v>S</v>
      </c>
      <c r="U357">
        <f t="shared" si="40"/>
        <v>0</v>
      </c>
      <c r="V357">
        <f t="shared" si="42"/>
        <v>0</v>
      </c>
      <c r="W357">
        <f t="shared" si="42"/>
        <v>0</v>
      </c>
      <c r="X357">
        <f t="shared" si="42"/>
        <v>1</v>
      </c>
      <c r="Y357">
        <f t="shared" si="41"/>
        <v>1</v>
      </c>
      <c r="Z357">
        <f t="shared" si="41"/>
        <v>0</v>
      </c>
      <c r="AA357">
        <f t="shared" si="41"/>
        <v>0</v>
      </c>
    </row>
    <row r="358" spans="1:27" x14ac:dyDescent="0.4">
      <c r="A358">
        <v>357</v>
      </c>
      <c r="B358">
        <v>1</v>
      </c>
      <c r="C358" t="s">
        <v>751</v>
      </c>
      <c r="D358" t="s">
        <v>18</v>
      </c>
      <c r="E358">
        <v>22</v>
      </c>
      <c r="F358">
        <v>0</v>
      </c>
      <c r="G358">
        <v>1</v>
      </c>
      <c r="H358" t="s">
        <v>367</v>
      </c>
      <c r="I358">
        <v>55</v>
      </c>
      <c r="J358" t="s">
        <v>368</v>
      </c>
      <c r="K358" t="s">
        <v>16</v>
      </c>
      <c r="L358">
        <v>1</v>
      </c>
      <c r="R358">
        <f t="shared" si="38"/>
        <v>22</v>
      </c>
      <c r="S358" t="str">
        <f t="shared" si="39"/>
        <v>S</v>
      </c>
      <c r="U358">
        <f t="shared" si="40"/>
        <v>1</v>
      </c>
      <c r="V358">
        <f t="shared" si="42"/>
        <v>1</v>
      </c>
      <c r="W358">
        <f t="shared" si="42"/>
        <v>0</v>
      </c>
      <c r="X358">
        <f t="shared" si="42"/>
        <v>0</v>
      </c>
      <c r="Y358">
        <f t="shared" si="41"/>
        <v>1</v>
      </c>
      <c r="Z358">
        <f t="shared" si="41"/>
        <v>0</v>
      </c>
      <c r="AA358">
        <f t="shared" si="41"/>
        <v>0</v>
      </c>
    </row>
    <row r="359" spans="1:27" x14ac:dyDescent="0.4">
      <c r="A359">
        <v>358</v>
      </c>
      <c r="B359">
        <v>2</v>
      </c>
      <c r="C359" t="s">
        <v>752</v>
      </c>
      <c r="D359" t="s">
        <v>18</v>
      </c>
      <c r="E359">
        <v>38</v>
      </c>
      <c r="F359">
        <v>0</v>
      </c>
      <c r="G359">
        <v>0</v>
      </c>
      <c r="H359" t="s">
        <v>753</v>
      </c>
      <c r="I359">
        <v>13</v>
      </c>
      <c r="J359" t="s">
        <v>15</v>
      </c>
      <c r="K359" t="s">
        <v>16</v>
      </c>
      <c r="L359">
        <v>0</v>
      </c>
      <c r="R359">
        <f t="shared" si="38"/>
        <v>38</v>
      </c>
      <c r="S359" t="str">
        <f t="shared" si="39"/>
        <v>S</v>
      </c>
      <c r="U359">
        <f t="shared" si="40"/>
        <v>1</v>
      </c>
      <c r="V359">
        <f t="shared" si="42"/>
        <v>0</v>
      </c>
      <c r="W359">
        <f t="shared" si="42"/>
        <v>1</v>
      </c>
      <c r="X359">
        <f t="shared" si="42"/>
        <v>0</v>
      </c>
      <c r="Y359">
        <f t="shared" si="41"/>
        <v>1</v>
      </c>
      <c r="Z359">
        <f t="shared" si="41"/>
        <v>0</v>
      </c>
      <c r="AA359">
        <f t="shared" si="41"/>
        <v>0</v>
      </c>
    </row>
    <row r="360" spans="1:27" x14ac:dyDescent="0.4">
      <c r="A360">
        <v>359</v>
      </c>
      <c r="B360">
        <v>3</v>
      </c>
      <c r="C360" t="s">
        <v>754</v>
      </c>
      <c r="D360" t="s">
        <v>18</v>
      </c>
      <c r="F360">
        <v>0</v>
      </c>
      <c r="G360">
        <v>0</v>
      </c>
      <c r="H360" t="s">
        <v>755</v>
      </c>
      <c r="I360">
        <v>7.8792</v>
      </c>
      <c r="J360" t="s">
        <v>15</v>
      </c>
      <c r="K360" t="s">
        <v>31</v>
      </c>
      <c r="L360">
        <v>1</v>
      </c>
      <c r="R360">
        <f t="shared" si="38"/>
        <v>28</v>
      </c>
      <c r="S360" t="str">
        <f t="shared" si="39"/>
        <v>Q</v>
      </c>
      <c r="U360">
        <f t="shared" si="40"/>
        <v>1</v>
      </c>
      <c r="V360">
        <f t="shared" si="42"/>
        <v>0</v>
      </c>
      <c r="W360">
        <f t="shared" si="42"/>
        <v>0</v>
      </c>
      <c r="X360">
        <f t="shared" si="42"/>
        <v>1</v>
      </c>
      <c r="Y360">
        <f t="shared" si="41"/>
        <v>0</v>
      </c>
      <c r="Z360">
        <f t="shared" si="41"/>
        <v>1</v>
      </c>
      <c r="AA360">
        <f t="shared" si="41"/>
        <v>0</v>
      </c>
    </row>
    <row r="361" spans="1:27" x14ac:dyDescent="0.4">
      <c r="A361">
        <v>360</v>
      </c>
      <c r="B361">
        <v>3</v>
      </c>
      <c r="C361" t="s">
        <v>756</v>
      </c>
      <c r="D361" t="s">
        <v>18</v>
      </c>
      <c r="F361">
        <v>0</v>
      </c>
      <c r="G361">
        <v>0</v>
      </c>
      <c r="H361" t="s">
        <v>757</v>
      </c>
      <c r="I361">
        <v>7.8792</v>
      </c>
      <c r="J361" t="s">
        <v>15</v>
      </c>
      <c r="K361" t="s">
        <v>31</v>
      </c>
      <c r="L361">
        <v>1</v>
      </c>
      <c r="R361">
        <f t="shared" si="38"/>
        <v>28</v>
      </c>
      <c r="S361" t="str">
        <f t="shared" si="39"/>
        <v>Q</v>
      </c>
      <c r="U361">
        <f t="shared" si="40"/>
        <v>1</v>
      </c>
      <c r="V361">
        <f t="shared" si="42"/>
        <v>0</v>
      </c>
      <c r="W361">
        <f t="shared" si="42"/>
        <v>0</v>
      </c>
      <c r="X361">
        <f t="shared" si="42"/>
        <v>1</v>
      </c>
      <c r="Y361">
        <f t="shared" si="41"/>
        <v>0</v>
      </c>
      <c r="Z361">
        <f t="shared" si="41"/>
        <v>1</v>
      </c>
      <c r="AA361">
        <f t="shared" si="41"/>
        <v>0</v>
      </c>
    </row>
    <row r="362" spans="1:27" x14ac:dyDescent="0.4">
      <c r="A362">
        <v>361</v>
      </c>
      <c r="B362">
        <v>3</v>
      </c>
      <c r="C362" t="s">
        <v>758</v>
      </c>
      <c r="D362" t="s">
        <v>13</v>
      </c>
      <c r="E362">
        <v>40</v>
      </c>
      <c r="F362">
        <v>1</v>
      </c>
      <c r="G362">
        <v>4</v>
      </c>
      <c r="H362" t="s">
        <v>158</v>
      </c>
      <c r="I362">
        <v>27.9</v>
      </c>
      <c r="J362" t="s">
        <v>15</v>
      </c>
      <c r="K362" t="s">
        <v>16</v>
      </c>
      <c r="L362">
        <v>0</v>
      </c>
      <c r="R362">
        <f t="shared" si="38"/>
        <v>40</v>
      </c>
      <c r="S362" t="str">
        <f t="shared" si="39"/>
        <v>S</v>
      </c>
      <c r="U362">
        <f t="shared" si="40"/>
        <v>0</v>
      </c>
      <c r="V362">
        <f t="shared" ref="V362:X381" si="43">IF("Pclass_"&amp;$B362=V$1,1,0)</f>
        <v>0</v>
      </c>
      <c r="W362">
        <f t="shared" si="43"/>
        <v>0</v>
      </c>
      <c r="X362">
        <f t="shared" si="43"/>
        <v>1</v>
      </c>
      <c r="Y362">
        <f t="shared" si="41"/>
        <v>1</v>
      </c>
      <c r="Z362">
        <f t="shared" si="41"/>
        <v>0</v>
      </c>
      <c r="AA362">
        <f t="shared" si="41"/>
        <v>0</v>
      </c>
    </row>
    <row r="363" spans="1:27" x14ac:dyDescent="0.4">
      <c r="A363">
        <v>362</v>
      </c>
      <c r="B363">
        <v>2</v>
      </c>
      <c r="C363" t="s">
        <v>759</v>
      </c>
      <c r="D363" t="s">
        <v>13</v>
      </c>
      <c r="E363">
        <v>29</v>
      </c>
      <c r="F363">
        <v>1</v>
      </c>
      <c r="G363">
        <v>0</v>
      </c>
      <c r="H363" t="s">
        <v>760</v>
      </c>
      <c r="I363">
        <v>27.720800000000001</v>
      </c>
      <c r="J363" t="s">
        <v>15</v>
      </c>
      <c r="K363" t="s">
        <v>21</v>
      </c>
      <c r="L363">
        <v>0</v>
      </c>
      <c r="R363">
        <f t="shared" si="38"/>
        <v>29</v>
      </c>
      <c r="S363" t="str">
        <f t="shared" si="39"/>
        <v>C</v>
      </c>
      <c r="U363">
        <f t="shared" si="40"/>
        <v>0</v>
      </c>
      <c r="V363">
        <f t="shared" si="43"/>
        <v>0</v>
      </c>
      <c r="W363">
        <f t="shared" si="43"/>
        <v>1</v>
      </c>
      <c r="X363">
        <f t="shared" si="43"/>
        <v>0</v>
      </c>
      <c r="Y363">
        <f t="shared" si="41"/>
        <v>0</v>
      </c>
      <c r="Z363">
        <f t="shared" si="41"/>
        <v>0</v>
      </c>
      <c r="AA363">
        <f t="shared" si="41"/>
        <v>1</v>
      </c>
    </row>
    <row r="364" spans="1:27" x14ac:dyDescent="0.4">
      <c r="A364">
        <v>363</v>
      </c>
      <c r="B364">
        <v>3</v>
      </c>
      <c r="C364" t="s">
        <v>761</v>
      </c>
      <c r="D364" t="s">
        <v>18</v>
      </c>
      <c r="E364">
        <v>45</v>
      </c>
      <c r="F364">
        <v>0</v>
      </c>
      <c r="G364">
        <v>1</v>
      </c>
      <c r="H364" t="s">
        <v>762</v>
      </c>
      <c r="I364">
        <v>14.4542</v>
      </c>
      <c r="J364" t="s">
        <v>15</v>
      </c>
      <c r="K364" t="s">
        <v>21</v>
      </c>
      <c r="L364">
        <v>0</v>
      </c>
      <c r="R364">
        <f t="shared" si="38"/>
        <v>45</v>
      </c>
      <c r="S364" t="str">
        <f t="shared" si="39"/>
        <v>C</v>
      </c>
      <c r="U364">
        <f t="shared" si="40"/>
        <v>1</v>
      </c>
      <c r="V364">
        <f t="shared" si="43"/>
        <v>0</v>
      </c>
      <c r="W364">
        <f t="shared" si="43"/>
        <v>0</v>
      </c>
      <c r="X364">
        <f t="shared" si="43"/>
        <v>1</v>
      </c>
      <c r="Y364">
        <f t="shared" si="41"/>
        <v>0</v>
      </c>
      <c r="Z364">
        <f t="shared" si="41"/>
        <v>0</v>
      </c>
      <c r="AA364">
        <f t="shared" si="41"/>
        <v>1</v>
      </c>
    </row>
    <row r="365" spans="1:27" x14ac:dyDescent="0.4">
      <c r="A365">
        <v>364</v>
      </c>
      <c r="B365">
        <v>3</v>
      </c>
      <c r="C365" t="s">
        <v>763</v>
      </c>
      <c r="D365" t="s">
        <v>13</v>
      </c>
      <c r="E365">
        <v>35</v>
      </c>
      <c r="F365">
        <v>0</v>
      </c>
      <c r="G365">
        <v>0</v>
      </c>
      <c r="H365" t="s">
        <v>764</v>
      </c>
      <c r="I365">
        <v>7.05</v>
      </c>
      <c r="J365" t="s">
        <v>15</v>
      </c>
      <c r="K365" t="s">
        <v>16</v>
      </c>
      <c r="L365">
        <v>0</v>
      </c>
      <c r="R365">
        <f t="shared" si="38"/>
        <v>35</v>
      </c>
      <c r="S365" t="str">
        <f t="shared" si="39"/>
        <v>S</v>
      </c>
      <c r="U365">
        <f t="shared" si="40"/>
        <v>0</v>
      </c>
      <c r="V365">
        <f t="shared" si="43"/>
        <v>0</v>
      </c>
      <c r="W365">
        <f t="shared" si="43"/>
        <v>0</v>
      </c>
      <c r="X365">
        <f t="shared" si="43"/>
        <v>1</v>
      </c>
      <c r="Y365">
        <f t="shared" si="41"/>
        <v>1</v>
      </c>
      <c r="Z365">
        <f t="shared" si="41"/>
        <v>0</v>
      </c>
      <c r="AA365">
        <f t="shared" si="41"/>
        <v>0</v>
      </c>
    </row>
    <row r="366" spans="1:27" x14ac:dyDescent="0.4">
      <c r="A366">
        <v>365</v>
      </c>
      <c r="B366">
        <v>3</v>
      </c>
      <c r="C366" t="s">
        <v>765</v>
      </c>
      <c r="D366" t="s">
        <v>13</v>
      </c>
      <c r="F366">
        <v>1</v>
      </c>
      <c r="G366">
        <v>0</v>
      </c>
      <c r="H366" t="s">
        <v>407</v>
      </c>
      <c r="I366">
        <v>15.5</v>
      </c>
      <c r="J366" t="s">
        <v>15</v>
      </c>
      <c r="K366" t="s">
        <v>31</v>
      </c>
      <c r="L366">
        <v>0</v>
      </c>
      <c r="R366">
        <f t="shared" si="38"/>
        <v>28</v>
      </c>
      <c r="S366" t="str">
        <f t="shared" si="39"/>
        <v>Q</v>
      </c>
      <c r="U366">
        <f t="shared" si="40"/>
        <v>0</v>
      </c>
      <c r="V366">
        <f t="shared" si="43"/>
        <v>0</v>
      </c>
      <c r="W366">
        <f t="shared" si="43"/>
        <v>0</v>
      </c>
      <c r="X366">
        <f t="shared" si="43"/>
        <v>1</v>
      </c>
      <c r="Y366">
        <f t="shared" si="41"/>
        <v>0</v>
      </c>
      <c r="Z366">
        <f t="shared" si="41"/>
        <v>1</v>
      </c>
      <c r="AA366">
        <f t="shared" si="41"/>
        <v>0</v>
      </c>
    </row>
    <row r="367" spans="1:27" x14ac:dyDescent="0.4">
      <c r="A367">
        <v>366</v>
      </c>
      <c r="B367">
        <v>3</v>
      </c>
      <c r="C367" t="s">
        <v>766</v>
      </c>
      <c r="D367" t="s">
        <v>13</v>
      </c>
      <c r="E367">
        <v>30</v>
      </c>
      <c r="F367">
        <v>0</v>
      </c>
      <c r="G367">
        <v>0</v>
      </c>
      <c r="H367" t="s">
        <v>767</v>
      </c>
      <c r="I367">
        <v>7.25</v>
      </c>
      <c r="J367" t="s">
        <v>15</v>
      </c>
      <c r="K367" t="s">
        <v>16</v>
      </c>
      <c r="L367">
        <v>0</v>
      </c>
      <c r="R367">
        <f t="shared" si="38"/>
        <v>30</v>
      </c>
      <c r="S367" t="str">
        <f t="shared" si="39"/>
        <v>S</v>
      </c>
      <c r="U367">
        <f t="shared" si="40"/>
        <v>0</v>
      </c>
      <c r="V367">
        <f t="shared" si="43"/>
        <v>0</v>
      </c>
      <c r="W367">
        <f t="shared" si="43"/>
        <v>0</v>
      </c>
      <c r="X367">
        <f t="shared" si="43"/>
        <v>1</v>
      </c>
      <c r="Y367">
        <f t="shared" si="41"/>
        <v>1</v>
      </c>
      <c r="Z367">
        <f t="shared" si="41"/>
        <v>0</v>
      </c>
      <c r="AA367">
        <f t="shared" si="41"/>
        <v>0</v>
      </c>
    </row>
    <row r="368" spans="1:27" x14ac:dyDescent="0.4">
      <c r="A368">
        <v>367</v>
      </c>
      <c r="B368">
        <v>1</v>
      </c>
      <c r="C368" t="s">
        <v>768</v>
      </c>
      <c r="D368" t="s">
        <v>18</v>
      </c>
      <c r="E368">
        <v>60</v>
      </c>
      <c r="F368">
        <v>1</v>
      </c>
      <c r="G368">
        <v>0</v>
      </c>
      <c r="H368" t="s">
        <v>769</v>
      </c>
      <c r="I368">
        <v>75.25</v>
      </c>
      <c r="J368" t="s">
        <v>770</v>
      </c>
      <c r="K368" t="s">
        <v>21</v>
      </c>
      <c r="L368">
        <v>1</v>
      </c>
      <c r="R368">
        <f t="shared" si="38"/>
        <v>60</v>
      </c>
      <c r="S368" t="str">
        <f t="shared" si="39"/>
        <v>C</v>
      </c>
      <c r="U368">
        <f t="shared" si="40"/>
        <v>1</v>
      </c>
      <c r="V368">
        <f t="shared" si="43"/>
        <v>1</v>
      </c>
      <c r="W368">
        <f t="shared" si="43"/>
        <v>0</v>
      </c>
      <c r="X368">
        <f t="shared" si="43"/>
        <v>0</v>
      </c>
      <c r="Y368">
        <f t="shared" si="41"/>
        <v>0</v>
      </c>
      <c r="Z368">
        <f t="shared" si="41"/>
        <v>0</v>
      </c>
      <c r="AA368">
        <f t="shared" si="41"/>
        <v>1</v>
      </c>
    </row>
    <row r="369" spans="1:27" x14ac:dyDescent="0.4">
      <c r="A369">
        <v>368</v>
      </c>
      <c r="B369">
        <v>3</v>
      </c>
      <c r="C369" t="s">
        <v>771</v>
      </c>
      <c r="D369" t="s">
        <v>18</v>
      </c>
      <c r="F369">
        <v>0</v>
      </c>
      <c r="G369">
        <v>0</v>
      </c>
      <c r="H369" t="s">
        <v>772</v>
      </c>
      <c r="I369">
        <v>7.2291999999999996</v>
      </c>
      <c r="J369" t="s">
        <v>15</v>
      </c>
      <c r="K369" t="s">
        <v>21</v>
      </c>
      <c r="L369">
        <v>1</v>
      </c>
      <c r="R369">
        <f t="shared" si="38"/>
        <v>28</v>
      </c>
      <c r="S369" t="str">
        <f t="shared" si="39"/>
        <v>C</v>
      </c>
      <c r="U369">
        <f t="shared" si="40"/>
        <v>1</v>
      </c>
      <c r="V369">
        <f t="shared" si="43"/>
        <v>0</v>
      </c>
      <c r="W369">
        <f t="shared" si="43"/>
        <v>0</v>
      </c>
      <c r="X369">
        <f t="shared" si="43"/>
        <v>1</v>
      </c>
      <c r="Y369">
        <f t="shared" si="41"/>
        <v>0</v>
      </c>
      <c r="Z369">
        <f t="shared" si="41"/>
        <v>0</v>
      </c>
      <c r="AA369">
        <f t="shared" si="41"/>
        <v>1</v>
      </c>
    </row>
    <row r="370" spans="1:27" x14ac:dyDescent="0.4">
      <c r="A370">
        <v>369</v>
      </c>
      <c r="B370">
        <v>3</v>
      </c>
      <c r="C370" t="s">
        <v>773</v>
      </c>
      <c r="D370" t="s">
        <v>18</v>
      </c>
      <c r="F370">
        <v>0</v>
      </c>
      <c r="G370">
        <v>0</v>
      </c>
      <c r="H370" t="s">
        <v>774</v>
      </c>
      <c r="I370">
        <v>7.75</v>
      </c>
      <c r="J370" t="s">
        <v>15</v>
      </c>
      <c r="K370" t="s">
        <v>31</v>
      </c>
      <c r="L370">
        <v>1</v>
      </c>
      <c r="R370">
        <f t="shared" si="38"/>
        <v>28</v>
      </c>
      <c r="S370" t="str">
        <f t="shared" si="39"/>
        <v>Q</v>
      </c>
      <c r="U370">
        <f t="shared" si="40"/>
        <v>1</v>
      </c>
      <c r="V370">
        <f t="shared" si="43"/>
        <v>0</v>
      </c>
      <c r="W370">
        <f t="shared" si="43"/>
        <v>0</v>
      </c>
      <c r="X370">
        <f t="shared" si="43"/>
        <v>1</v>
      </c>
      <c r="Y370">
        <f t="shared" si="41"/>
        <v>0</v>
      </c>
      <c r="Z370">
        <f t="shared" si="41"/>
        <v>1</v>
      </c>
      <c r="AA370">
        <f t="shared" si="41"/>
        <v>0</v>
      </c>
    </row>
    <row r="371" spans="1:27" x14ac:dyDescent="0.4">
      <c r="A371">
        <v>370</v>
      </c>
      <c r="B371">
        <v>1</v>
      </c>
      <c r="C371" t="s">
        <v>775</v>
      </c>
      <c r="D371" t="s">
        <v>18</v>
      </c>
      <c r="E371">
        <v>24</v>
      </c>
      <c r="F371">
        <v>0</v>
      </c>
      <c r="G371">
        <v>0</v>
      </c>
      <c r="H371" t="s">
        <v>776</v>
      </c>
      <c r="I371">
        <v>69.3</v>
      </c>
      <c r="J371" t="s">
        <v>777</v>
      </c>
      <c r="K371" t="s">
        <v>21</v>
      </c>
      <c r="L371">
        <v>1</v>
      </c>
      <c r="R371">
        <f t="shared" si="38"/>
        <v>24</v>
      </c>
      <c r="S371" t="str">
        <f t="shared" si="39"/>
        <v>C</v>
      </c>
      <c r="U371">
        <f t="shared" si="40"/>
        <v>1</v>
      </c>
      <c r="V371">
        <f t="shared" si="43"/>
        <v>1</v>
      </c>
      <c r="W371">
        <f t="shared" si="43"/>
        <v>0</v>
      </c>
      <c r="X371">
        <f t="shared" si="43"/>
        <v>0</v>
      </c>
      <c r="Y371">
        <f t="shared" si="41"/>
        <v>0</v>
      </c>
      <c r="Z371">
        <f t="shared" si="41"/>
        <v>0</v>
      </c>
      <c r="AA371">
        <f t="shared" si="41"/>
        <v>1</v>
      </c>
    </row>
    <row r="372" spans="1:27" x14ac:dyDescent="0.4">
      <c r="A372">
        <v>371</v>
      </c>
      <c r="B372">
        <v>1</v>
      </c>
      <c r="C372" t="s">
        <v>778</v>
      </c>
      <c r="D372" t="s">
        <v>13</v>
      </c>
      <c r="E372">
        <v>25</v>
      </c>
      <c r="F372">
        <v>1</v>
      </c>
      <c r="G372">
        <v>0</v>
      </c>
      <c r="H372" t="s">
        <v>779</v>
      </c>
      <c r="I372">
        <v>55.441699999999997</v>
      </c>
      <c r="J372" t="s">
        <v>780</v>
      </c>
      <c r="K372" t="s">
        <v>21</v>
      </c>
      <c r="L372">
        <v>1</v>
      </c>
      <c r="R372">
        <f t="shared" si="38"/>
        <v>25</v>
      </c>
      <c r="S372" t="str">
        <f t="shared" si="39"/>
        <v>C</v>
      </c>
      <c r="U372">
        <f t="shared" si="40"/>
        <v>0</v>
      </c>
      <c r="V372">
        <f t="shared" si="43"/>
        <v>1</v>
      </c>
      <c r="W372">
        <f t="shared" si="43"/>
        <v>0</v>
      </c>
      <c r="X372">
        <f t="shared" si="43"/>
        <v>0</v>
      </c>
      <c r="Y372">
        <f t="shared" si="41"/>
        <v>0</v>
      </c>
      <c r="Z372">
        <f t="shared" si="41"/>
        <v>0</v>
      </c>
      <c r="AA372">
        <f t="shared" si="41"/>
        <v>1</v>
      </c>
    </row>
    <row r="373" spans="1:27" x14ac:dyDescent="0.4">
      <c r="A373">
        <v>372</v>
      </c>
      <c r="B373">
        <v>3</v>
      </c>
      <c r="C373" t="s">
        <v>781</v>
      </c>
      <c r="D373" t="s">
        <v>13</v>
      </c>
      <c r="E373">
        <v>18</v>
      </c>
      <c r="F373">
        <v>1</v>
      </c>
      <c r="G373">
        <v>0</v>
      </c>
      <c r="H373" t="s">
        <v>782</v>
      </c>
      <c r="I373">
        <v>6.4958</v>
      </c>
      <c r="J373" t="s">
        <v>15</v>
      </c>
      <c r="K373" t="s">
        <v>16</v>
      </c>
      <c r="L373">
        <v>0</v>
      </c>
      <c r="R373">
        <f t="shared" si="38"/>
        <v>18</v>
      </c>
      <c r="S373" t="str">
        <f t="shared" si="39"/>
        <v>S</v>
      </c>
      <c r="U373">
        <f t="shared" si="40"/>
        <v>0</v>
      </c>
      <c r="V373">
        <f t="shared" si="43"/>
        <v>0</v>
      </c>
      <c r="W373">
        <f t="shared" si="43"/>
        <v>0</v>
      </c>
      <c r="X373">
        <f t="shared" si="43"/>
        <v>1</v>
      </c>
      <c r="Y373">
        <f t="shared" si="41"/>
        <v>1</v>
      </c>
      <c r="Z373">
        <f t="shared" si="41"/>
        <v>0</v>
      </c>
      <c r="AA373">
        <f t="shared" si="41"/>
        <v>0</v>
      </c>
    </row>
    <row r="374" spans="1:27" x14ac:dyDescent="0.4">
      <c r="A374">
        <v>373</v>
      </c>
      <c r="B374">
        <v>3</v>
      </c>
      <c r="C374" t="s">
        <v>783</v>
      </c>
      <c r="D374" t="s">
        <v>13</v>
      </c>
      <c r="E374">
        <v>19</v>
      </c>
      <c r="F374">
        <v>0</v>
      </c>
      <c r="G374">
        <v>0</v>
      </c>
      <c r="H374" t="s">
        <v>784</v>
      </c>
      <c r="I374">
        <v>8.0500000000000007</v>
      </c>
      <c r="J374" t="s">
        <v>15</v>
      </c>
      <c r="K374" t="s">
        <v>16</v>
      </c>
      <c r="L374">
        <v>0</v>
      </c>
      <c r="R374">
        <f t="shared" si="38"/>
        <v>19</v>
      </c>
      <c r="S374" t="str">
        <f t="shared" si="39"/>
        <v>S</v>
      </c>
      <c r="U374">
        <f t="shared" si="40"/>
        <v>0</v>
      </c>
      <c r="V374">
        <f t="shared" si="43"/>
        <v>0</v>
      </c>
      <c r="W374">
        <f t="shared" si="43"/>
        <v>0</v>
      </c>
      <c r="X374">
        <f t="shared" si="43"/>
        <v>1</v>
      </c>
      <c r="Y374">
        <f t="shared" si="41"/>
        <v>1</v>
      </c>
      <c r="Z374">
        <f t="shared" si="41"/>
        <v>0</v>
      </c>
      <c r="AA374">
        <f t="shared" si="41"/>
        <v>0</v>
      </c>
    </row>
    <row r="375" spans="1:27" x14ac:dyDescent="0.4">
      <c r="A375">
        <v>374</v>
      </c>
      <c r="B375">
        <v>1</v>
      </c>
      <c r="C375" t="s">
        <v>785</v>
      </c>
      <c r="D375" t="s">
        <v>13</v>
      </c>
      <c r="E375">
        <v>22</v>
      </c>
      <c r="F375">
        <v>0</v>
      </c>
      <c r="G375">
        <v>0</v>
      </c>
      <c r="H375" t="s">
        <v>575</v>
      </c>
      <c r="I375">
        <v>135.63329999999999</v>
      </c>
      <c r="J375" t="s">
        <v>15</v>
      </c>
      <c r="K375" t="s">
        <v>21</v>
      </c>
      <c r="L375">
        <v>0</v>
      </c>
      <c r="R375">
        <f t="shared" si="38"/>
        <v>22</v>
      </c>
      <c r="S375" t="str">
        <f t="shared" si="39"/>
        <v>C</v>
      </c>
      <c r="U375">
        <f t="shared" si="40"/>
        <v>0</v>
      </c>
      <c r="V375">
        <f t="shared" si="43"/>
        <v>1</v>
      </c>
      <c r="W375">
        <f t="shared" si="43"/>
        <v>0</v>
      </c>
      <c r="X375">
        <f t="shared" si="43"/>
        <v>0</v>
      </c>
      <c r="Y375">
        <f t="shared" si="41"/>
        <v>0</v>
      </c>
      <c r="Z375">
        <f t="shared" si="41"/>
        <v>0</v>
      </c>
      <c r="AA375">
        <f t="shared" si="41"/>
        <v>1</v>
      </c>
    </row>
    <row r="376" spans="1:27" x14ac:dyDescent="0.4">
      <c r="A376">
        <v>375</v>
      </c>
      <c r="B376">
        <v>3</v>
      </c>
      <c r="C376" t="s">
        <v>786</v>
      </c>
      <c r="D376" t="s">
        <v>18</v>
      </c>
      <c r="E376">
        <v>3</v>
      </c>
      <c r="F376">
        <v>3</v>
      </c>
      <c r="G376">
        <v>1</v>
      </c>
      <c r="H376" t="s">
        <v>36</v>
      </c>
      <c r="I376">
        <v>21.074999999999999</v>
      </c>
      <c r="J376" t="s">
        <v>15</v>
      </c>
      <c r="K376" t="s">
        <v>16</v>
      </c>
      <c r="L376">
        <v>0</v>
      </c>
      <c r="R376">
        <f t="shared" si="38"/>
        <v>3</v>
      </c>
      <c r="S376" t="str">
        <f t="shared" si="39"/>
        <v>S</v>
      </c>
      <c r="U376">
        <f t="shared" si="40"/>
        <v>1</v>
      </c>
      <c r="V376">
        <f t="shared" si="43"/>
        <v>0</v>
      </c>
      <c r="W376">
        <f t="shared" si="43"/>
        <v>0</v>
      </c>
      <c r="X376">
        <f t="shared" si="43"/>
        <v>1</v>
      </c>
      <c r="Y376">
        <f t="shared" si="41"/>
        <v>1</v>
      </c>
      <c r="Z376">
        <f t="shared" si="41"/>
        <v>0</v>
      </c>
      <c r="AA376">
        <f t="shared" si="41"/>
        <v>0</v>
      </c>
    </row>
    <row r="377" spans="1:27" x14ac:dyDescent="0.4">
      <c r="A377">
        <v>376</v>
      </c>
      <c r="B377">
        <v>1</v>
      </c>
      <c r="C377" t="s">
        <v>787</v>
      </c>
      <c r="D377" t="s">
        <v>18</v>
      </c>
      <c r="F377">
        <v>1</v>
      </c>
      <c r="G377">
        <v>0</v>
      </c>
      <c r="H377" t="s">
        <v>95</v>
      </c>
      <c r="I377">
        <v>82.1708</v>
      </c>
      <c r="J377" t="s">
        <v>15</v>
      </c>
      <c r="K377" t="s">
        <v>21</v>
      </c>
      <c r="L377">
        <v>1</v>
      </c>
      <c r="R377">
        <f t="shared" si="38"/>
        <v>28</v>
      </c>
      <c r="S377" t="str">
        <f t="shared" si="39"/>
        <v>C</v>
      </c>
      <c r="U377">
        <f t="shared" si="40"/>
        <v>1</v>
      </c>
      <c r="V377">
        <f t="shared" si="43"/>
        <v>1</v>
      </c>
      <c r="W377">
        <f t="shared" si="43"/>
        <v>0</v>
      </c>
      <c r="X377">
        <f t="shared" si="43"/>
        <v>0</v>
      </c>
      <c r="Y377">
        <f t="shared" si="41"/>
        <v>0</v>
      </c>
      <c r="Z377">
        <f t="shared" si="41"/>
        <v>0</v>
      </c>
      <c r="AA377">
        <f t="shared" si="41"/>
        <v>1</v>
      </c>
    </row>
    <row r="378" spans="1:27" x14ac:dyDescent="0.4">
      <c r="A378">
        <v>377</v>
      </c>
      <c r="B378">
        <v>3</v>
      </c>
      <c r="C378" t="s">
        <v>788</v>
      </c>
      <c r="D378" t="s">
        <v>18</v>
      </c>
      <c r="E378">
        <v>22</v>
      </c>
      <c r="F378">
        <v>0</v>
      </c>
      <c r="G378">
        <v>0</v>
      </c>
      <c r="H378" t="s">
        <v>789</v>
      </c>
      <c r="I378">
        <v>7.25</v>
      </c>
      <c r="J378" t="s">
        <v>15</v>
      </c>
      <c r="K378" t="s">
        <v>16</v>
      </c>
      <c r="L378">
        <v>1</v>
      </c>
      <c r="R378">
        <f t="shared" si="38"/>
        <v>22</v>
      </c>
      <c r="S378" t="str">
        <f t="shared" si="39"/>
        <v>S</v>
      </c>
      <c r="U378">
        <f t="shared" si="40"/>
        <v>1</v>
      </c>
      <c r="V378">
        <f t="shared" si="43"/>
        <v>0</v>
      </c>
      <c r="W378">
        <f t="shared" si="43"/>
        <v>0</v>
      </c>
      <c r="X378">
        <f t="shared" si="43"/>
        <v>1</v>
      </c>
      <c r="Y378">
        <f t="shared" si="41"/>
        <v>1</v>
      </c>
      <c r="Z378">
        <f t="shared" si="41"/>
        <v>0</v>
      </c>
      <c r="AA378">
        <f t="shared" si="41"/>
        <v>0</v>
      </c>
    </row>
    <row r="379" spans="1:27" x14ac:dyDescent="0.4">
      <c r="A379">
        <v>378</v>
      </c>
      <c r="B379">
        <v>1</v>
      </c>
      <c r="C379" t="s">
        <v>790</v>
      </c>
      <c r="D379" t="s">
        <v>13</v>
      </c>
      <c r="E379">
        <v>27</v>
      </c>
      <c r="F379">
        <v>0</v>
      </c>
      <c r="G379">
        <v>2</v>
      </c>
      <c r="H379" t="s">
        <v>791</v>
      </c>
      <c r="I379">
        <v>211.5</v>
      </c>
      <c r="J379" t="s">
        <v>792</v>
      </c>
      <c r="K379" t="s">
        <v>21</v>
      </c>
      <c r="L379">
        <v>0</v>
      </c>
      <c r="R379">
        <f t="shared" si="38"/>
        <v>27</v>
      </c>
      <c r="S379" t="str">
        <f t="shared" si="39"/>
        <v>C</v>
      </c>
      <c r="U379">
        <f t="shared" si="40"/>
        <v>0</v>
      </c>
      <c r="V379">
        <f t="shared" si="43"/>
        <v>1</v>
      </c>
      <c r="W379">
        <f t="shared" si="43"/>
        <v>0</v>
      </c>
      <c r="X379">
        <f t="shared" si="43"/>
        <v>0</v>
      </c>
      <c r="Y379">
        <f t="shared" si="41"/>
        <v>0</v>
      </c>
      <c r="Z379">
        <f t="shared" si="41"/>
        <v>0</v>
      </c>
      <c r="AA379">
        <f t="shared" si="41"/>
        <v>1</v>
      </c>
    </row>
    <row r="380" spans="1:27" x14ac:dyDescent="0.4">
      <c r="A380">
        <v>379</v>
      </c>
      <c r="B380">
        <v>3</v>
      </c>
      <c r="C380" t="s">
        <v>793</v>
      </c>
      <c r="D380" t="s">
        <v>13</v>
      </c>
      <c r="E380">
        <v>20</v>
      </c>
      <c r="F380">
        <v>0</v>
      </c>
      <c r="G380">
        <v>0</v>
      </c>
      <c r="H380" t="s">
        <v>794</v>
      </c>
      <c r="I380">
        <v>4.0125000000000002</v>
      </c>
      <c r="J380" t="s">
        <v>15</v>
      </c>
      <c r="K380" t="s">
        <v>21</v>
      </c>
      <c r="L380">
        <v>0</v>
      </c>
      <c r="R380">
        <f t="shared" si="38"/>
        <v>20</v>
      </c>
      <c r="S380" t="str">
        <f t="shared" si="39"/>
        <v>C</v>
      </c>
      <c r="U380">
        <f t="shared" si="40"/>
        <v>0</v>
      </c>
      <c r="V380">
        <f t="shared" si="43"/>
        <v>0</v>
      </c>
      <c r="W380">
        <f t="shared" si="43"/>
        <v>0</v>
      </c>
      <c r="X380">
        <f t="shared" si="43"/>
        <v>1</v>
      </c>
      <c r="Y380">
        <f t="shared" si="41"/>
        <v>0</v>
      </c>
      <c r="Z380">
        <f t="shared" si="41"/>
        <v>0</v>
      </c>
      <c r="AA380">
        <f t="shared" si="41"/>
        <v>1</v>
      </c>
    </row>
    <row r="381" spans="1:27" x14ac:dyDescent="0.4">
      <c r="A381">
        <v>380</v>
      </c>
      <c r="B381">
        <v>3</v>
      </c>
      <c r="C381" t="s">
        <v>795</v>
      </c>
      <c r="D381" t="s">
        <v>13</v>
      </c>
      <c r="E381">
        <v>19</v>
      </c>
      <c r="F381">
        <v>0</v>
      </c>
      <c r="G381">
        <v>0</v>
      </c>
      <c r="H381" t="s">
        <v>796</v>
      </c>
      <c r="I381">
        <v>7.7750000000000004</v>
      </c>
      <c r="J381" t="s">
        <v>15</v>
      </c>
      <c r="K381" t="s">
        <v>16</v>
      </c>
      <c r="L381">
        <v>0</v>
      </c>
      <c r="R381">
        <f t="shared" si="38"/>
        <v>19</v>
      </c>
      <c r="S381" t="str">
        <f t="shared" si="39"/>
        <v>S</v>
      </c>
      <c r="U381">
        <f t="shared" si="40"/>
        <v>0</v>
      </c>
      <c r="V381">
        <f t="shared" si="43"/>
        <v>0</v>
      </c>
      <c r="W381">
        <f t="shared" si="43"/>
        <v>0</v>
      </c>
      <c r="X381">
        <f t="shared" si="43"/>
        <v>1</v>
      </c>
      <c r="Y381">
        <f t="shared" si="41"/>
        <v>1</v>
      </c>
      <c r="Z381">
        <f t="shared" si="41"/>
        <v>0</v>
      </c>
      <c r="AA381">
        <f t="shared" si="41"/>
        <v>0</v>
      </c>
    </row>
    <row r="382" spans="1:27" x14ac:dyDescent="0.4">
      <c r="A382">
        <v>381</v>
      </c>
      <c r="B382">
        <v>1</v>
      </c>
      <c r="C382" t="s">
        <v>797</v>
      </c>
      <c r="D382" t="s">
        <v>18</v>
      </c>
      <c r="E382">
        <v>42</v>
      </c>
      <c r="F382">
        <v>0</v>
      </c>
      <c r="G382">
        <v>0</v>
      </c>
      <c r="H382" t="s">
        <v>798</v>
      </c>
      <c r="I382">
        <v>227.52500000000001</v>
      </c>
      <c r="J382" t="s">
        <v>15</v>
      </c>
      <c r="K382" t="s">
        <v>21</v>
      </c>
      <c r="L382">
        <v>1</v>
      </c>
      <c r="R382">
        <f t="shared" si="38"/>
        <v>42</v>
      </c>
      <c r="S382" t="str">
        <f t="shared" si="39"/>
        <v>C</v>
      </c>
      <c r="U382">
        <f t="shared" si="40"/>
        <v>1</v>
      </c>
      <c r="V382">
        <f t="shared" ref="V382:X401" si="44">IF("Pclass_"&amp;$B382=V$1,1,0)</f>
        <v>1</v>
      </c>
      <c r="W382">
        <f t="shared" si="44"/>
        <v>0</v>
      </c>
      <c r="X382">
        <f t="shared" si="44"/>
        <v>0</v>
      </c>
      <c r="Y382">
        <f t="shared" si="41"/>
        <v>0</v>
      </c>
      <c r="Z382">
        <f t="shared" si="41"/>
        <v>0</v>
      </c>
      <c r="AA382">
        <f t="shared" si="41"/>
        <v>1</v>
      </c>
    </row>
    <row r="383" spans="1:27" x14ac:dyDescent="0.4">
      <c r="A383">
        <v>382</v>
      </c>
      <c r="B383">
        <v>3</v>
      </c>
      <c r="C383" t="s">
        <v>799</v>
      </c>
      <c r="D383" t="s">
        <v>18</v>
      </c>
      <c r="E383">
        <v>1</v>
      </c>
      <c r="F383">
        <v>0</v>
      </c>
      <c r="G383">
        <v>2</v>
      </c>
      <c r="H383" t="s">
        <v>800</v>
      </c>
      <c r="I383">
        <v>15.7417</v>
      </c>
      <c r="J383" t="s">
        <v>15</v>
      </c>
      <c r="K383" t="s">
        <v>21</v>
      </c>
      <c r="L383">
        <v>1</v>
      </c>
      <c r="R383">
        <f t="shared" si="38"/>
        <v>1</v>
      </c>
      <c r="S383" t="str">
        <f t="shared" si="39"/>
        <v>C</v>
      </c>
      <c r="U383">
        <f t="shared" si="40"/>
        <v>1</v>
      </c>
      <c r="V383">
        <f t="shared" si="44"/>
        <v>0</v>
      </c>
      <c r="W383">
        <f t="shared" si="44"/>
        <v>0</v>
      </c>
      <c r="X383">
        <f t="shared" si="44"/>
        <v>1</v>
      </c>
      <c r="Y383">
        <f t="shared" si="41"/>
        <v>0</v>
      </c>
      <c r="Z383">
        <f t="shared" si="41"/>
        <v>0</v>
      </c>
      <c r="AA383">
        <f t="shared" si="41"/>
        <v>1</v>
      </c>
    </row>
    <row r="384" spans="1:27" x14ac:dyDescent="0.4">
      <c r="A384">
        <v>383</v>
      </c>
      <c r="B384">
        <v>3</v>
      </c>
      <c r="C384" t="s">
        <v>801</v>
      </c>
      <c r="D384" t="s">
        <v>13</v>
      </c>
      <c r="E384">
        <v>32</v>
      </c>
      <c r="F384">
        <v>0</v>
      </c>
      <c r="G384">
        <v>0</v>
      </c>
      <c r="H384" t="s">
        <v>802</v>
      </c>
      <c r="I384">
        <v>7.9249999999999998</v>
      </c>
      <c r="J384" t="s">
        <v>15</v>
      </c>
      <c r="K384" t="s">
        <v>16</v>
      </c>
      <c r="L384">
        <v>0</v>
      </c>
      <c r="R384">
        <f t="shared" si="38"/>
        <v>32</v>
      </c>
      <c r="S384" t="str">
        <f t="shared" si="39"/>
        <v>S</v>
      </c>
      <c r="U384">
        <f t="shared" si="40"/>
        <v>0</v>
      </c>
      <c r="V384">
        <f t="shared" si="44"/>
        <v>0</v>
      </c>
      <c r="W384">
        <f t="shared" si="44"/>
        <v>0</v>
      </c>
      <c r="X384">
        <f t="shared" si="44"/>
        <v>1</v>
      </c>
      <c r="Y384">
        <f t="shared" si="41"/>
        <v>1</v>
      </c>
      <c r="Z384">
        <f t="shared" si="41"/>
        <v>0</v>
      </c>
      <c r="AA384">
        <f t="shared" si="41"/>
        <v>0</v>
      </c>
    </row>
    <row r="385" spans="1:27" x14ac:dyDescent="0.4">
      <c r="A385">
        <v>384</v>
      </c>
      <c r="B385">
        <v>1</v>
      </c>
      <c r="C385" t="s">
        <v>803</v>
      </c>
      <c r="D385" t="s">
        <v>18</v>
      </c>
      <c r="E385">
        <v>35</v>
      </c>
      <c r="F385">
        <v>1</v>
      </c>
      <c r="G385">
        <v>0</v>
      </c>
      <c r="H385" t="s">
        <v>97</v>
      </c>
      <c r="I385">
        <v>52</v>
      </c>
      <c r="J385" t="s">
        <v>15</v>
      </c>
      <c r="K385" t="s">
        <v>16</v>
      </c>
      <c r="L385">
        <v>1</v>
      </c>
      <c r="R385">
        <f t="shared" si="38"/>
        <v>35</v>
      </c>
      <c r="S385" t="str">
        <f t="shared" si="39"/>
        <v>S</v>
      </c>
      <c r="U385">
        <f t="shared" si="40"/>
        <v>1</v>
      </c>
      <c r="V385">
        <f t="shared" si="44"/>
        <v>1</v>
      </c>
      <c r="W385">
        <f t="shared" si="44"/>
        <v>0</v>
      </c>
      <c r="X385">
        <f t="shared" si="44"/>
        <v>0</v>
      </c>
      <c r="Y385">
        <f t="shared" si="41"/>
        <v>1</v>
      </c>
      <c r="Z385">
        <f t="shared" si="41"/>
        <v>0</v>
      </c>
      <c r="AA385">
        <f t="shared" si="41"/>
        <v>0</v>
      </c>
    </row>
    <row r="386" spans="1:27" x14ac:dyDescent="0.4">
      <c r="A386">
        <v>385</v>
      </c>
      <c r="B386">
        <v>3</v>
      </c>
      <c r="C386" t="s">
        <v>804</v>
      </c>
      <c r="D386" t="s">
        <v>13</v>
      </c>
      <c r="F386">
        <v>0</v>
      </c>
      <c r="G386">
        <v>0</v>
      </c>
      <c r="H386" t="s">
        <v>805</v>
      </c>
      <c r="I386">
        <v>7.8958000000000004</v>
      </c>
      <c r="J386" t="s">
        <v>15</v>
      </c>
      <c r="K386" t="s">
        <v>16</v>
      </c>
      <c r="L386">
        <v>0</v>
      </c>
      <c r="R386">
        <f t="shared" si="38"/>
        <v>28</v>
      </c>
      <c r="S386" t="str">
        <f t="shared" si="39"/>
        <v>S</v>
      </c>
      <c r="U386">
        <f t="shared" si="40"/>
        <v>0</v>
      </c>
      <c r="V386">
        <f t="shared" si="44"/>
        <v>0</v>
      </c>
      <c r="W386">
        <f t="shared" si="44"/>
        <v>0</v>
      </c>
      <c r="X386">
        <f t="shared" si="44"/>
        <v>1</v>
      </c>
      <c r="Y386">
        <f t="shared" si="41"/>
        <v>1</v>
      </c>
      <c r="Z386">
        <f t="shared" si="41"/>
        <v>0</v>
      </c>
      <c r="AA386">
        <f t="shared" si="41"/>
        <v>0</v>
      </c>
    </row>
    <row r="387" spans="1:27" x14ac:dyDescent="0.4">
      <c r="A387">
        <v>386</v>
      </c>
      <c r="B387">
        <v>2</v>
      </c>
      <c r="C387" t="s">
        <v>806</v>
      </c>
      <c r="D387" t="s">
        <v>13</v>
      </c>
      <c r="E387">
        <v>18</v>
      </c>
      <c r="F387">
        <v>0</v>
      </c>
      <c r="G387">
        <v>0</v>
      </c>
      <c r="H387" t="s">
        <v>176</v>
      </c>
      <c r="I387">
        <v>73.5</v>
      </c>
      <c r="J387" t="s">
        <v>15</v>
      </c>
      <c r="K387" t="s">
        <v>16</v>
      </c>
      <c r="L387">
        <v>0</v>
      </c>
      <c r="R387">
        <f t="shared" ref="R387:R450" si="45">IF(E387&lt;&gt;"",E387,$O$18)</f>
        <v>18</v>
      </c>
      <c r="S387" t="str">
        <f t="shared" ref="S387:S450" si="46">IF(K387&lt;&gt;"",K387,$N$9)</f>
        <v>S</v>
      </c>
      <c r="U387">
        <f t="shared" ref="U387:U450" si="47">IF(D387="male",0,1)</f>
        <v>0</v>
      </c>
      <c r="V387">
        <f t="shared" si="44"/>
        <v>0</v>
      </c>
      <c r="W387">
        <f t="shared" si="44"/>
        <v>1</v>
      </c>
      <c r="X387">
        <f t="shared" si="44"/>
        <v>0</v>
      </c>
      <c r="Y387">
        <f t="shared" ref="Y387:AA450" si="48">IF($S387=RIGHT(Y$1,1),1,0)</f>
        <v>1</v>
      </c>
      <c r="Z387">
        <f t="shared" si="48"/>
        <v>0</v>
      </c>
      <c r="AA387">
        <f t="shared" si="48"/>
        <v>0</v>
      </c>
    </row>
    <row r="388" spans="1:27" x14ac:dyDescent="0.4">
      <c r="A388">
        <v>387</v>
      </c>
      <c r="B388">
        <v>3</v>
      </c>
      <c r="C388" t="s">
        <v>807</v>
      </c>
      <c r="D388" t="s">
        <v>13</v>
      </c>
      <c r="E388">
        <v>1</v>
      </c>
      <c r="F388">
        <v>5</v>
      </c>
      <c r="G388">
        <v>2</v>
      </c>
      <c r="H388" t="s">
        <v>148</v>
      </c>
      <c r="I388">
        <v>46.9</v>
      </c>
      <c r="J388" t="s">
        <v>15</v>
      </c>
      <c r="K388" t="s">
        <v>16</v>
      </c>
      <c r="L388">
        <v>0</v>
      </c>
      <c r="R388">
        <f t="shared" si="45"/>
        <v>1</v>
      </c>
      <c r="S388" t="str">
        <f t="shared" si="46"/>
        <v>S</v>
      </c>
      <c r="U388">
        <f t="shared" si="47"/>
        <v>0</v>
      </c>
      <c r="V388">
        <f t="shared" si="44"/>
        <v>0</v>
      </c>
      <c r="W388">
        <f t="shared" si="44"/>
        <v>0</v>
      </c>
      <c r="X388">
        <f t="shared" si="44"/>
        <v>1</v>
      </c>
      <c r="Y388">
        <f t="shared" si="48"/>
        <v>1</v>
      </c>
      <c r="Z388">
        <f t="shared" si="48"/>
        <v>0</v>
      </c>
      <c r="AA388">
        <f t="shared" si="48"/>
        <v>0</v>
      </c>
    </row>
    <row r="389" spans="1:27" x14ac:dyDescent="0.4">
      <c r="A389">
        <v>388</v>
      </c>
      <c r="B389">
        <v>2</v>
      </c>
      <c r="C389" t="s">
        <v>808</v>
      </c>
      <c r="D389" t="s">
        <v>18</v>
      </c>
      <c r="E389">
        <v>36</v>
      </c>
      <c r="F389">
        <v>0</v>
      </c>
      <c r="G389">
        <v>0</v>
      </c>
      <c r="H389" t="s">
        <v>809</v>
      </c>
      <c r="I389">
        <v>13</v>
      </c>
      <c r="J389" t="s">
        <v>15</v>
      </c>
      <c r="K389" t="s">
        <v>16</v>
      </c>
      <c r="L389">
        <v>1</v>
      </c>
      <c r="R389">
        <f t="shared" si="45"/>
        <v>36</v>
      </c>
      <c r="S389" t="str">
        <f t="shared" si="46"/>
        <v>S</v>
      </c>
      <c r="U389">
        <f t="shared" si="47"/>
        <v>1</v>
      </c>
      <c r="V389">
        <f t="shared" si="44"/>
        <v>0</v>
      </c>
      <c r="W389">
        <f t="shared" si="44"/>
        <v>1</v>
      </c>
      <c r="X389">
        <f t="shared" si="44"/>
        <v>0</v>
      </c>
      <c r="Y389">
        <f t="shared" si="48"/>
        <v>1</v>
      </c>
      <c r="Z389">
        <f t="shared" si="48"/>
        <v>0</v>
      </c>
      <c r="AA389">
        <f t="shared" si="48"/>
        <v>0</v>
      </c>
    </row>
    <row r="390" spans="1:27" x14ac:dyDescent="0.4">
      <c r="A390">
        <v>389</v>
      </c>
      <c r="B390">
        <v>3</v>
      </c>
      <c r="C390" t="s">
        <v>810</v>
      </c>
      <c r="D390" t="s">
        <v>13</v>
      </c>
      <c r="F390">
        <v>0</v>
      </c>
      <c r="G390">
        <v>0</v>
      </c>
      <c r="H390" t="s">
        <v>811</v>
      </c>
      <c r="I390">
        <v>7.7291999999999996</v>
      </c>
      <c r="J390" t="s">
        <v>15</v>
      </c>
      <c r="K390" t="s">
        <v>31</v>
      </c>
      <c r="L390">
        <v>0</v>
      </c>
      <c r="R390">
        <f t="shared" si="45"/>
        <v>28</v>
      </c>
      <c r="S390" t="str">
        <f t="shared" si="46"/>
        <v>Q</v>
      </c>
      <c r="U390">
        <f t="shared" si="47"/>
        <v>0</v>
      </c>
      <c r="V390">
        <f t="shared" si="44"/>
        <v>0</v>
      </c>
      <c r="W390">
        <f t="shared" si="44"/>
        <v>0</v>
      </c>
      <c r="X390">
        <f t="shared" si="44"/>
        <v>1</v>
      </c>
      <c r="Y390">
        <f t="shared" si="48"/>
        <v>0</v>
      </c>
      <c r="Z390">
        <f t="shared" si="48"/>
        <v>1</v>
      </c>
      <c r="AA390">
        <f t="shared" si="48"/>
        <v>0</v>
      </c>
    </row>
    <row r="391" spans="1:27" x14ac:dyDescent="0.4">
      <c r="A391">
        <v>390</v>
      </c>
      <c r="B391">
        <v>2</v>
      </c>
      <c r="C391" t="s">
        <v>812</v>
      </c>
      <c r="D391" t="s">
        <v>18</v>
      </c>
      <c r="E391">
        <v>17</v>
      </c>
      <c r="F391">
        <v>0</v>
      </c>
      <c r="G391">
        <v>0</v>
      </c>
      <c r="H391" t="s">
        <v>813</v>
      </c>
      <c r="I391">
        <v>12</v>
      </c>
      <c r="J391" t="s">
        <v>15</v>
      </c>
      <c r="K391" t="s">
        <v>21</v>
      </c>
      <c r="L391">
        <v>1</v>
      </c>
      <c r="R391">
        <f t="shared" si="45"/>
        <v>17</v>
      </c>
      <c r="S391" t="str">
        <f t="shared" si="46"/>
        <v>C</v>
      </c>
      <c r="U391">
        <f t="shared" si="47"/>
        <v>1</v>
      </c>
      <c r="V391">
        <f t="shared" si="44"/>
        <v>0</v>
      </c>
      <c r="W391">
        <f t="shared" si="44"/>
        <v>1</v>
      </c>
      <c r="X391">
        <f t="shared" si="44"/>
        <v>0</v>
      </c>
      <c r="Y391">
        <f t="shared" si="48"/>
        <v>0</v>
      </c>
      <c r="Z391">
        <f t="shared" si="48"/>
        <v>0</v>
      </c>
      <c r="AA391">
        <f t="shared" si="48"/>
        <v>1</v>
      </c>
    </row>
    <row r="392" spans="1:27" x14ac:dyDescent="0.4">
      <c r="A392">
        <v>391</v>
      </c>
      <c r="B392">
        <v>1</v>
      </c>
      <c r="C392" t="s">
        <v>814</v>
      </c>
      <c r="D392" t="s">
        <v>13</v>
      </c>
      <c r="E392">
        <v>36</v>
      </c>
      <c r="F392">
        <v>1</v>
      </c>
      <c r="G392">
        <v>2</v>
      </c>
      <c r="H392" t="s">
        <v>815</v>
      </c>
      <c r="I392">
        <v>120</v>
      </c>
      <c r="J392" t="s">
        <v>816</v>
      </c>
      <c r="K392" t="s">
        <v>16</v>
      </c>
      <c r="L392">
        <v>1</v>
      </c>
      <c r="R392">
        <f t="shared" si="45"/>
        <v>36</v>
      </c>
      <c r="S392" t="str">
        <f t="shared" si="46"/>
        <v>S</v>
      </c>
      <c r="U392">
        <f t="shared" si="47"/>
        <v>0</v>
      </c>
      <c r="V392">
        <f t="shared" si="44"/>
        <v>1</v>
      </c>
      <c r="W392">
        <f t="shared" si="44"/>
        <v>0</v>
      </c>
      <c r="X392">
        <f t="shared" si="44"/>
        <v>0</v>
      </c>
      <c r="Y392">
        <f t="shared" si="48"/>
        <v>1</v>
      </c>
      <c r="Z392">
        <f t="shared" si="48"/>
        <v>0</v>
      </c>
      <c r="AA392">
        <f t="shared" si="48"/>
        <v>0</v>
      </c>
    </row>
    <row r="393" spans="1:27" x14ac:dyDescent="0.4">
      <c r="A393">
        <v>392</v>
      </c>
      <c r="B393">
        <v>3</v>
      </c>
      <c r="C393" t="s">
        <v>817</v>
      </c>
      <c r="D393" t="s">
        <v>13</v>
      </c>
      <c r="E393">
        <v>21</v>
      </c>
      <c r="F393">
        <v>0</v>
      </c>
      <c r="G393">
        <v>0</v>
      </c>
      <c r="H393" t="s">
        <v>818</v>
      </c>
      <c r="I393">
        <v>7.7957999999999998</v>
      </c>
      <c r="J393" t="s">
        <v>15</v>
      </c>
      <c r="K393" t="s">
        <v>16</v>
      </c>
      <c r="L393">
        <v>1</v>
      </c>
      <c r="R393">
        <f t="shared" si="45"/>
        <v>21</v>
      </c>
      <c r="S393" t="str">
        <f t="shared" si="46"/>
        <v>S</v>
      </c>
      <c r="U393">
        <f t="shared" si="47"/>
        <v>0</v>
      </c>
      <c r="V393">
        <f t="shared" si="44"/>
        <v>0</v>
      </c>
      <c r="W393">
        <f t="shared" si="44"/>
        <v>0</v>
      </c>
      <c r="X393">
        <f t="shared" si="44"/>
        <v>1</v>
      </c>
      <c r="Y393">
        <f t="shared" si="48"/>
        <v>1</v>
      </c>
      <c r="Z393">
        <f t="shared" si="48"/>
        <v>0</v>
      </c>
      <c r="AA393">
        <f t="shared" si="48"/>
        <v>0</v>
      </c>
    </row>
    <row r="394" spans="1:27" x14ac:dyDescent="0.4">
      <c r="A394">
        <v>393</v>
      </c>
      <c r="B394">
        <v>3</v>
      </c>
      <c r="C394" t="s">
        <v>819</v>
      </c>
      <c r="D394" t="s">
        <v>13</v>
      </c>
      <c r="E394">
        <v>28</v>
      </c>
      <c r="F394">
        <v>2</v>
      </c>
      <c r="G394">
        <v>0</v>
      </c>
      <c r="H394" t="s">
        <v>820</v>
      </c>
      <c r="I394">
        <v>7.9249999999999998</v>
      </c>
      <c r="J394" t="s">
        <v>15</v>
      </c>
      <c r="K394" t="s">
        <v>16</v>
      </c>
      <c r="L394">
        <v>0</v>
      </c>
      <c r="R394">
        <f t="shared" si="45"/>
        <v>28</v>
      </c>
      <c r="S394" t="str">
        <f t="shared" si="46"/>
        <v>S</v>
      </c>
      <c r="U394">
        <f t="shared" si="47"/>
        <v>0</v>
      </c>
      <c r="V394">
        <f t="shared" si="44"/>
        <v>0</v>
      </c>
      <c r="W394">
        <f t="shared" si="44"/>
        <v>0</v>
      </c>
      <c r="X394">
        <f t="shared" si="44"/>
        <v>1</v>
      </c>
      <c r="Y394">
        <f t="shared" si="48"/>
        <v>1</v>
      </c>
      <c r="Z394">
        <f t="shared" si="48"/>
        <v>0</v>
      </c>
      <c r="AA394">
        <f t="shared" si="48"/>
        <v>0</v>
      </c>
    </row>
    <row r="395" spans="1:27" x14ac:dyDescent="0.4">
      <c r="A395">
        <v>394</v>
      </c>
      <c r="B395">
        <v>1</v>
      </c>
      <c r="C395" t="s">
        <v>821</v>
      </c>
      <c r="D395" t="s">
        <v>18</v>
      </c>
      <c r="E395">
        <v>23</v>
      </c>
      <c r="F395">
        <v>1</v>
      </c>
      <c r="G395">
        <v>0</v>
      </c>
      <c r="H395" t="s">
        <v>464</v>
      </c>
      <c r="I395">
        <v>113.27500000000001</v>
      </c>
      <c r="J395" t="s">
        <v>465</v>
      </c>
      <c r="K395" t="s">
        <v>21</v>
      </c>
      <c r="L395">
        <v>1</v>
      </c>
      <c r="R395">
        <f t="shared" si="45"/>
        <v>23</v>
      </c>
      <c r="S395" t="str">
        <f t="shared" si="46"/>
        <v>C</v>
      </c>
      <c r="U395">
        <f t="shared" si="47"/>
        <v>1</v>
      </c>
      <c r="V395">
        <f t="shared" si="44"/>
        <v>1</v>
      </c>
      <c r="W395">
        <f t="shared" si="44"/>
        <v>0</v>
      </c>
      <c r="X395">
        <f t="shared" si="44"/>
        <v>0</v>
      </c>
      <c r="Y395">
        <f t="shared" si="48"/>
        <v>0</v>
      </c>
      <c r="Z395">
        <f t="shared" si="48"/>
        <v>0</v>
      </c>
      <c r="AA395">
        <f t="shared" si="48"/>
        <v>1</v>
      </c>
    </row>
    <row r="396" spans="1:27" x14ac:dyDescent="0.4">
      <c r="A396">
        <v>395</v>
      </c>
      <c r="B396">
        <v>3</v>
      </c>
      <c r="C396" t="s">
        <v>822</v>
      </c>
      <c r="D396" t="s">
        <v>18</v>
      </c>
      <c r="E396">
        <v>24</v>
      </c>
      <c r="F396">
        <v>0</v>
      </c>
      <c r="G396">
        <v>2</v>
      </c>
      <c r="H396" t="s">
        <v>42</v>
      </c>
      <c r="I396">
        <v>16.7</v>
      </c>
      <c r="J396" t="s">
        <v>43</v>
      </c>
      <c r="K396" t="s">
        <v>16</v>
      </c>
      <c r="L396">
        <v>1</v>
      </c>
      <c r="R396">
        <f t="shared" si="45"/>
        <v>24</v>
      </c>
      <c r="S396" t="str">
        <f t="shared" si="46"/>
        <v>S</v>
      </c>
      <c r="U396">
        <f t="shared" si="47"/>
        <v>1</v>
      </c>
      <c r="V396">
        <f t="shared" si="44"/>
        <v>0</v>
      </c>
      <c r="W396">
        <f t="shared" si="44"/>
        <v>0</v>
      </c>
      <c r="X396">
        <f t="shared" si="44"/>
        <v>1</v>
      </c>
      <c r="Y396">
        <f t="shared" si="48"/>
        <v>1</v>
      </c>
      <c r="Z396">
        <f t="shared" si="48"/>
        <v>0</v>
      </c>
      <c r="AA396">
        <f t="shared" si="48"/>
        <v>0</v>
      </c>
    </row>
    <row r="397" spans="1:27" x14ac:dyDescent="0.4">
      <c r="A397">
        <v>396</v>
      </c>
      <c r="B397">
        <v>3</v>
      </c>
      <c r="C397" t="s">
        <v>823</v>
      </c>
      <c r="D397" t="s">
        <v>13</v>
      </c>
      <c r="E397">
        <v>22</v>
      </c>
      <c r="F397">
        <v>0</v>
      </c>
      <c r="G397">
        <v>0</v>
      </c>
      <c r="H397" t="s">
        <v>824</v>
      </c>
      <c r="I397">
        <v>7.7957999999999998</v>
      </c>
      <c r="J397" t="s">
        <v>15</v>
      </c>
      <c r="K397" t="s">
        <v>16</v>
      </c>
      <c r="L397">
        <v>0</v>
      </c>
      <c r="R397">
        <f t="shared" si="45"/>
        <v>22</v>
      </c>
      <c r="S397" t="str">
        <f t="shared" si="46"/>
        <v>S</v>
      </c>
      <c r="U397">
        <f t="shared" si="47"/>
        <v>0</v>
      </c>
      <c r="V397">
        <f t="shared" si="44"/>
        <v>0</v>
      </c>
      <c r="W397">
        <f t="shared" si="44"/>
        <v>0</v>
      </c>
      <c r="X397">
        <f t="shared" si="44"/>
        <v>1</v>
      </c>
      <c r="Y397">
        <f t="shared" si="48"/>
        <v>1</v>
      </c>
      <c r="Z397">
        <f t="shared" si="48"/>
        <v>0</v>
      </c>
      <c r="AA397">
        <f t="shared" si="48"/>
        <v>0</v>
      </c>
    </row>
    <row r="398" spans="1:27" x14ac:dyDescent="0.4">
      <c r="A398">
        <v>397</v>
      </c>
      <c r="B398">
        <v>3</v>
      </c>
      <c r="C398" t="s">
        <v>825</v>
      </c>
      <c r="D398" t="s">
        <v>18</v>
      </c>
      <c r="E398">
        <v>31</v>
      </c>
      <c r="F398">
        <v>0</v>
      </c>
      <c r="G398">
        <v>0</v>
      </c>
      <c r="H398" t="s">
        <v>826</v>
      </c>
      <c r="I398">
        <v>7.8541999999999996</v>
      </c>
      <c r="J398" t="s">
        <v>15</v>
      </c>
      <c r="K398" t="s">
        <v>16</v>
      </c>
      <c r="L398">
        <v>0</v>
      </c>
      <c r="R398">
        <f t="shared" si="45"/>
        <v>31</v>
      </c>
      <c r="S398" t="str">
        <f t="shared" si="46"/>
        <v>S</v>
      </c>
      <c r="U398">
        <f t="shared" si="47"/>
        <v>1</v>
      </c>
      <c r="V398">
        <f t="shared" si="44"/>
        <v>0</v>
      </c>
      <c r="W398">
        <f t="shared" si="44"/>
        <v>0</v>
      </c>
      <c r="X398">
        <f t="shared" si="44"/>
        <v>1</v>
      </c>
      <c r="Y398">
        <f t="shared" si="48"/>
        <v>1</v>
      </c>
      <c r="Z398">
        <f t="shared" si="48"/>
        <v>0</v>
      </c>
      <c r="AA398">
        <f t="shared" si="48"/>
        <v>0</v>
      </c>
    </row>
    <row r="399" spans="1:27" x14ac:dyDescent="0.4">
      <c r="A399">
        <v>398</v>
      </c>
      <c r="B399">
        <v>2</v>
      </c>
      <c r="C399" t="s">
        <v>827</v>
      </c>
      <c r="D399" t="s">
        <v>13</v>
      </c>
      <c r="E399">
        <v>46</v>
      </c>
      <c r="F399">
        <v>0</v>
      </c>
      <c r="G399">
        <v>0</v>
      </c>
      <c r="H399" t="s">
        <v>828</v>
      </c>
      <c r="I399">
        <v>26</v>
      </c>
      <c r="J399" t="s">
        <v>15</v>
      </c>
      <c r="K399" t="s">
        <v>16</v>
      </c>
      <c r="L399">
        <v>0</v>
      </c>
      <c r="R399">
        <f t="shared" si="45"/>
        <v>46</v>
      </c>
      <c r="S399" t="str">
        <f t="shared" si="46"/>
        <v>S</v>
      </c>
      <c r="U399">
        <f t="shared" si="47"/>
        <v>0</v>
      </c>
      <c r="V399">
        <f t="shared" si="44"/>
        <v>0</v>
      </c>
      <c r="W399">
        <f t="shared" si="44"/>
        <v>1</v>
      </c>
      <c r="X399">
        <f t="shared" si="44"/>
        <v>0</v>
      </c>
      <c r="Y399">
        <f t="shared" si="48"/>
        <v>1</v>
      </c>
      <c r="Z399">
        <f t="shared" si="48"/>
        <v>0</v>
      </c>
      <c r="AA399">
        <f t="shared" si="48"/>
        <v>0</v>
      </c>
    </row>
    <row r="400" spans="1:27" x14ac:dyDescent="0.4">
      <c r="A400">
        <v>399</v>
      </c>
      <c r="B400">
        <v>2</v>
      </c>
      <c r="C400" t="s">
        <v>829</v>
      </c>
      <c r="D400" t="s">
        <v>13</v>
      </c>
      <c r="E400">
        <v>23</v>
      </c>
      <c r="F400">
        <v>0</v>
      </c>
      <c r="G400">
        <v>0</v>
      </c>
      <c r="H400" t="s">
        <v>830</v>
      </c>
      <c r="I400">
        <v>10.5</v>
      </c>
      <c r="J400" t="s">
        <v>15</v>
      </c>
      <c r="K400" t="s">
        <v>16</v>
      </c>
      <c r="L400">
        <v>0</v>
      </c>
      <c r="R400">
        <f t="shared" si="45"/>
        <v>23</v>
      </c>
      <c r="S400" t="str">
        <f t="shared" si="46"/>
        <v>S</v>
      </c>
      <c r="U400">
        <f t="shared" si="47"/>
        <v>0</v>
      </c>
      <c r="V400">
        <f t="shared" si="44"/>
        <v>0</v>
      </c>
      <c r="W400">
        <f t="shared" si="44"/>
        <v>1</v>
      </c>
      <c r="X400">
        <f t="shared" si="44"/>
        <v>0</v>
      </c>
      <c r="Y400">
        <f t="shared" si="48"/>
        <v>1</v>
      </c>
      <c r="Z400">
        <f t="shared" si="48"/>
        <v>0</v>
      </c>
      <c r="AA400">
        <f t="shared" si="48"/>
        <v>0</v>
      </c>
    </row>
    <row r="401" spans="1:27" x14ac:dyDescent="0.4">
      <c r="A401">
        <v>400</v>
      </c>
      <c r="B401">
        <v>2</v>
      </c>
      <c r="C401" t="s">
        <v>831</v>
      </c>
      <c r="D401" t="s">
        <v>18</v>
      </c>
      <c r="E401">
        <v>28</v>
      </c>
      <c r="F401">
        <v>0</v>
      </c>
      <c r="G401">
        <v>0</v>
      </c>
      <c r="H401" t="s">
        <v>832</v>
      </c>
      <c r="I401">
        <v>12.65</v>
      </c>
      <c r="J401" t="s">
        <v>15</v>
      </c>
      <c r="K401" t="s">
        <v>16</v>
      </c>
      <c r="L401">
        <v>1</v>
      </c>
      <c r="R401">
        <f t="shared" si="45"/>
        <v>28</v>
      </c>
      <c r="S401" t="str">
        <f t="shared" si="46"/>
        <v>S</v>
      </c>
      <c r="U401">
        <f t="shared" si="47"/>
        <v>1</v>
      </c>
      <c r="V401">
        <f t="shared" si="44"/>
        <v>0</v>
      </c>
      <c r="W401">
        <f t="shared" si="44"/>
        <v>1</v>
      </c>
      <c r="X401">
        <f t="shared" si="44"/>
        <v>0</v>
      </c>
      <c r="Y401">
        <f t="shared" si="48"/>
        <v>1</v>
      </c>
      <c r="Z401">
        <f t="shared" si="48"/>
        <v>0</v>
      </c>
      <c r="AA401">
        <f t="shared" si="48"/>
        <v>0</v>
      </c>
    </row>
    <row r="402" spans="1:27" x14ac:dyDescent="0.4">
      <c r="A402">
        <v>401</v>
      </c>
      <c r="B402">
        <v>3</v>
      </c>
      <c r="C402" t="s">
        <v>833</v>
      </c>
      <c r="D402" t="s">
        <v>13</v>
      </c>
      <c r="E402">
        <v>39</v>
      </c>
      <c r="F402">
        <v>0</v>
      </c>
      <c r="G402">
        <v>0</v>
      </c>
      <c r="H402" t="s">
        <v>834</v>
      </c>
      <c r="I402">
        <v>7.9249999999999998</v>
      </c>
      <c r="J402" t="s">
        <v>15</v>
      </c>
      <c r="K402" t="s">
        <v>16</v>
      </c>
      <c r="L402">
        <v>1</v>
      </c>
      <c r="R402">
        <f t="shared" si="45"/>
        <v>39</v>
      </c>
      <c r="S402" t="str">
        <f t="shared" si="46"/>
        <v>S</v>
      </c>
      <c r="U402">
        <f t="shared" si="47"/>
        <v>0</v>
      </c>
      <c r="V402">
        <f t="shared" ref="V402:X421" si="49">IF("Pclass_"&amp;$B402=V$1,1,0)</f>
        <v>0</v>
      </c>
      <c r="W402">
        <f t="shared" si="49"/>
        <v>0</v>
      </c>
      <c r="X402">
        <f t="shared" si="49"/>
        <v>1</v>
      </c>
      <c r="Y402">
        <f t="shared" si="48"/>
        <v>1</v>
      </c>
      <c r="Z402">
        <f t="shared" si="48"/>
        <v>0</v>
      </c>
      <c r="AA402">
        <f t="shared" si="48"/>
        <v>0</v>
      </c>
    </row>
    <row r="403" spans="1:27" x14ac:dyDescent="0.4">
      <c r="A403">
        <v>402</v>
      </c>
      <c r="B403">
        <v>3</v>
      </c>
      <c r="C403" t="s">
        <v>835</v>
      </c>
      <c r="D403" t="s">
        <v>13</v>
      </c>
      <c r="E403">
        <v>26</v>
      </c>
      <c r="F403">
        <v>0</v>
      </c>
      <c r="G403">
        <v>0</v>
      </c>
      <c r="H403" t="s">
        <v>836</v>
      </c>
      <c r="I403">
        <v>8.0500000000000007</v>
      </c>
      <c r="J403" t="s">
        <v>15</v>
      </c>
      <c r="K403" t="s">
        <v>16</v>
      </c>
      <c r="L403">
        <v>0</v>
      </c>
      <c r="R403">
        <f t="shared" si="45"/>
        <v>26</v>
      </c>
      <c r="S403" t="str">
        <f t="shared" si="46"/>
        <v>S</v>
      </c>
      <c r="U403">
        <f t="shared" si="47"/>
        <v>0</v>
      </c>
      <c r="V403">
        <f t="shared" si="49"/>
        <v>0</v>
      </c>
      <c r="W403">
        <f t="shared" si="49"/>
        <v>0</v>
      </c>
      <c r="X403">
        <f t="shared" si="49"/>
        <v>1</v>
      </c>
      <c r="Y403">
        <f t="shared" si="48"/>
        <v>1</v>
      </c>
      <c r="Z403">
        <f t="shared" si="48"/>
        <v>0</v>
      </c>
      <c r="AA403">
        <f t="shared" si="48"/>
        <v>0</v>
      </c>
    </row>
    <row r="404" spans="1:27" x14ac:dyDescent="0.4">
      <c r="A404">
        <v>403</v>
      </c>
      <c r="B404">
        <v>3</v>
      </c>
      <c r="C404" t="s">
        <v>837</v>
      </c>
      <c r="D404" t="s">
        <v>18</v>
      </c>
      <c r="E404">
        <v>21</v>
      </c>
      <c r="F404">
        <v>1</v>
      </c>
      <c r="G404">
        <v>0</v>
      </c>
      <c r="H404" t="s">
        <v>838</v>
      </c>
      <c r="I404">
        <v>9.8249999999999993</v>
      </c>
      <c r="J404" t="s">
        <v>15</v>
      </c>
      <c r="K404" t="s">
        <v>16</v>
      </c>
      <c r="L404">
        <v>0</v>
      </c>
      <c r="R404">
        <f t="shared" si="45"/>
        <v>21</v>
      </c>
      <c r="S404" t="str">
        <f t="shared" si="46"/>
        <v>S</v>
      </c>
      <c r="U404">
        <f t="shared" si="47"/>
        <v>1</v>
      </c>
      <c r="V404">
        <f t="shared" si="49"/>
        <v>0</v>
      </c>
      <c r="W404">
        <f t="shared" si="49"/>
        <v>0</v>
      </c>
      <c r="X404">
        <f t="shared" si="49"/>
        <v>1</v>
      </c>
      <c r="Y404">
        <f t="shared" si="48"/>
        <v>1</v>
      </c>
      <c r="Z404">
        <f t="shared" si="48"/>
        <v>0</v>
      </c>
      <c r="AA404">
        <f t="shared" si="48"/>
        <v>0</v>
      </c>
    </row>
    <row r="405" spans="1:27" x14ac:dyDescent="0.4">
      <c r="A405">
        <v>404</v>
      </c>
      <c r="B405">
        <v>3</v>
      </c>
      <c r="C405" t="s">
        <v>839</v>
      </c>
      <c r="D405" t="s">
        <v>13</v>
      </c>
      <c r="E405">
        <v>28</v>
      </c>
      <c r="F405">
        <v>1</v>
      </c>
      <c r="G405">
        <v>0</v>
      </c>
      <c r="H405" t="s">
        <v>319</v>
      </c>
      <c r="I405">
        <v>15.85</v>
      </c>
      <c r="J405" t="s">
        <v>15</v>
      </c>
      <c r="K405" t="s">
        <v>16</v>
      </c>
      <c r="L405">
        <v>0</v>
      </c>
      <c r="R405">
        <f t="shared" si="45"/>
        <v>28</v>
      </c>
      <c r="S405" t="str">
        <f t="shared" si="46"/>
        <v>S</v>
      </c>
      <c r="U405">
        <f t="shared" si="47"/>
        <v>0</v>
      </c>
      <c r="V405">
        <f t="shared" si="49"/>
        <v>0</v>
      </c>
      <c r="W405">
        <f t="shared" si="49"/>
        <v>0</v>
      </c>
      <c r="X405">
        <f t="shared" si="49"/>
        <v>1</v>
      </c>
      <c r="Y405">
        <f t="shared" si="48"/>
        <v>1</v>
      </c>
      <c r="Z405">
        <f t="shared" si="48"/>
        <v>0</v>
      </c>
      <c r="AA405">
        <f t="shared" si="48"/>
        <v>0</v>
      </c>
    </row>
    <row r="406" spans="1:27" x14ac:dyDescent="0.4">
      <c r="A406">
        <v>405</v>
      </c>
      <c r="B406">
        <v>3</v>
      </c>
      <c r="C406" t="s">
        <v>840</v>
      </c>
      <c r="D406" t="s">
        <v>18</v>
      </c>
      <c r="E406">
        <v>20</v>
      </c>
      <c r="F406">
        <v>0</v>
      </c>
      <c r="G406">
        <v>0</v>
      </c>
      <c r="H406" t="s">
        <v>841</v>
      </c>
      <c r="I406">
        <v>8.6624999999999996</v>
      </c>
      <c r="J406" t="s">
        <v>15</v>
      </c>
      <c r="K406" t="s">
        <v>16</v>
      </c>
      <c r="L406">
        <v>0</v>
      </c>
      <c r="R406">
        <f t="shared" si="45"/>
        <v>20</v>
      </c>
      <c r="S406" t="str">
        <f t="shared" si="46"/>
        <v>S</v>
      </c>
      <c r="U406">
        <f t="shared" si="47"/>
        <v>1</v>
      </c>
      <c r="V406">
        <f t="shared" si="49"/>
        <v>0</v>
      </c>
      <c r="W406">
        <f t="shared" si="49"/>
        <v>0</v>
      </c>
      <c r="X406">
        <f t="shared" si="49"/>
        <v>1</v>
      </c>
      <c r="Y406">
        <f t="shared" si="48"/>
        <v>1</v>
      </c>
      <c r="Z406">
        <f t="shared" si="48"/>
        <v>0</v>
      </c>
      <c r="AA406">
        <f t="shared" si="48"/>
        <v>0</v>
      </c>
    </row>
    <row r="407" spans="1:27" x14ac:dyDescent="0.4">
      <c r="A407">
        <v>406</v>
      </c>
      <c r="B407">
        <v>2</v>
      </c>
      <c r="C407" t="s">
        <v>842</v>
      </c>
      <c r="D407" t="s">
        <v>13</v>
      </c>
      <c r="E407">
        <v>34</v>
      </c>
      <c r="F407">
        <v>1</v>
      </c>
      <c r="G407">
        <v>0</v>
      </c>
      <c r="H407" t="s">
        <v>843</v>
      </c>
      <c r="I407">
        <v>21</v>
      </c>
      <c r="J407" t="s">
        <v>15</v>
      </c>
      <c r="K407" t="s">
        <v>16</v>
      </c>
      <c r="L407">
        <v>0</v>
      </c>
      <c r="R407">
        <f t="shared" si="45"/>
        <v>34</v>
      </c>
      <c r="S407" t="str">
        <f t="shared" si="46"/>
        <v>S</v>
      </c>
      <c r="U407">
        <f t="shared" si="47"/>
        <v>0</v>
      </c>
      <c r="V407">
        <f t="shared" si="49"/>
        <v>0</v>
      </c>
      <c r="W407">
        <f t="shared" si="49"/>
        <v>1</v>
      </c>
      <c r="X407">
        <f t="shared" si="49"/>
        <v>0</v>
      </c>
      <c r="Y407">
        <f t="shared" si="48"/>
        <v>1</v>
      </c>
      <c r="Z407">
        <f t="shared" si="48"/>
        <v>0</v>
      </c>
      <c r="AA407">
        <f t="shared" si="48"/>
        <v>0</v>
      </c>
    </row>
    <row r="408" spans="1:27" x14ac:dyDescent="0.4">
      <c r="A408">
        <v>407</v>
      </c>
      <c r="B408">
        <v>3</v>
      </c>
      <c r="C408" t="s">
        <v>844</v>
      </c>
      <c r="D408" t="s">
        <v>13</v>
      </c>
      <c r="E408">
        <v>51</v>
      </c>
      <c r="F408">
        <v>0</v>
      </c>
      <c r="G408">
        <v>0</v>
      </c>
      <c r="H408" t="s">
        <v>845</v>
      </c>
      <c r="I408">
        <v>7.75</v>
      </c>
      <c r="J408" t="s">
        <v>15</v>
      </c>
      <c r="K408" t="s">
        <v>16</v>
      </c>
      <c r="L408">
        <v>0</v>
      </c>
      <c r="R408">
        <f t="shared" si="45"/>
        <v>51</v>
      </c>
      <c r="S408" t="str">
        <f t="shared" si="46"/>
        <v>S</v>
      </c>
      <c r="U408">
        <f t="shared" si="47"/>
        <v>0</v>
      </c>
      <c r="V408">
        <f t="shared" si="49"/>
        <v>0</v>
      </c>
      <c r="W408">
        <f t="shared" si="49"/>
        <v>0</v>
      </c>
      <c r="X408">
        <f t="shared" si="49"/>
        <v>1</v>
      </c>
      <c r="Y408">
        <f t="shared" si="48"/>
        <v>1</v>
      </c>
      <c r="Z408">
        <f t="shared" si="48"/>
        <v>0</v>
      </c>
      <c r="AA408">
        <f t="shared" si="48"/>
        <v>0</v>
      </c>
    </row>
    <row r="409" spans="1:27" x14ac:dyDescent="0.4">
      <c r="A409">
        <v>408</v>
      </c>
      <c r="B409">
        <v>2</v>
      </c>
      <c r="C409" t="s">
        <v>846</v>
      </c>
      <c r="D409" t="s">
        <v>13</v>
      </c>
      <c r="E409">
        <v>3</v>
      </c>
      <c r="F409">
        <v>1</v>
      </c>
      <c r="G409">
        <v>1</v>
      </c>
      <c r="H409" t="s">
        <v>847</v>
      </c>
      <c r="I409">
        <v>18.75</v>
      </c>
      <c r="J409" t="s">
        <v>15</v>
      </c>
      <c r="K409" t="s">
        <v>16</v>
      </c>
      <c r="L409">
        <v>1</v>
      </c>
      <c r="R409">
        <f t="shared" si="45"/>
        <v>3</v>
      </c>
      <c r="S409" t="str">
        <f t="shared" si="46"/>
        <v>S</v>
      </c>
      <c r="U409">
        <f t="shared" si="47"/>
        <v>0</v>
      </c>
      <c r="V409">
        <f t="shared" si="49"/>
        <v>0</v>
      </c>
      <c r="W409">
        <f t="shared" si="49"/>
        <v>1</v>
      </c>
      <c r="X409">
        <f t="shared" si="49"/>
        <v>0</v>
      </c>
      <c r="Y409">
        <f t="shared" si="48"/>
        <v>1</v>
      </c>
      <c r="Z409">
        <f t="shared" si="48"/>
        <v>0</v>
      </c>
      <c r="AA409">
        <f t="shared" si="48"/>
        <v>0</v>
      </c>
    </row>
    <row r="410" spans="1:27" x14ac:dyDescent="0.4">
      <c r="A410">
        <v>409</v>
      </c>
      <c r="B410">
        <v>3</v>
      </c>
      <c r="C410" t="s">
        <v>848</v>
      </c>
      <c r="D410" t="s">
        <v>13</v>
      </c>
      <c r="E410">
        <v>21</v>
      </c>
      <c r="F410">
        <v>0</v>
      </c>
      <c r="G410">
        <v>0</v>
      </c>
      <c r="H410" t="s">
        <v>849</v>
      </c>
      <c r="I410">
        <v>7.7750000000000004</v>
      </c>
      <c r="J410" t="s">
        <v>15</v>
      </c>
      <c r="K410" t="s">
        <v>16</v>
      </c>
      <c r="L410">
        <v>0</v>
      </c>
      <c r="R410">
        <f t="shared" si="45"/>
        <v>21</v>
      </c>
      <c r="S410" t="str">
        <f t="shared" si="46"/>
        <v>S</v>
      </c>
      <c r="U410">
        <f t="shared" si="47"/>
        <v>0</v>
      </c>
      <c r="V410">
        <f t="shared" si="49"/>
        <v>0</v>
      </c>
      <c r="W410">
        <f t="shared" si="49"/>
        <v>0</v>
      </c>
      <c r="X410">
        <f t="shared" si="49"/>
        <v>1</v>
      </c>
      <c r="Y410">
        <f t="shared" si="48"/>
        <v>1</v>
      </c>
      <c r="Z410">
        <f t="shared" si="48"/>
        <v>0</v>
      </c>
      <c r="AA410">
        <f t="shared" si="48"/>
        <v>0</v>
      </c>
    </row>
    <row r="411" spans="1:27" x14ac:dyDescent="0.4">
      <c r="A411">
        <v>410</v>
      </c>
      <c r="B411">
        <v>3</v>
      </c>
      <c r="C411" t="s">
        <v>850</v>
      </c>
      <c r="D411" t="s">
        <v>18</v>
      </c>
      <c r="F411">
        <v>3</v>
      </c>
      <c r="G411">
        <v>1</v>
      </c>
      <c r="H411" t="s">
        <v>386</v>
      </c>
      <c r="I411">
        <v>25.466699999999999</v>
      </c>
      <c r="J411" t="s">
        <v>15</v>
      </c>
      <c r="K411" t="s">
        <v>16</v>
      </c>
      <c r="L411">
        <v>0</v>
      </c>
      <c r="R411">
        <f t="shared" si="45"/>
        <v>28</v>
      </c>
      <c r="S411" t="str">
        <f t="shared" si="46"/>
        <v>S</v>
      </c>
      <c r="U411">
        <f t="shared" si="47"/>
        <v>1</v>
      </c>
      <c r="V411">
        <f t="shared" si="49"/>
        <v>0</v>
      </c>
      <c r="W411">
        <f t="shared" si="49"/>
        <v>0</v>
      </c>
      <c r="X411">
        <f t="shared" si="49"/>
        <v>1</v>
      </c>
      <c r="Y411">
        <f t="shared" si="48"/>
        <v>1</v>
      </c>
      <c r="Z411">
        <f t="shared" si="48"/>
        <v>0</v>
      </c>
      <c r="AA411">
        <f t="shared" si="48"/>
        <v>0</v>
      </c>
    </row>
    <row r="412" spans="1:27" x14ac:dyDescent="0.4">
      <c r="A412">
        <v>411</v>
      </c>
      <c r="B412">
        <v>3</v>
      </c>
      <c r="C412" t="s">
        <v>851</v>
      </c>
      <c r="D412" t="s">
        <v>13</v>
      </c>
      <c r="F412">
        <v>0</v>
      </c>
      <c r="G412">
        <v>0</v>
      </c>
      <c r="H412" t="s">
        <v>852</v>
      </c>
      <c r="I412">
        <v>7.8958000000000004</v>
      </c>
      <c r="J412" t="s">
        <v>15</v>
      </c>
      <c r="K412" t="s">
        <v>16</v>
      </c>
      <c r="L412">
        <v>0</v>
      </c>
      <c r="R412">
        <f t="shared" si="45"/>
        <v>28</v>
      </c>
      <c r="S412" t="str">
        <f t="shared" si="46"/>
        <v>S</v>
      </c>
      <c r="U412">
        <f t="shared" si="47"/>
        <v>0</v>
      </c>
      <c r="V412">
        <f t="shared" si="49"/>
        <v>0</v>
      </c>
      <c r="W412">
        <f t="shared" si="49"/>
        <v>0</v>
      </c>
      <c r="X412">
        <f t="shared" si="49"/>
        <v>1</v>
      </c>
      <c r="Y412">
        <f t="shared" si="48"/>
        <v>1</v>
      </c>
      <c r="Z412">
        <f t="shared" si="48"/>
        <v>0</v>
      </c>
      <c r="AA412">
        <f t="shared" si="48"/>
        <v>0</v>
      </c>
    </row>
    <row r="413" spans="1:27" x14ac:dyDescent="0.4">
      <c r="A413">
        <v>412</v>
      </c>
      <c r="B413">
        <v>3</v>
      </c>
      <c r="C413" t="s">
        <v>853</v>
      </c>
      <c r="D413" t="s">
        <v>13</v>
      </c>
      <c r="F413">
        <v>0</v>
      </c>
      <c r="G413">
        <v>0</v>
      </c>
      <c r="H413" t="s">
        <v>854</v>
      </c>
      <c r="I413">
        <v>6.8582999999999998</v>
      </c>
      <c r="J413" t="s">
        <v>15</v>
      </c>
      <c r="K413" t="s">
        <v>31</v>
      </c>
      <c r="L413">
        <v>0</v>
      </c>
      <c r="R413">
        <f t="shared" si="45"/>
        <v>28</v>
      </c>
      <c r="S413" t="str">
        <f t="shared" si="46"/>
        <v>Q</v>
      </c>
      <c r="U413">
        <f t="shared" si="47"/>
        <v>0</v>
      </c>
      <c r="V413">
        <f t="shared" si="49"/>
        <v>0</v>
      </c>
      <c r="W413">
        <f t="shared" si="49"/>
        <v>0</v>
      </c>
      <c r="X413">
        <f t="shared" si="49"/>
        <v>1</v>
      </c>
      <c r="Y413">
        <f t="shared" si="48"/>
        <v>0</v>
      </c>
      <c r="Z413">
        <f t="shared" si="48"/>
        <v>1</v>
      </c>
      <c r="AA413">
        <f t="shared" si="48"/>
        <v>0</v>
      </c>
    </row>
    <row r="414" spans="1:27" x14ac:dyDescent="0.4">
      <c r="A414">
        <v>413</v>
      </c>
      <c r="B414">
        <v>1</v>
      </c>
      <c r="C414" t="s">
        <v>855</v>
      </c>
      <c r="D414" t="s">
        <v>18</v>
      </c>
      <c r="E414">
        <v>33</v>
      </c>
      <c r="F414">
        <v>1</v>
      </c>
      <c r="G414">
        <v>0</v>
      </c>
      <c r="H414" t="s">
        <v>523</v>
      </c>
      <c r="I414">
        <v>90</v>
      </c>
      <c r="J414" t="s">
        <v>524</v>
      </c>
      <c r="K414" t="s">
        <v>31</v>
      </c>
      <c r="L414">
        <v>1</v>
      </c>
      <c r="R414">
        <f t="shared" si="45"/>
        <v>33</v>
      </c>
      <c r="S414" t="str">
        <f t="shared" si="46"/>
        <v>Q</v>
      </c>
      <c r="U414">
        <f t="shared" si="47"/>
        <v>1</v>
      </c>
      <c r="V414">
        <f t="shared" si="49"/>
        <v>1</v>
      </c>
      <c r="W414">
        <f t="shared" si="49"/>
        <v>0</v>
      </c>
      <c r="X414">
        <f t="shared" si="49"/>
        <v>0</v>
      </c>
      <c r="Y414">
        <f t="shared" si="48"/>
        <v>0</v>
      </c>
      <c r="Z414">
        <f t="shared" si="48"/>
        <v>1</v>
      </c>
      <c r="AA414">
        <f t="shared" si="48"/>
        <v>0</v>
      </c>
    </row>
    <row r="415" spans="1:27" x14ac:dyDescent="0.4">
      <c r="A415">
        <v>414</v>
      </c>
      <c r="B415">
        <v>2</v>
      </c>
      <c r="C415" t="s">
        <v>856</v>
      </c>
      <c r="D415" t="s">
        <v>13</v>
      </c>
      <c r="F415">
        <v>0</v>
      </c>
      <c r="G415">
        <v>0</v>
      </c>
      <c r="H415" t="s">
        <v>593</v>
      </c>
      <c r="I415">
        <v>0</v>
      </c>
      <c r="J415" t="s">
        <v>15</v>
      </c>
      <c r="K415" t="s">
        <v>16</v>
      </c>
      <c r="L415">
        <v>0</v>
      </c>
      <c r="R415">
        <f t="shared" si="45"/>
        <v>28</v>
      </c>
      <c r="S415" t="str">
        <f t="shared" si="46"/>
        <v>S</v>
      </c>
      <c r="U415">
        <f t="shared" si="47"/>
        <v>0</v>
      </c>
      <c r="V415">
        <f t="shared" si="49"/>
        <v>0</v>
      </c>
      <c r="W415">
        <f t="shared" si="49"/>
        <v>1</v>
      </c>
      <c r="X415">
        <f t="shared" si="49"/>
        <v>0</v>
      </c>
      <c r="Y415">
        <f t="shared" si="48"/>
        <v>1</v>
      </c>
      <c r="Z415">
        <f t="shared" si="48"/>
        <v>0</v>
      </c>
      <c r="AA415">
        <f t="shared" si="48"/>
        <v>0</v>
      </c>
    </row>
    <row r="416" spans="1:27" x14ac:dyDescent="0.4">
      <c r="A416">
        <v>415</v>
      </c>
      <c r="B416">
        <v>3</v>
      </c>
      <c r="C416" t="s">
        <v>857</v>
      </c>
      <c r="D416" t="s">
        <v>13</v>
      </c>
      <c r="E416">
        <v>44</v>
      </c>
      <c r="F416">
        <v>0</v>
      </c>
      <c r="G416">
        <v>0</v>
      </c>
      <c r="H416" t="s">
        <v>858</v>
      </c>
      <c r="I416">
        <v>7.9249999999999998</v>
      </c>
      <c r="J416" t="s">
        <v>15</v>
      </c>
      <c r="K416" t="s">
        <v>16</v>
      </c>
      <c r="L416">
        <v>1</v>
      </c>
      <c r="R416">
        <f t="shared" si="45"/>
        <v>44</v>
      </c>
      <c r="S416" t="str">
        <f t="shared" si="46"/>
        <v>S</v>
      </c>
      <c r="U416">
        <f t="shared" si="47"/>
        <v>0</v>
      </c>
      <c r="V416">
        <f t="shared" si="49"/>
        <v>0</v>
      </c>
      <c r="W416">
        <f t="shared" si="49"/>
        <v>0</v>
      </c>
      <c r="X416">
        <f t="shared" si="49"/>
        <v>1</v>
      </c>
      <c r="Y416">
        <f t="shared" si="48"/>
        <v>1</v>
      </c>
      <c r="Z416">
        <f t="shared" si="48"/>
        <v>0</v>
      </c>
      <c r="AA416">
        <f t="shared" si="48"/>
        <v>0</v>
      </c>
    </row>
    <row r="417" spans="1:27" x14ac:dyDescent="0.4">
      <c r="A417">
        <v>416</v>
      </c>
      <c r="B417">
        <v>3</v>
      </c>
      <c r="C417" t="s">
        <v>859</v>
      </c>
      <c r="D417" t="s">
        <v>18</v>
      </c>
      <c r="F417">
        <v>0</v>
      </c>
      <c r="G417">
        <v>0</v>
      </c>
      <c r="H417" t="s">
        <v>860</v>
      </c>
      <c r="I417">
        <v>8.0500000000000007</v>
      </c>
      <c r="J417" t="s">
        <v>15</v>
      </c>
      <c r="K417" t="s">
        <v>16</v>
      </c>
      <c r="L417">
        <v>0</v>
      </c>
      <c r="R417">
        <f t="shared" si="45"/>
        <v>28</v>
      </c>
      <c r="S417" t="str">
        <f t="shared" si="46"/>
        <v>S</v>
      </c>
      <c r="U417">
        <f t="shared" si="47"/>
        <v>1</v>
      </c>
      <c r="V417">
        <f t="shared" si="49"/>
        <v>0</v>
      </c>
      <c r="W417">
        <f t="shared" si="49"/>
        <v>0</v>
      </c>
      <c r="X417">
        <f t="shared" si="49"/>
        <v>1</v>
      </c>
      <c r="Y417">
        <f t="shared" si="48"/>
        <v>1</v>
      </c>
      <c r="Z417">
        <f t="shared" si="48"/>
        <v>0</v>
      </c>
      <c r="AA417">
        <f t="shared" si="48"/>
        <v>0</v>
      </c>
    </row>
    <row r="418" spans="1:27" x14ac:dyDescent="0.4">
      <c r="A418">
        <v>417</v>
      </c>
      <c r="B418">
        <v>2</v>
      </c>
      <c r="C418" t="s">
        <v>861</v>
      </c>
      <c r="D418" t="s">
        <v>18</v>
      </c>
      <c r="E418">
        <v>34</v>
      </c>
      <c r="F418">
        <v>1</v>
      </c>
      <c r="G418">
        <v>1</v>
      </c>
      <c r="H418" t="s">
        <v>862</v>
      </c>
      <c r="I418">
        <v>32.5</v>
      </c>
      <c r="J418" t="s">
        <v>15</v>
      </c>
      <c r="K418" t="s">
        <v>16</v>
      </c>
      <c r="L418">
        <v>1</v>
      </c>
      <c r="R418">
        <f t="shared" si="45"/>
        <v>34</v>
      </c>
      <c r="S418" t="str">
        <f t="shared" si="46"/>
        <v>S</v>
      </c>
      <c r="U418">
        <f t="shared" si="47"/>
        <v>1</v>
      </c>
      <c r="V418">
        <f t="shared" si="49"/>
        <v>0</v>
      </c>
      <c r="W418">
        <f t="shared" si="49"/>
        <v>1</v>
      </c>
      <c r="X418">
        <f t="shared" si="49"/>
        <v>0</v>
      </c>
      <c r="Y418">
        <f t="shared" si="48"/>
        <v>1</v>
      </c>
      <c r="Z418">
        <f t="shared" si="48"/>
        <v>0</v>
      </c>
      <c r="AA418">
        <f t="shared" si="48"/>
        <v>0</v>
      </c>
    </row>
    <row r="419" spans="1:27" x14ac:dyDescent="0.4">
      <c r="A419">
        <v>418</v>
      </c>
      <c r="B419">
        <v>2</v>
      </c>
      <c r="C419" t="s">
        <v>863</v>
      </c>
      <c r="D419" t="s">
        <v>18</v>
      </c>
      <c r="E419">
        <v>18</v>
      </c>
      <c r="F419">
        <v>0</v>
      </c>
      <c r="G419">
        <v>2</v>
      </c>
      <c r="H419" t="s">
        <v>864</v>
      </c>
      <c r="I419">
        <v>13</v>
      </c>
      <c r="J419" t="s">
        <v>15</v>
      </c>
      <c r="K419" t="s">
        <v>16</v>
      </c>
      <c r="L419">
        <v>1</v>
      </c>
      <c r="R419">
        <f t="shared" si="45"/>
        <v>18</v>
      </c>
      <c r="S419" t="str">
        <f t="shared" si="46"/>
        <v>S</v>
      </c>
      <c r="U419">
        <f t="shared" si="47"/>
        <v>1</v>
      </c>
      <c r="V419">
        <f t="shared" si="49"/>
        <v>0</v>
      </c>
      <c r="W419">
        <f t="shared" si="49"/>
        <v>1</v>
      </c>
      <c r="X419">
        <f t="shared" si="49"/>
        <v>0</v>
      </c>
      <c r="Y419">
        <f t="shared" si="48"/>
        <v>1</v>
      </c>
      <c r="Z419">
        <f t="shared" si="48"/>
        <v>0</v>
      </c>
      <c r="AA419">
        <f t="shared" si="48"/>
        <v>0</v>
      </c>
    </row>
    <row r="420" spans="1:27" x14ac:dyDescent="0.4">
      <c r="A420">
        <v>419</v>
      </c>
      <c r="B420">
        <v>2</v>
      </c>
      <c r="C420" t="s">
        <v>865</v>
      </c>
      <c r="D420" t="s">
        <v>13</v>
      </c>
      <c r="E420">
        <v>30</v>
      </c>
      <c r="F420">
        <v>0</v>
      </c>
      <c r="G420">
        <v>0</v>
      </c>
      <c r="H420" t="s">
        <v>866</v>
      </c>
      <c r="I420">
        <v>13</v>
      </c>
      <c r="J420" t="s">
        <v>15</v>
      </c>
      <c r="K420" t="s">
        <v>16</v>
      </c>
      <c r="L420">
        <v>0</v>
      </c>
      <c r="R420">
        <f t="shared" si="45"/>
        <v>30</v>
      </c>
      <c r="S420" t="str">
        <f t="shared" si="46"/>
        <v>S</v>
      </c>
      <c r="U420">
        <f t="shared" si="47"/>
        <v>0</v>
      </c>
      <c r="V420">
        <f t="shared" si="49"/>
        <v>0</v>
      </c>
      <c r="W420">
        <f t="shared" si="49"/>
        <v>1</v>
      </c>
      <c r="X420">
        <f t="shared" si="49"/>
        <v>0</v>
      </c>
      <c r="Y420">
        <f t="shared" si="48"/>
        <v>1</v>
      </c>
      <c r="Z420">
        <f t="shared" si="48"/>
        <v>0</v>
      </c>
      <c r="AA420">
        <f t="shared" si="48"/>
        <v>0</v>
      </c>
    </row>
    <row r="421" spans="1:27" x14ac:dyDescent="0.4">
      <c r="A421">
        <v>420</v>
      </c>
      <c r="B421">
        <v>3</v>
      </c>
      <c r="C421" t="s">
        <v>867</v>
      </c>
      <c r="D421" t="s">
        <v>18</v>
      </c>
      <c r="E421">
        <v>10</v>
      </c>
      <c r="F421">
        <v>0</v>
      </c>
      <c r="G421">
        <v>2</v>
      </c>
      <c r="H421" t="s">
        <v>868</v>
      </c>
      <c r="I421">
        <v>24.15</v>
      </c>
      <c r="J421" t="s">
        <v>15</v>
      </c>
      <c r="K421" t="s">
        <v>16</v>
      </c>
      <c r="L421">
        <v>0</v>
      </c>
      <c r="R421">
        <f t="shared" si="45"/>
        <v>10</v>
      </c>
      <c r="S421" t="str">
        <f t="shared" si="46"/>
        <v>S</v>
      </c>
      <c r="U421">
        <f t="shared" si="47"/>
        <v>1</v>
      </c>
      <c r="V421">
        <f t="shared" si="49"/>
        <v>0</v>
      </c>
      <c r="W421">
        <f t="shared" si="49"/>
        <v>0</v>
      </c>
      <c r="X421">
        <f t="shared" si="49"/>
        <v>1</v>
      </c>
      <c r="Y421">
        <f t="shared" si="48"/>
        <v>1</v>
      </c>
      <c r="Z421">
        <f t="shared" si="48"/>
        <v>0</v>
      </c>
      <c r="AA421">
        <f t="shared" si="48"/>
        <v>0</v>
      </c>
    </row>
    <row r="422" spans="1:27" x14ac:dyDescent="0.4">
      <c r="A422">
        <v>421</v>
      </c>
      <c r="B422">
        <v>3</v>
      </c>
      <c r="C422" t="s">
        <v>869</v>
      </c>
      <c r="D422" t="s">
        <v>13</v>
      </c>
      <c r="F422">
        <v>0</v>
      </c>
      <c r="G422">
        <v>0</v>
      </c>
      <c r="H422" t="s">
        <v>870</v>
      </c>
      <c r="I422">
        <v>7.8958000000000004</v>
      </c>
      <c r="J422" t="s">
        <v>15</v>
      </c>
      <c r="K422" t="s">
        <v>21</v>
      </c>
      <c r="L422">
        <v>0</v>
      </c>
      <c r="R422">
        <f t="shared" si="45"/>
        <v>28</v>
      </c>
      <c r="S422" t="str">
        <f t="shared" si="46"/>
        <v>C</v>
      </c>
      <c r="U422">
        <f t="shared" si="47"/>
        <v>0</v>
      </c>
      <c r="V422">
        <f t="shared" ref="V422:X441" si="50">IF("Pclass_"&amp;$B422=V$1,1,0)</f>
        <v>0</v>
      </c>
      <c r="W422">
        <f t="shared" si="50"/>
        <v>0</v>
      </c>
      <c r="X422">
        <f t="shared" si="50"/>
        <v>1</v>
      </c>
      <c r="Y422">
        <f t="shared" si="48"/>
        <v>0</v>
      </c>
      <c r="Z422">
        <f t="shared" si="48"/>
        <v>0</v>
      </c>
      <c r="AA422">
        <f t="shared" si="48"/>
        <v>1</v>
      </c>
    </row>
    <row r="423" spans="1:27" x14ac:dyDescent="0.4">
      <c r="A423">
        <v>422</v>
      </c>
      <c r="B423">
        <v>3</v>
      </c>
      <c r="C423" t="s">
        <v>871</v>
      </c>
      <c r="D423" t="s">
        <v>13</v>
      </c>
      <c r="E423">
        <v>21</v>
      </c>
      <c r="F423">
        <v>0</v>
      </c>
      <c r="G423">
        <v>0</v>
      </c>
      <c r="H423" t="s">
        <v>872</v>
      </c>
      <c r="I423">
        <v>7.7332999999999998</v>
      </c>
      <c r="J423" t="s">
        <v>15</v>
      </c>
      <c r="K423" t="s">
        <v>31</v>
      </c>
      <c r="L423">
        <v>0</v>
      </c>
      <c r="R423">
        <f t="shared" si="45"/>
        <v>21</v>
      </c>
      <c r="S423" t="str">
        <f t="shared" si="46"/>
        <v>Q</v>
      </c>
      <c r="U423">
        <f t="shared" si="47"/>
        <v>0</v>
      </c>
      <c r="V423">
        <f t="shared" si="50"/>
        <v>0</v>
      </c>
      <c r="W423">
        <f t="shared" si="50"/>
        <v>0</v>
      </c>
      <c r="X423">
        <f t="shared" si="50"/>
        <v>1</v>
      </c>
      <c r="Y423">
        <f t="shared" si="48"/>
        <v>0</v>
      </c>
      <c r="Z423">
        <f t="shared" si="48"/>
        <v>1</v>
      </c>
      <c r="AA423">
        <f t="shared" si="48"/>
        <v>0</v>
      </c>
    </row>
    <row r="424" spans="1:27" x14ac:dyDescent="0.4">
      <c r="A424">
        <v>423</v>
      </c>
      <c r="B424">
        <v>3</v>
      </c>
      <c r="C424" t="s">
        <v>873</v>
      </c>
      <c r="D424" t="s">
        <v>13</v>
      </c>
      <c r="E424">
        <v>29</v>
      </c>
      <c r="F424">
        <v>0</v>
      </c>
      <c r="G424">
        <v>0</v>
      </c>
      <c r="H424" t="s">
        <v>874</v>
      </c>
      <c r="I424">
        <v>7.875</v>
      </c>
      <c r="J424" t="s">
        <v>15</v>
      </c>
      <c r="K424" t="s">
        <v>16</v>
      </c>
      <c r="L424">
        <v>0</v>
      </c>
      <c r="R424">
        <f t="shared" si="45"/>
        <v>29</v>
      </c>
      <c r="S424" t="str">
        <f t="shared" si="46"/>
        <v>S</v>
      </c>
      <c r="U424">
        <f t="shared" si="47"/>
        <v>0</v>
      </c>
      <c r="V424">
        <f t="shared" si="50"/>
        <v>0</v>
      </c>
      <c r="W424">
        <f t="shared" si="50"/>
        <v>0</v>
      </c>
      <c r="X424">
        <f t="shared" si="50"/>
        <v>1</v>
      </c>
      <c r="Y424">
        <f t="shared" si="48"/>
        <v>1</v>
      </c>
      <c r="Z424">
        <f t="shared" si="48"/>
        <v>0</v>
      </c>
      <c r="AA424">
        <f t="shared" si="48"/>
        <v>0</v>
      </c>
    </row>
    <row r="425" spans="1:27" x14ac:dyDescent="0.4">
      <c r="A425">
        <v>424</v>
      </c>
      <c r="B425">
        <v>3</v>
      </c>
      <c r="C425" t="s">
        <v>875</v>
      </c>
      <c r="D425" t="s">
        <v>18</v>
      </c>
      <c r="E425">
        <v>28</v>
      </c>
      <c r="F425">
        <v>1</v>
      </c>
      <c r="G425">
        <v>1</v>
      </c>
      <c r="H425" t="s">
        <v>876</v>
      </c>
      <c r="I425">
        <v>14.4</v>
      </c>
      <c r="J425" t="s">
        <v>15</v>
      </c>
      <c r="K425" t="s">
        <v>16</v>
      </c>
      <c r="L425">
        <v>0</v>
      </c>
      <c r="R425">
        <f t="shared" si="45"/>
        <v>28</v>
      </c>
      <c r="S425" t="str">
        <f t="shared" si="46"/>
        <v>S</v>
      </c>
      <c r="U425">
        <f t="shared" si="47"/>
        <v>1</v>
      </c>
      <c r="V425">
        <f t="shared" si="50"/>
        <v>0</v>
      </c>
      <c r="W425">
        <f t="shared" si="50"/>
        <v>0</v>
      </c>
      <c r="X425">
        <f t="shared" si="50"/>
        <v>1</v>
      </c>
      <c r="Y425">
        <f t="shared" si="48"/>
        <v>1</v>
      </c>
      <c r="Z425">
        <f t="shared" si="48"/>
        <v>0</v>
      </c>
      <c r="AA425">
        <f t="shared" si="48"/>
        <v>0</v>
      </c>
    </row>
    <row r="426" spans="1:27" x14ac:dyDescent="0.4">
      <c r="A426">
        <v>425</v>
      </c>
      <c r="B426">
        <v>3</v>
      </c>
      <c r="C426" t="s">
        <v>877</v>
      </c>
      <c r="D426" t="s">
        <v>13</v>
      </c>
      <c r="E426">
        <v>18</v>
      </c>
      <c r="F426">
        <v>1</v>
      </c>
      <c r="G426">
        <v>1</v>
      </c>
      <c r="H426" t="s">
        <v>543</v>
      </c>
      <c r="I426">
        <v>20.212499999999999</v>
      </c>
      <c r="J426" t="s">
        <v>15</v>
      </c>
      <c r="K426" t="s">
        <v>16</v>
      </c>
      <c r="L426">
        <v>0</v>
      </c>
      <c r="R426">
        <f t="shared" si="45"/>
        <v>18</v>
      </c>
      <c r="S426" t="str">
        <f t="shared" si="46"/>
        <v>S</v>
      </c>
      <c r="U426">
        <f t="shared" si="47"/>
        <v>0</v>
      </c>
      <c r="V426">
        <f t="shared" si="50"/>
        <v>0</v>
      </c>
      <c r="W426">
        <f t="shared" si="50"/>
        <v>0</v>
      </c>
      <c r="X426">
        <f t="shared" si="50"/>
        <v>1</v>
      </c>
      <c r="Y426">
        <f t="shared" si="48"/>
        <v>1</v>
      </c>
      <c r="Z426">
        <f t="shared" si="48"/>
        <v>0</v>
      </c>
      <c r="AA426">
        <f t="shared" si="48"/>
        <v>0</v>
      </c>
    </row>
    <row r="427" spans="1:27" x14ac:dyDescent="0.4">
      <c r="A427">
        <v>426</v>
      </c>
      <c r="B427">
        <v>3</v>
      </c>
      <c r="C427" t="s">
        <v>878</v>
      </c>
      <c r="D427" t="s">
        <v>13</v>
      </c>
      <c r="F427">
        <v>0</v>
      </c>
      <c r="G427">
        <v>0</v>
      </c>
      <c r="H427" t="s">
        <v>879</v>
      </c>
      <c r="I427">
        <v>7.25</v>
      </c>
      <c r="J427" t="s">
        <v>15</v>
      </c>
      <c r="K427" t="s">
        <v>16</v>
      </c>
      <c r="L427">
        <v>0</v>
      </c>
      <c r="R427">
        <f t="shared" si="45"/>
        <v>28</v>
      </c>
      <c r="S427" t="str">
        <f t="shared" si="46"/>
        <v>S</v>
      </c>
      <c r="U427">
        <f t="shared" si="47"/>
        <v>0</v>
      </c>
      <c r="V427">
        <f t="shared" si="50"/>
        <v>0</v>
      </c>
      <c r="W427">
        <f t="shared" si="50"/>
        <v>0</v>
      </c>
      <c r="X427">
        <f t="shared" si="50"/>
        <v>1</v>
      </c>
      <c r="Y427">
        <f t="shared" si="48"/>
        <v>1</v>
      </c>
      <c r="Z427">
        <f t="shared" si="48"/>
        <v>0</v>
      </c>
      <c r="AA427">
        <f t="shared" si="48"/>
        <v>0</v>
      </c>
    </row>
    <row r="428" spans="1:27" x14ac:dyDescent="0.4">
      <c r="A428">
        <v>427</v>
      </c>
      <c r="B428">
        <v>2</v>
      </c>
      <c r="C428" t="s">
        <v>880</v>
      </c>
      <c r="D428" t="s">
        <v>18</v>
      </c>
      <c r="E428">
        <v>28</v>
      </c>
      <c r="F428">
        <v>1</v>
      </c>
      <c r="G428">
        <v>0</v>
      </c>
      <c r="H428" t="s">
        <v>881</v>
      </c>
      <c r="I428">
        <v>26</v>
      </c>
      <c r="J428" t="s">
        <v>15</v>
      </c>
      <c r="K428" t="s">
        <v>16</v>
      </c>
      <c r="L428">
        <v>1</v>
      </c>
      <c r="R428">
        <f t="shared" si="45"/>
        <v>28</v>
      </c>
      <c r="S428" t="str">
        <f t="shared" si="46"/>
        <v>S</v>
      </c>
      <c r="U428">
        <f t="shared" si="47"/>
        <v>1</v>
      </c>
      <c r="V428">
        <f t="shared" si="50"/>
        <v>0</v>
      </c>
      <c r="W428">
        <f t="shared" si="50"/>
        <v>1</v>
      </c>
      <c r="X428">
        <f t="shared" si="50"/>
        <v>0</v>
      </c>
      <c r="Y428">
        <f t="shared" si="48"/>
        <v>1</v>
      </c>
      <c r="Z428">
        <f t="shared" si="48"/>
        <v>0</v>
      </c>
      <c r="AA428">
        <f t="shared" si="48"/>
        <v>0</v>
      </c>
    </row>
    <row r="429" spans="1:27" x14ac:dyDescent="0.4">
      <c r="A429">
        <v>428</v>
      </c>
      <c r="B429">
        <v>2</v>
      </c>
      <c r="C429" t="s">
        <v>882</v>
      </c>
      <c r="D429" t="s">
        <v>18</v>
      </c>
      <c r="E429">
        <v>19</v>
      </c>
      <c r="F429">
        <v>0</v>
      </c>
      <c r="G429">
        <v>0</v>
      </c>
      <c r="H429" t="s">
        <v>883</v>
      </c>
      <c r="I429">
        <v>26</v>
      </c>
      <c r="J429" t="s">
        <v>15</v>
      </c>
      <c r="K429" t="s">
        <v>16</v>
      </c>
      <c r="L429">
        <v>1</v>
      </c>
      <c r="R429">
        <f t="shared" si="45"/>
        <v>19</v>
      </c>
      <c r="S429" t="str">
        <f t="shared" si="46"/>
        <v>S</v>
      </c>
      <c r="U429">
        <f t="shared" si="47"/>
        <v>1</v>
      </c>
      <c r="V429">
        <f t="shared" si="50"/>
        <v>0</v>
      </c>
      <c r="W429">
        <f t="shared" si="50"/>
        <v>1</v>
      </c>
      <c r="X429">
        <f t="shared" si="50"/>
        <v>0</v>
      </c>
      <c r="Y429">
        <f t="shared" si="48"/>
        <v>1</v>
      </c>
      <c r="Z429">
        <f t="shared" si="48"/>
        <v>0</v>
      </c>
      <c r="AA429">
        <f t="shared" si="48"/>
        <v>0</v>
      </c>
    </row>
    <row r="430" spans="1:27" x14ac:dyDescent="0.4">
      <c r="A430">
        <v>429</v>
      </c>
      <c r="B430">
        <v>3</v>
      </c>
      <c r="C430" t="s">
        <v>884</v>
      </c>
      <c r="D430" t="s">
        <v>13</v>
      </c>
      <c r="F430">
        <v>0</v>
      </c>
      <c r="G430">
        <v>0</v>
      </c>
      <c r="H430" t="s">
        <v>885</v>
      </c>
      <c r="I430">
        <v>7.75</v>
      </c>
      <c r="J430" t="s">
        <v>15</v>
      </c>
      <c r="K430" t="s">
        <v>31</v>
      </c>
      <c r="L430">
        <v>0</v>
      </c>
      <c r="R430">
        <f t="shared" si="45"/>
        <v>28</v>
      </c>
      <c r="S430" t="str">
        <f t="shared" si="46"/>
        <v>Q</v>
      </c>
      <c r="U430">
        <f t="shared" si="47"/>
        <v>0</v>
      </c>
      <c r="V430">
        <f t="shared" si="50"/>
        <v>0</v>
      </c>
      <c r="W430">
        <f t="shared" si="50"/>
        <v>0</v>
      </c>
      <c r="X430">
        <f t="shared" si="50"/>
        <v>1</v>
      </c>
      <c r="Y430">
        <f t="shared" si="48"/>
        <v>0</v>
      </c>
      <c r="Z430">
        <f t="shared" si="48"/>
        <v>1</v>
      </c>
      <c r="AA430">
        <f t="shared" si="48"/>
        <v>0</v>
      </c>
    </row>
    <row r="431" spans="1:27" x14ac:dyDescent="0.4">
      <c r="A431">
        <v>430</v>
      </c>
      <c r="B431">
        <v>3</v>
      </c>
      <c r="C431" t="s">
        <v>886</v>
      </c>
      <c r="D431" t="s">
        <v>13</v>
      </c>
      <c r="E431">
        <v>32</v>
      </c>
      <c r="F431">
        <v>0</v>
      </c>
      <c r="G431">
        <v>0</v>
      </c>
      <c r="H431" t="s">
        <v>887</v>
      </c>
      <c r="I431">
        <v>8.0500000000000007</v>
      </c>
      <c r="J431" t="s">
        <v>888</v>
      </c>
      <c r="K431" t="s">
        <v>16</v>
      </c>
      <c r="L431">
        <v>1</v>
      </c>
      <c r="R431">
        <f t="shared" si="45"/>
        <v>32</v>
      </c>
      <c r="S431" t="str">
        <f t="shared" si="46"/>
        <v>S</v>
      </c>
      <c r="U431">
        <f t="shared" si="47"/>
        <v>0</v>
      </c>
      <c r="V431">
        <f t="shared" si="50"/>
        <v>0</v>
      </c>
      <c r="W431">
        <f t="shared" si="50"/>
        <v>0</v>
      </c>
      <c r="X431">
        <f t="shared" si="50"/>
        <v>1</v>
      </c>
      <c r="Y431">
        <f t="shared" si="48"/>
        <v>1</v>
      </c>
      <c r="Z431">
        <f t="shared" si="48"/>
        <v>0</v>
      </c>
      <c r="AA431">
        <f t="shared" si="48"/>
        <v>0</v>
      </c>
    </row>
    <row r="432" spans="1:27" x14ac:dyDescent="0.4">
      <c r="A432">
        <v>431</v>
      </c>
      <c r="B432">
        <v>1</v>
      </c>
      <c r="C432" t="s">
        <v>889</v>
      </c>
      <c r="D432" t="s">
        <v>13</v>
      </c>
      <c r="E432">
        <v>28</v>
      </c>
      <c r="F432">
        <v>0</v>
      </c>
      <c r="G432">
        <v>0</v>
      </c>
      <c r="H432" t="s">
        <v>890</v>
      </c>
      <c r="I432">
        <v>26.55</v>
      </c>
      <c r="J432" t="s">
        <v>140</v>
      </c>
      <c r="K432" t="s">
        <v>16</v>
      </c>
      <c r="L432">
        <v>1</v>
      </c>
      <c r="R432">
        <f t="shared" si="45"/>
        <v>28</v>
      </c>
      <c r="S432" t="str">
        <f t="shared" si="46"/>
        <v>S</v>
      </c>
      <c r="U432">
        <f t="shared" si="47"/>
        <v>0</v>
      </c>
      <c r="V432">
        <f t="shared" si="50"/>
        <v>1</v>
      </c>
      <c r="W432">
        <f t="shared" si="50"/>
        <v>0</v>
      </c>
      <c r="X432">
        <f t="shared" si="50"/>
        <v>0</v>
      </c>
      <c r="Y432">
        <f t="shared" si="48"/>
        <v>1</v>
      </c>
      <c r="Z432">
        <f t="shared" si="48"/>
        <v>0</v>
      </c>
      <c r="AA432">
        <f t="shared" si="48"/>
        <v>0</v>
      </c>
    </row>
    <row r="433" spans="1:27" x14ac:dyDescent="0.4">
      <c r="A433">
        <v>432</v>
      </c>
      <c r="B433">
        <v>3</v>
      </c>
      <c r="C433" t="s">
        <v>891</v>
      </c>
      <c r="D433" t="s">
        <v>18</v>
      </c>
      <c r="F433">
        <v>1</v>
      </c>
      <c r="G433">
        <v>0</v>
      </c>
      <c r="H433" t="s">
        <v>892</v>
      </c>
      <c r="I433">
        <v>16.100000000000001</v>
      </c>
      <c r="J433" t="s">
        <v>15</v>
      </c>
      <c r="K433" t="s">
        <v>16</v>
      </c>
      <c r="L433">
        <v>1</v>
      </c>
      <c r="R433">
        <f t="shared" si="45"/>
        <v>28</v>
      </c>
      <c r="S433" t="str">
        <f t="shared" si="46"/>
        <v>S</v>
      </c>
      <c r="U433">
        <f t="shared" si="47"/>
        <v>1</v>
      </c>
      <c r="V433">
        <f t="shared" si="50"/>
        <v>0</v>
      </c>
      <c r="W433">
        <f t="shared" si="50"/>
        <v>0</v>
      </c>
      <c r="X433">
        <f t="shared" si="50"/>
        <v>1</v>
      </c>
      <c r="Y433">
        <f t="shared" si="48"/>
        <v>1</v>
      </c>
      <c r="Z433">
        <f t="shared" si="48"/>
        <v>0</v>
      </c>
      <c r="AA433">
        <f t="shared" si="48"/>
        <v>0</v>
      </c>
    </row>
    <row r="434" spans="1:27" x14ac:dyDescent="0.4">
      <c r="A434">
        <v>433</v>
      </c>
      <c r="B434">
        <v>2</v>
      </c>
      <c r="C434" t="s">
        <v>893</v>
      </c>
      <c r="D434" t="s">
        <v>18</v>
      </c>
      <c r="E434">
        <v>42</v>
      </c>
      <c r="F434">
        <v>1</v>
      </c>
      <c r="G434">
        <v>0</v>
      </c>
      <c r="H434" t="s">
        <v>894</v>
      </c>
      <c r="I434">
        <v>26</v>
      </c>
      <c r="J434" t="s">
        <v>15</v>
      </c>
      <c r="K434" t="s">
        <v>16</v>
      </c>
      <c r="L434">
        <v>1</v>
      </c>
      <c r="R434">
        <f t="shared" si="45"/>
        <v>42</v>
      </c>
      <c r="S434" t="str">
        <f t="shared" si="46"/>
        <v>S</v>
      </c>
      <c r="U434">
        <f t="shared" si="47"/>
        <v>1</v>
      </c>
      <c r="V434">
        <f t="shared" si="50"/>
        <v>0</v>
      </c>
      <c r="W434">
        <f t="shared" si="50"/>
        <v>1</v>
      </c>
      <c r="X434">
        <f t="shared" si="50"/>
        <v>0</v>
      </c>
      <c r="Y434">
        <f t="shared" si="48"/>
        <v>1</v>
      </c>
      <c r="Z434">
        <f t="shared" si="48"/>
        <v>0</v>
      </c>
      <c r="AA434">
        <f t="shared" si="48"/>
        <v>0</v>
      </c>
    </row>
    <row r="435" spans="1:27" x14ac:dyDescent="0.4">
      <c r="A435">
        <v>434</v>
      </c>
      <c r="B435">
        <v>3</v>
      </c>
      <c r="C435" t="s">
        <v>895</v>
      </c>
      <c r="D435" t="s">
        <v>13</v>
      </c>
      <c r="E435">
        <v>17</v>
      </c>
      <c r="F435">
        <v>0</v>
      </c>
      <c r="G435">
        <v>0</v>
      </c>
      <c r="H435" t="s">
        <v>896</v>
      </c>
      <c r="I435">
        <v>7.125</v>
      </c>
      <c r="J435" t="s">
        <v>15</v>
      </c>
      <c r="K435" t="s">
        <v>16</v>
      </c>
      <c r="L435">
        <v>0</v>
      </c>
      <c r="R435">
        <f t="shared" si="45"/>
        <v>17</v>
      </c>
      <c r="S435" t="str">
        <f t="shared" si="46"/>
        <v>S</v>
      </c>
      <c r="U435">
        <f t="shared" si="47"/>
        <v>0</v>
      </c>
      <c r="V435">
        <f t="shared" si="50"/>
        <v>0</v>
      </c>
      <c r="W435">
        <f t="shared" si="50"/>
        <v>0</v>
      </c>
      <c r="X435">
        <f t="shared" si="50"/>
        <v>1</v>
      </c>
      <c r="Y435">
        <f t="shared" si="48"/>
        <v>1</v>
      </c>
      <c r="Z435">
        <f t="shared" si="48"/>
        <v>0</v>
      </c>
      <c r="AA435">
        <f t="shared" si="48"/>
        <v>0</v>
      </c>
    </row>
    <row r="436" spans="1:27" x14ac:dyDescent="0.4">
      <c r="A436">
        <v>435</v>
      </c>
      <c r="B436">
        <v>1</v>
      </c>
      <c r="C436" t="s">
        <v>897</v>
      </c>
      <c r="D436" t="s">
        <v>13</v>
      </c>
      <c r="E436">
        <v>50</v>
      </c>
      <c r="F436">
        <v>1</v>
      </c>
      <c r="G436">
        <v>0</v>
      </c>
      <c r="H436" t="s">
        <v>898</v>
      </c>
      <c r="I436">
        <v>55.9</v>
      </c>
      <c r="J436" t="s">
        <v>899</v>
      </c>
      <c r="K436" t="s">
        <v>16</v>
      </c>
      <c r="L436">
        <v>0</v>
      </c>
      <c r="R436">
        <f t="shared" si="45"/>
        <v>50</v>
      </c>
      <c r="S436" t="str">
        <f t="shared" si="46"/>
        <v>S</v>
      </c>
      <c r="U436">
        <f t="shared" si="47"/>
        <v>0</v>
      </c>
      <c r="V436">
        <f t="shared" si="50"/>
        <v>1</v>
      </c>
      <c r="W436">
        <f t="shared" si="50"/>
        <v>0</v>
      </c>
      <c r="X436">
        <f t="shared" si="50"/>
        <v>0</v>
      </c>
      <c r="Y436">
        <f t="shared" si="48"/>
        <v>1</v>
      </c>
      <c r="Z436">
        <f t="shared" si="48"/>
        <v>0</v>
      </c>
      <c r="AA436">
        <f t="shared" si="48"/>
        <v>0</v>
      </c>
    </row>
    <row r="437" spans="1:27" x14ac:dyDescent="0.4">
      <c r="A437">
        <v>436</v>
      </c>
      <c r="B437">
        <v>1</v>
      </c>
      <c r="C437" t="s">
        <v>900</v>
      </c>
      <c r="D437" t="s">
        <v>18</v>
      </c>
      <c r="E437">
        <v>14</v>
      </c>
      <c r="F437">
        <v>1</v>
      </c>
      <c r="G437">
        <v>2</v>
      </c>
      <c r="H437" t="s">
        <v>815</v>
      </c>
      <c r="I437">
        <v>120</v>
      </c>
      <c r="J437" t="s">
        <v>816</v>
      </c>
      <c r="K437" t="s">
        <v>16</v>
      </c>
      <c r="L437">
        <v>1</v>
      </c>
      <c r="R437">
        <f t="shared" si="45"/>
        <v>14</v>
      </c>
      <c r="S437" t="str">
        <f t="shared" si="46"/>
        <v>S</v>
      </c>
      <c r="U437">
        <f t="shared" si="47"/>
        <v>1</v>
      </c>
      <c r="V437">
        <f t="shared" si="50"/>
        <v>1</v>
      </c>
      <c r="W437">
        <f t="shared" si="50"/>
        <v>0</v>
      </c>
      <c r="X437">
        <f t="shared" si="50"/>
        <v>0</v>
      </c>
      <c r="Y437">
        <f t="shared" si="48"/>
        <v>1</v>
      </c>
      <c r="Z437">
        <f t="shared" si="48"/>
        <v>0</v>
      </c>
      <c r="AA437">
        <f t="shared" si="48"/>
        <v>0</v>
      </c>
    </row>
    <row r="438" spans="1:27" x14ac:dyDescent="0.4">
      <c r="A438">
        <v>437</v>
      </c>
      <c r="B438">
        <v>3</v>
      </c>
      <c r="C438" t="s">
        <v>901</v>
      </c>
      <c r="D438" t="s">
        <v>18</v>
      </c>
      <c r="E438">
        <v>21</v>
      </c>
      <c r="F438">
        <v>2</v>
      </c>
      <c r="G438">
        <v>2</v>
      </c>
      <c r="H438" t="s">
        <v>205</v>
      </c>
      <c r="I438">
        <v>34.375</v>
      </c>
      <c r="J438" t="s">
        <v>15</v>
      </c>
      <c r="K438" t="s">
        <v>16</v>
      </c>
      <c r="L438">
        <v>0</v>
      </c>
      <c r="R438">
        <f t="shared" si="45"/>
        <v>21</v>
      </c>
      <c r="S438" t="str">
        <f t="shared" si="46"/>
        <v>S</v>
      </c>
      <c r="U438">
        <f t="shared" si="47"/>
        <v>1</v>
      </c>
      <c r="V438">
        <f t="shared" si="50"/>
        <v>0</v>
      </c>
      <c r="W438">
        <f t="shared" si="50"/>
        <v>0</v>
      </c>
      <c r="X438">
        <f t="shared" si="50"/>
        <v>1</v>
      </c>
      <c r="Y438">
        <f t="shared" si="48"/>
        <v>1</v>
      </c>
      <c r="Z438">
        <f t="shared" si="48"/>
        <v>0</v>
      </c>
      <c r="AA438">
        <f t="shared" si="48"/>
        <v>0</v>
      </c>
    </row>
    <row r="439" spans="1:27" x14ac:dyDescent="0.4">
      <c r="A439">
        <v>438</v>
      </c>
      <c r="B439">
        <v>2</v>
      </c>
      <c r="C439" t="s">
        <v>902</v>
      </c>
      <c r="D439" t="s">
        <v>18</v>
      </c>
      <c r="E439">
        <v>24</v>
      </c>
      <c r="F439">
        <v>2</v>
      </c>
      <c r="G439">
        <v>3</v>
      </c>
      <c r="H439" t="s">
        <v>847</v>
      </c>
      <c r="I439">
        <v>18.75</v>
      </c>
      <c r="J439" t="s">
        <v>15</v>
      </c>
      <c r="K439" t="s">
        <v>16</v>
      </c>
      <c r="L439">
        <v>1</v>
      </c>
      <c r="R439">
        <f t="shared" si="45"/>
        <v>24</v>
      </c>
      <c r="S439" t="str">
        <f t="shared" si="46"/>
        <v>S</v>
      </c>
      <c r="U439">
        <f t="shared" si="47"/>
        <v>1</v>
      </c>
      <c r="V439">
        <f t="shared" si="50"/>
        <v>0</v>
      </c>
      <c r="W439">
        <f t="shared" si="50"/>
        <v>1</v>
      </c>
      <c r="X439">
        <f t="shared" si="50"/>
        <v>0</v>
      </c>
      <c r="Y439">
        <f t="shared" si="48"/>
        <v>1</v>
      </c>
      <c r="Z439">
        <f t="shared" si="48"/>
        <v>0</v>
      </c>
      <c r="AA439">
        <f t="shared" si="48"/>
        <v>0</v>
      </c>
    </row>
    <row r="440" spans="1:27" x14ac:dyDescent="0.4">
      <c r="A440">
        <v>439</v>
      </c>
      <c r="B440">
        <v>1</v>
      </c>
      <c r="C440" t="s">
        <v>903</v>
      </c>
      <c r="D440" t="s">
        <v>13</v>
      </c>
      <c r="E440">
        <v>64</v>
      </c>
      <c r="F440">
        <v>1</v>
      </c>
      <c r="G440">
        <v>4</v>
      </c>
      <c r="H440" t="s">
        <v>79</v>
      </c>
      <c r="I440">
        <v>263</v>
      </c>
      <c r="J440" t="s">
        <v>80</v>
      </c>
      <c r="K440" t="s">
        <v>16</v>
      </c>
      <c r="L440">
        <v>0</v>
      </c>
      <c r="R440">
        <f t="shared" si="45"/>
        <v>64</v>
      </c>
      <c r="S440" t="str">
        <f t="shared" si="46"/>
        <v>S</v>
      </c>
      <c r="U440">
        <f t="shared" si="47"/>
        <v>0</v>
      </c>
      <c r="V440">
        <f t="shared" si="50"/>
        <v>1</v>
      </c>
      <c r="W440">
        <f t="shared" si="50"/>
        <v>0</v>
      </c>
      <c r="X440">
        <f t="shared" si="50"/>
        <v>0</v>
      </c>
      <c r="Y440">
        <f t="shared" si="48"/>
        <v>1</v>
      </c>
      <c r="Z440">
        <f t="shared" si="48"/>
        <v>0</v>
      </c>
      <c r="AA440">
        <f t="shared" si="48"/>
        <v>0</v>
      </c>
    </row>
    <row r="441" spans="1:27" x14ac:dyDescent="0.4">
      <c r="A441">
        <v>440</v>
      </c>
      <c r="B441">
        <v>2</v>
      </c>
      <c r="C441" t="s">
        <v>904</v>
      </c>
      <c r="D441" t="s">
        <v>13</v>
      </c>
      <c r="E441">
        <v>31</v>
      </c>
      <c r="F441">
        <v>0</v>
      </c>
      <c r="G441">
        <v>0</v>
      </c>
      <c r="H441" t="s">
        <v>905</v>
      </c>
      <c r="I441">
        <v>10.5</v>
      </c>
      <c r="J441" t="s">
        <v>15</v>
      </c>
      <c r="K441" t="s">
        <v>16</v>
      </c>
      <c r="L441">
        <v>0</v>
      </c>
      <c r="R441">
        <f t="shared" si="45"/>
        <v>31</v>
      </c>
      <c r="S441" t="str">
        <f t="shared" si="46"/>
        <v>S</v>
      </c>
      <c r="U441">
        <f t="shared" si="47"/>
        <v>0</v>
      </c>
      <c r="V441">
        <f t="shared" si="50"/>
        <v>0</v>
      </c>
      <c r="W441">
        <f t="shared" si="50"/>
        <v>1</v>
      </c>
      <c r="X441">
        <f t="shared" si="50"/>
        <v>0</v>
      </c>
      <c r="Y441">
        <f t="shared" si="48"/>
        <v>1</v>
      </c>
      <c r="Z441">
        <f t="shared" si="48"/>
        <v>0</v>
      </c>
      <c r="AA441">
        <f t="shared" si="48"/>
        <v>0</v>
      </c>
    </row>
    <row r="442" spans="1:27" x14ac:dyDescent="0.4">
      <c r="A442">
        <v>441</v>
      </c>
      <c r="B442">
        <v>2</v>
      </c>
      <c r="C442" t="s">
        <v>906</v>
      </c>
      <c r="D442" t="s">
        <v>18</v>
      </c>
      <c r="E442">
        <v>45</v>
      </c>
      <c r="F442">
        <v>1</v>
      </c>
      <c r="G442">
        <v>1</v>
      </c>
      <c r="H442" t="s">
        <v>672</v>
      </c>
      <c r="I442">
        <v>26.25</v>
      </c>
      <c r="J442" t="s">
        <v>15</v>
      </c>
      <c r="K442" t="s">
        <v>16</v>
      </c>
      <c r="L442">
        <v>1</v>
      </c>
      <c r="R442">
        <f t="shared" si="45"/>
        <v>45</v>
      </c>
      <c r="S442" t="str">
        <f t="shared" si="46"/>
        <v>S</v>
      </c>
      <c r="U442">
        <f t="shared" si="47"/>
        <v>1</v>
      </c>
      <c r="V442">
        <f t="shared" ref="V442:X461" si="51">IF("Pclass_"&amp;$B442=V$1,1,0)</f>
        <v>0</v>
      </c>
      <c r="W442">
        <f t="shared" si="51"/>
        <v>1</v>
      </c>
      <c r="X442">
        <f t="shared" si="51"/>
        <v>0</v>
      </c>
      <c r="Y442">
        <f t="shared" si="48"/>
        <v>1</v>
      </c>
      <c r="Z442">
        <f t="shared" si="48"/>
        <v>0</v>
      </c>
      <c r="AA442">
        <f t="shared" si="48"/>
        <v>0</v>
      </c>
    </row>
    <row r="443" spans="1:27" x14ac:dyDescent="0.4">
      <c r="A443">
        <v>442</v>
      </c>
      <c r="B443">
        <v>3</v>
      </c>
      <c r="C443" t="s">
        <v>907</v>
      </c>
      <c r="D443" t="s">
        <v>13</v>
      </c>
      <c r="E443">
        <v>20</v>
      </c>
      <c r="F443">
        <v>0</v>
      </c>
      <c r="G443">
        <v>0</v>
      </c>
      <c r="H443" t="s">
        <v>908</v>
      </c>
      <c r="I443">
        <v>9.5</v>
      </c>
      <c r="J443" t="s">
        <v>15</v>
      </c>
      <c r="K443" t="s">
        <v>16</v>
      </c>
      <c r="L443">
        <v>0</v>
      </c>
      <c r="R443">
        <f t="shared" si="45"/>
        <v>20</v>
      </c>
      <c r="S443" t="str">
        <f t="shared" si="46"/>
        <v>S</v>
      </c>
      <c r="U443">
        <f t="shared" si="47"/>
        <v>0</v>
      </c>
      <c r="V443">
        <f t="shared" si="51"/>
        <v>0</v>
      </c>
      <c r="W443">
        <f t="shared" si="51"/>
        <v>0</v>
      </c>
      <c r="X443">
        <f t="shared" si="51"/>
        <v>1</v>
      </c>
      <c r="Y443">
        <f t="shared" si="48"/>
        <v>1</v>
      </c>
      <c r="Z443">
        <f t="shared" si="48"/>
        <v>0</v>
      </c>
      <c r="AA443">
        <f t="shared" si="48"/>
        <v>0</v>
      </c>
    </row>
    <row r="444" spans="1:27" x14ac:dyDescent="0.4">
      <c r="A444">
        <v>443</v>
      </c>
      <c r="B444">
        <v>3</v>
      </c>
      <c r="C444" t="s">
        <v>909</v>
      </c>
      <c r="D444" t="s">
        <v>13</v>
      </c>
      <c r="E444">
        <v>25</v>
      </c>
      <c r="F444">
        <v>1</v>
      </c>
      <c r="G444">
        <v>0</v>
      </c>
      <c r="H444" t="s">
        <v>910</v>
      </c>
      <c r="I444">
        <v>7.7750000000000004</v>
      </c>
      <c r="J444" t="s">
        <v>15</v>
      </c>
      <c r="K444" t="s">
        <v>16</v>
      </c>
      <c r="L444">
        <v>0</v>
      </c>
      <c r="R444">
        <f t="shared" si="45"/>
        <v>25</v>
      </c>
      <c r="S444" t="str">
        <f t="shared" si="46"/>
        <v>S</v>
      </c>
      <c r="U444">
        <f t="shared" si="47"/>
        <v>0</v>
      </c>
      <c r="V444">
        <f t="shared" si="51"/>
        <v>0</v>
      </c>
      <c r="W444">
        <f t="shared" si="51"/>
        <v>0</v>
      </c>
      <c r="X444">
        <f t="shared" si="51"/>
        <v>1</v>
      </c>
      <c r="Y444">
        <f t="shared" si="48"/>
        <v>1</v>
      </c>
      <c r="Z444">
        <f t="shared" si="48"/>
        <v>0</v>
      </c>
      <c r="AA444">
        <f t="shared" si="48"/>
        <v>0</v>
      </c>
    </row>
    <row r="445" spans="1:27" x14ac:dyDescent="0.4">
      <c r="A445">
        <v>444</v>
      </c>
      <c r="B445">
        <v>2</v>
      </c>
      <c r="C445" t="s">
        <v>911</v>
      </c>
      <c r="D445" t="s">
        <v>18</v>
      </c>
      <c r="E445">
        <v>28</v>
      </c>
      <c r="F445">
        <v>0</v>
      </c>
      <c r="G445">
        <v>0</v>
      </c>
      <c r="H445" t="s">
        <v>912</v>
      </c>
      <c r="I445">
        <v>13</v>
      </c>
      <c r="J445" t="s">
        <v>15</v>
      </c>
      <c r="K445" t="s">
        <v>16</v>
      </c>
      <c r="L445">
        <v>1</v>
      </c>
      <c r="R445">
        <f t="shared" si="45"/>
        <v>28</v>
      </c>
      <c r="S445" t="str">
        <f t="shared" si="46"/>
        <v>S</v>
      </c>
      <c r="U445">
        <f t="shared" si="47"/>
        <v>1</v>
      </c>
      <c r="V445">
        <f t="shared" si="51"/>
        <v>0</v>
      </c>
      <c r="W445">
        <f t="shared" si="51"/>
        <v>1</v>
      </c>
      <c r="X445">
        <f t="shared" si="51"/>
        <v>0</v>
      </c>
      <c r="Y445">
        <f t="shared" si="48"/>
        <v>1</v>
      </c>
      <c r="Z445">
        <f t="shared" si="48"/>
        <v>0</v>
      </c>
      <c r="AA445">
        <f t="shared" si="48"/>
        <v>0</v>
      </c>
    </row>
    <row r="446" spans="1:27" x14ac:dyDescent="0.4">
      <c r="A446">
        <v>445</v>
      </c>
      <c r="B446">
        <v>3</v>
      </c>
      <c r="C446" t="s">
        <v>913</v>
      </c>
      <c r="D446" t="s">
        <v>13</v>
      </c>
      <c r="F446">
        <v>0</v>
      </c>
      <c r="G446">
        <v>0</v>
      </c>
      <c r="H446" t="s">
        <v>914</v>
      </c>
      <c r="I446">
        <v>8.1125000000000007</v>
      </c>
      <c r="J446" t="s">
        <v>15</v>
      </c>
      <c r="K446" t="s">
        <v>16</v>
      </c>
      <c r="L446">
        <v>1</v>
      </c>
      <c r="R446">
        <f t="shared" si="45"/>
        <v>28</v>
      </c>
      <c r="S446" t="str">
        <f t="shared" si="46"/>
        <v>S</v>
      </c>
      <c r="U446">
        <f t="shared" si="47"/>
        <v>0</v>
      </c>
      <c r="V446">
        <f t="shared" si="51"/>
        <v>0</v>
      </c>
      <c r="W446">
        <f t="shared" si="51"/>
        <v>0</v>
      </c>
      <c r="X446">
        <f t="shared" si="51"/>
        <v>1</v>
      </c>
      <c r="Y446">
        <f t="shared" si="48"/>
        <v>1</v>
      </c>
      <c r="Z446">
        <f t="shared" si="48"/>
        <v>0</v>
      </c>
      <c r="AA446">
        <f t="shared" si="48"/>
        <v>0</v>
      </c>
    </row>
    <row r="447" spans="1:27" x14ac:dyDescent="0.4">
      <c r="A447">
        <v>446</v>
      </c>
      <c r="B447">
        <v>1</v>
      </c>
      <c r="C447" t="s">
        <v>915</v>
      </c>
      <c r="D447" t="s">
        <v>13</v>
      </c>
      <c r="E447">
        <v>4</v>
      </c>
      <c r="F447">
        <v>0</v>
      </c>
      <c r="G447">
        <v>2</v>
      </c>
      <c r="H447" t="s">
        <v>916</v>
      </c>
      <c r="I447">
        <v>81.8583</v>
      </c>
      <c r="J447" t="s">
        <v>917</v>
      </c>
      <c r="K447" t="s">
        <v>16</v>
      </c>
      <c r="L447">
        <v>1</v>
      </c>
      <c r="R447">
        <f t="shared" si="45"/>
        <v>4</v>
      </c>
      <c r="S447" t="str">
        <f t="shared" si="46"/>
        <v>S</v>
      </c>
      <c r="U447">
        <f t="shared" si="47"/>
        <v>0</v>
      </c>
      <c r="V447">
        <f t="shared" si="51"/>
        <v>1</v>
      </c>
      <c r="W447">
        <f t="shared" si="51"/>
        <v>0</v>
      </c>
      <c r="X447">
        <f t="shared" si="51"/>
        <v>0</v>
      </c>
      <c r="Y447">
        <f t="shared" si="48"/>
        <v>1</v>
      </c>
      <c r="Z447">
        <f t="shared" si="48"/>
        <v>0</v>
      </c>
      <c r="AA447">
        <f t="shared" si="48"/>
        <v>0</v>
      </c>
    </row>
    <row r="448" spans="1:27" x14ac:dyDescent="0.4">
      <c r="A448">
        <v>447</v>
      </c>
      <c r="B448">
        <v>2</v>
      </c>
      <c r="C448" t="s">
        <v>918</v>
      </c>
      <c r="D448" t="s">
        <v>18</v>
      </c>
      <c r="E448">
        <v>13</v>
      </c>
      <c r="F448">
        <v>0</v>
      </c>
      <c r="G448">
        <v>1</v>
      </c>
      <c r="H448" t="s">
        <v>581</v>
      </c>
      <c r="I448">
        <v>19.5</v>
      </c>
      <c r="J448" t="s">
        <v>15</v>
      </c>
      <c r="K448" t="s">
        <v>16</v>
      </c>
      <c r="L448">
        <v>1</v>
      </c>
      <c r="R448">
        <f t="shared" si="45"/>
        <v>13</v>
      </c>
      <c r="S448" t="str">
        <f t="shared" si="46"/>
        <v>S</v>
      </c>
      <c r="U448">
        <f t="shared" si="47"/>
        <v>1</v>
      </c>
      <c r="V448">
        <f t="shared" si="51"/>
        <v>0</v>
      </c>
      <c r="W448">
        <f t="shared" si="51"/>
        <v>1</v>
      </c>
      <c r="X448">
        <f t="shared" si="51"/>
        <v>0</v>
      </c>
      <c r="Y448">
        <f t="shared" si="48"/>
        <v>1</v>
      </c>
      <c r="Z448">
        <f t="shared" si="48"/>
        <v>0</v>
      </c>
      <c r="AA448">
        <f t="shared" si="48"/>
        <v>0</v>
      </c>
    </row>
    <row r="449" spans="1:27" x14ac:dyDescent="0.4">
      <c r="A449">
        <v>448</v>
      </c>
      <c r="B449">
        <v>1</v>
      </c>
      <c r="C449" t="s">
        <v>919</v>
      </c>
      <c r="D449" t="s">
        <v>13</v>
      </c>
      <c r="E449">
        <v>34</v>
      </c>
      <c r="F449">
        <v>0</v>
      </c>
      <c r="G449">
        <v>0</v>
      </c>
      <c r="H449" t="s">
        <v>920</v>
      </c>
      <c r="I449">
        <v>26.55</v>
      </c>
      <c r="J449" t="s">
        <v>15</v>
      </c>
      <c r="K449" t="s">
        <v>16</v>
      </c>
      <c r="L449">
        <v>1</v>
      </c>
      <c r="R449">
        <f t="shared" si="45"/>
        <v>34</v>
      </c>
      <c r="S449" t="str">
        <f t="shared" si="46"/>
        <v>S</v>
      </c>
      <c r="U449">
        <f t="shared" si="47"/>
        <v>0</v>
      </c>
      <c r="V449">
        <f t="shared" si="51"/>
        <v>1</v>
      </c>
      <c r="W449">
        <f t="shared" si="51"/>
        <v>0</v>
      </c>
      <c r="X449">
        <f t="shared" si="51"/>
        <v>0</v>
      </c>
      <c r="Y449">
        <f t="shared" si="48"/>
        <v>1</v>
      </c>
      <c r="Z449">
        <f t="shared" si="48"/>
        <v>0</v>
      </c>
      <c r="AA449">
        <f t="shared" si="48"/>
        <v>0</v>
      </c>
    </row>
    <row r="450" spans="1:27" x14ac:dyDescent="0.4">
      <c r="A450">
        <v>449</v>
      </c>
      <c r="B450">
        <v>3</v>
      </c>
      <c r="C450" t="s">
        <v>921</v>
      </c>
      <c r="D450" t="s">
        <v>18</v>
      </c>
      <c r="E450">
        <v>5</v>
      </c>
      <c r="F450">
        <v>2</v>
      </c>
      <c r="G450">
        <v>1</v>
      </c>
      <c r="H450" t="s">
        <v>922</v>
      </c>
      <c r="I450">
        <v>19.258299999999998</v>
      </c>
      <c r="J450" t="s">
        <v>15</v>
      </c>
      <c r="K450" t="s">
        <v>21</v>
      </c>
      <c r="L450">
        <v>1</v>
      </c>
      <c r="R450">
        <f t="shared" si="45"/>
        <v>5</v>
      </c>
      <c r="S450" t="str">
        <f t="shared" si="46"/>
        <v>C</v>
      </c>
      <c r="U450">
        <f t="shared" si="47"/>
        <v>1</v>
      </c>
      <c r="V450">
        <f t="shared" si="51"/>
        <v>0</v>
      </c>
      <c r="W450">
        <f t="shared" si="51"/>
        <v>0</v>
      </c>
      <c r="X450">
        <f t="shared" si="51"/>
        <v>1</v>
      </c>
      <c r="Y450">
        <f t="shared" si="48"/>
        <v>0</v>
      </c>
      <c r="Z450">
        <f t="shared" si="48"/>
        <v>0</v>
      </c>
      <c r="AA450">
        <f t="shared" si="48"/>
        <v>1</v>
      </c>
    </row>
    <row r="451" spans="1:27" x14ac:dyDescent="0.4">
      <c r="A451">
        <v>450</v>
      </c>
      <c r="B451">
        <v>1</v>
      </c>
      <c r="C451" t="s">
        <v>923</v>
      </c>
      <c r="D451" t="s">
        <v>13</v>
      </c>
      <c r="E451">
        <v>52</v>
      </c>
      <c r="F451">
        <v>0</v>
      </c>
      <c r="G451">
        <v>0</v>
      </c>
      <c r="H451" t="s">
        <v>924</v>
      </c>
      <c r="I451">
        <v>30.5</v>
      </c>
      <c r="J451" t="s">
        <v>925</v>
      </c>
      <c r="K451" t="s">
        <v>16</v>
      </c>
      <c r="L451">
        <v>1</v>
      </c>
      <c r="R451">
        <f t="shared" ref="R451:R514" si="52">IF(E451&lt;&gt;"",E451,$O$18)</f>
        <v>52</v>
      </c>
      <c r="S451" t="str">
        <f t="shared" ref="S451:S514" si="53">IF(K451&lt;&gt;"",K451,$N$9)</f>
        <v>S</v>
      </c>
      <c r="U451">
        <f t="shared" ref="U451:U514" si="54">IF(D451="male",0,1)</f>
        <v>0</v>
      </c>
      <c r="V451">
        <f t="shared" si="51"/>
        <v>1</v>
      </c>
      <c r="W451">
        <f t="shared" si="51"/>
        <v>0</v>
      </c>
      <c r="X451">
        <f t="shared" si="51"/>
        <v>0</v>
      </c>
      <c r="Y451">
        <f t="shared" ref="Y451:AA514" si="55">IF($S451=RIGHT(Y$1,1),1,0)</f>
        <v>1</v>
      </c>
      <c r="Z451">
        <f t="shared" si="55"/>
        <v>0</v>
      </c>
      <c r="AA451">
        <f t="shared" si="55"/>
        <v>0</v>
      </c>
    </row>
    <row r="452" spans="1:27" x14ac:dyDescent="0.4">
      <c r="A452">
        <v>451</v>
      </c>
      <c r="B452">
        <v>2</v>
      </c>
      <c r="C452" t="s">
        <v>926</v>
      </c>
      <c r="D452" t="s">
        <v>13</v>
      </c>
      <c r="E452">
        <v>36</v>
      </c>
      <c r="F452">
        <v>1</v>
      </c>
      <c r="G452">
        <v>2</v>
      </c>
      <c r="H452" t="s">
        <v>146</v>
      </c>
      <c r="I452">
        <v>27.75</v>
      </c>
      <c r="J452" t="s">
        <v>15</v>
      </c>
      <c r="K452" t="s">
        <v>16</v>
      </c>
      <c r="L452">
        <v>0</v>
      </c>
      <c r="R452">
        <f t="shared" si="52"/>
        <v>36</v>
      </c>
      <c r="S452" t="str">
        <f t="shared" si="53"/>
        <v>S</v>
      </c>
      <c r="U452">
        <f t="shared" si="54"/>
        <v>0</v>
      </c>
      <c r="V452">
        <f t="shared" si="51"/>
        <v>0</v>
      </c>
      <c r="W452">
        <f t="shared" si="51"/>
        <v>1</v>
      </c>
      <c r="X452">
        <f t="shared" si="51"/>
        <v>0</v>
      </c>
      <c r="Y452">
        <f t="shared" si="55"/>
        <v>1</v>
      </c>
      <c r="Z452">
        <f t="shared" si="55"/>
        <v>0</v>
      </c>
      <c r="AA452">
        <f t="shared" si="55"/>
        <v>0</v>
      </c>
    </row>
    <row r="453" spans="1:27" x14ac:dyDescent="0.4">
      <c r="A453">
        <v>452</v>
      </c>
      <c r="B453">
        <v>3</v>
      </c>
      <c r="C453" t="s">
        <v>927</v>
      </c>
      <c r="D453" t="s">
        <v>13</v>
      </c>
      <c r="F453">
        <v>1</v>
      </c>
      <c r="G453">
        <v>0</v>
      </c>
      <c r="H453" t="s">
        <v>928</v>
      </c>
      <c r="I453">
        <v>19.966699999999999</v>
      </c>
      <c r="J453" t="s">
        <v>15</v>
      </c>
      <c r="K453" t="s">
        <v>16</v>
      </c>
      <c r="L453">
        <v>0</v>
      </c>
      <c r="R453">
        <f t="shared" si="52"/>
        <v>28</v>
      </c>
      <c r="S453" t="str">
        <f t="shared" si="53"/>
        <v>S</v>
      </c>
      <c r="U453">
        <f t="shared" si="54"/>
        <v>0</v>
      </c>
      <c r="V453">
        <f t="shared" si="51"/>
        <v>0</v>
      </c>
      <c r="W453">
        <f t="shared" si="51"/>
        <v>0</v>
      </c>
      <c r="X453">
        <f t="shared" si="51"/>
        <v>1</v>
      </c>
      <c r="Y453">
        <f t="shared" si="55"/>
        <v>1</v>
      </c>
      <c r="Z453">
        <f t="shared" si="55"/>
        <v>0</v>
      </c>
      <c r="AA453">
        <f t="shared" si="55"/>
        <v>0</v>
      </c>
    </row>
    <row r="454" spans="1:27" x14ac:dyDescent="0.4">
      <c r="A454">
        <v>453</v>
      </c>
      <c r="B454">
        <v>1</v>
      </c>
      <c r="C454" t="s">
        <v>929</v>
      </c>
      <c r="D454" t="s">
        <v>13</v>
      </c>
      <c r="E454">
        <v>30</v>
      </c>
      <c r="F454">
        <v>0</v>
      </c>
      <c r="G454">
        <v>0</v>
      </c>
      <c r="H454" t="s">
        <v>930</v>
      </c>
      <c r="I454">
        <v>27.75</v>
      </c>
      <c r="J454" t="s">
        <v>931</v>
      </c>
      <c r="K454" t="s">
        <v>21</v>
      </c>
      <c r="L454">
        <v>0</v>
      </c>
      <c r="R454">
        <f t="shared" si="52"/>
        <v>30</v>
      </c>
      <c r="S454" t="str">
        <f t="shared" si="53"/>
        <v>C</v>
      </c>
      <c r="U454">
        <f t="shared" si="54"/>
        <v>0</v>
      </c>
      <c r="V454">
        <f t="shared" si="51"/>
        <v>1</v>
      </c>
      <c r="W454">
        <f t="shared" si="51"/>
        <v>0</v>
      </c>
      <c r="X454">
        <f t="shared" si="51"/>
        <v>0</v>
      </c>
      <c r="Y454">
        <f t="shared" si="55"/>
        <v>0</v>
      </c>
      <c r="Z454">
        <f t="shared" si="55"/>
        <v>0</v>
      </c>
      <c r="AA454">
        <f t="shared" si="55"/>
        <v>1</v>
      </c>
    </row>
    <row r="455" spans="1:27" x14ac:dyDescent="0.4">
      <c r="A455">
        <v>454</v>
      </c>
      <c r="B455">
        <v>1</v>
      </c>
      <c r="C455" t="s">
        <v>932</v>
      </c>
      <c r="D455" t="s">
        <v>13</v>
      </c>
      <c r="E455">
        <v>49</v>
      </c>
      <c r="F455">
        <v>1</v>
      </c>
      <c r="G455">
        <v>0</v>
      </c>
      <c r="H455" t="s">
        <v>933</v>
      </c>
      <c r="I455">
        <v>89.104200000000006</v>
      </c>
      <c r="J455" t="s">
        <v>934</v>
      </c>
      <c r="K455" t="s">
        <v>21</v>
      </c>
      <c r="L455">
        <v>1</v>
      </c>
      <c r="R455">
        <f t="shared" si="52"/>
        <v>49</v>
      </c>
      <c r="S455" t="str">
        <f t="shared" si="53"/>
        <v>C</v>
      </c>
      <c r="U455">
        <f t="shared" si="54"/>
        <v>0</v>
      </c>
      <c r="V455">
        <f t="shared" si="51"/>
        <v>1</v>
      </c>
      <c r="W455">
        <f t="shared" si="51"/>
        <v>0</v>
      </c>
      <c r="X455">
        <f t="shared" si="51"/>
        <v>0</v>
      </c>
      <c r="Y455">
        <f t="shared" si="55"/>
        <v>0</v>
      </c>
      <c r="Z455">
        <f t="shared" si="55"/>
        <v>0</v>
      </c>
      <c r="AA455">
        <f t="shared" si="55"/>
        <v>1</v>
      </c>
    </row>
    <row r="456" spans="1:27" x14ac:dyDescent="0.4">
      <c r="A456">
        <v>455</v>
      </c>
      <c r="B456">
        <v>3</v>
      </c>
      <c r="C456" t="s">
        <v>935</v>
      </c>
      <c r="D456" t="s">
        <v>13</v>
      </c>
      <c r="F456">
        <v>0</v>
      </c>
      <c r="G456">
        <v>0</v>
      </c>
      <c r="H456" t="s">
        <v>936</v>
      </c>
      <c r="I456">
        <v>8.0500000000000007</v>
      </c>
      <c r="J456" t="s">
        <v>15</v>
      </c>
      <c r="K456" t="s">
        <v>16</v>
      </c>
      <c r="L456">
        <v>0</v>
      </c>
      <c r="R456">
        <f t="shared" si="52"/>
        <v>28</v>
      </c>
      <c r="S456" t="str">
        <f t="shared" si="53"/>
        <v>S</v>
      </c>
      <c r="U456">
        <f t="shared" si="54"/>
        <v>0</v>
      </c>
      <c r="V456">
        <f t="shared" si="51"/>
        <v>0</v>
      </c>
      <c r="W456">
        <f t="shared" si="51"/>
        <v>0</v>
      </c>
      <c r="X456">
        <f t="shared" si="51"/>
        <v>1</v>
      </c>
      <c r="Y456">
        <f t="shared" si="55"/>
        <v>1</v>
      </c>
      <c r="Z456">
        <f t="shared" si="55"/>
        <v>0</v>
      </c>
      <c r="AA456">
        <f t="shared" si="55"/>
        <v>0</v>
      </c>
    </row>
    <row r="457" spans="1:27" x14ac:dyDescent="0.4">
      <c r="A457">
        <v>456</v>
      </c>
      <c r="B457">
        <v>3</v>
      </c>
      <c r="C457" t="s">
        <v>937</v>
      </c>
      <c r="D457" t="s">
        <v>13</v>
      </c>
      <c r="E457">
        <v>29</v>
      </c>
      <c r="F457">
        <v>0</v>
      </c>
      <c r="G457">
        <v>0</v>
      </c>
      <c r="H457" t="s">
        <v>938</v>
      </c>
      <c r="I457">
        <v>7.8958000000000004</v>
      </c>
      <c r="J457" t="s">
        <v>15</v>
      </c>
      <c r="K457" t="s">
        <v>21</v>
      </c>
      <c r="L457">
        <v>1</v>
      </c>
      <c r="R457">
        <f t="shared" si="52"/>
        <v>29</v>
      </c>
      <c r="S457" t="str">
        <f t="shared" si="53"/>
        <v>C</v>
      </c>
      <c r="U457">
        <f t="shared" si="54"/>
        <v>0</v>
      </c>
      <c r="V457">
        <f t="shared" si="51"/>
        <v>0</v>
      </c>
      <c r="W457">
        <f t="shared" si="51"/>
        <v>0</v>
      </c>
      <c r="X457">
        <f t="shared" si="51"/>
        <v>1</v>
      </c>
      <c r="Y457">
        <f t="shared" si="55"/>
        <v>0</v>
      </c>
      <c r="Z457">
        <f t="shared" si="55"/>
        <v>0</v>
      </c>
      <c r="AA457">
        <f t="shared" si="55"/>
        <v>1</v>
      </c>
    </row>
    <row r="458" spans="1:27" x14ac:dyDescent="0.4">
      <c r="A458">
        <v>457</v>
      </c>
      <c r="B458">
        <v>1</v>
      </c>
      <c r="C458" t="s">
        <v>939</v>
      </c>
      <c r="D458" t="s">
        <v>13</v>
      </c>
      <c r="E458">
        <v>65</v>
      </c>
      <c r="F458">
        <v>0</v>
      </c>
      <c r="G458">
        <v>0</v>
      </c>
      <c r="H458" t="s">
        <v>940</v>
      </c>
      <c r="I458">
        <v>26.55</v>
      </c>
      <c r="J458" t="s">
        <v>941</v>
      </c>
      <c r="K458" t="s">
        <v>16</v>
      </c>
      <c r="L458">
        <v>0</v>
      </c>
      <c r="R458">
        <f t="shared" si="52"/>
        <v>65</v>
      </c>
      <c r="S458" t="str">
        <f t="shared" si="53"/>
        <v>S</v>
      </c>
      <c r="U458">
        <f t="shared" si="54"/>
        <v>0</v>
      </c>
      <c r="V458">
        <f t="shared" si="51"/>
        <v>1</v>
      </c>
      <c r="W458">
        <f t="shared" si="51"/>
        <v>0</v>
      </c>
      <c r="X458">
        <f t="shared" si="51"/>
        <v>0</v>
      </c>
      <c r="Y458">
        <f t="shared" si="55"/>
        <v>1</v>
      </c>
      <c r="Z458">
        <f t="shared" si="55"/>
        <v>0</v>
      </c>
      <c r="AA458">
        <f t="shared" si="55"/>
        <v>0</v>
      </c>
    </row>
    <row r="459" spans="1:27" x14ac:dyDescent="0.4">
      <c r="A459">
        <v>458</v>
      </c>
      <c r="B459">
        <v>1</v>
      </c>
      <c r="C459" t="s">
        <v>942</v>
      </c>
      <c r="D459" t="s">
        <v>18</v>
      </c>
      <c r="F459">
        <v>1</v>
      </c>
      <c r="G459">
        <v>0</v>
      </c>
      <c r="H459" t="s">
        <v>943</v>
      </c>
      <c r="I459">
        <v>51.862499999999997</v>
      </c>
      <c r="J459" t="s">
        <v>944</v>
      </c>
      <c r="K459" t="s">
        <v>16</v>
      </c>
      <c r="L459">
        <v>1</v>
      </c>
      <c r="R459">
        <f t="shared" si="52"/>
        <v>28</v>
      </c>
      <c r="S459" t="str">
        <f t="shared" si="53"/>
        <v>S</v>
      </c>
      <c r="U459">
        <f t="shared" si="54"/>
        <v>1</v>
      </c>
      <c r="V459">
        <f t="shared" si="51"/>
        <v>1</v>
      </c>
      <c r="W459">
        <f t="shared" si="51"/>
        <v>0</v>
      </c>
      <c r="X459">
        <f t="shared" si="51"/>
        <v>0</v>
      </c>
      <c r="Y459">
        <f t="shared" si="55"/>
        <v>1</v>
      </c>
      <c r="Z459">
        <f t="shared" si="55"/>
        <v>0</v>
      </c>
      <c r="AA459">
        <f t="shared" si="55"/>
        <v>0</v>
      </c>
    </row>
    <row r="460" spans="1:27" x14ac:dyDescent="0.4">
      <c r="A460">
        <v>459</v>
      </c>
      <c r="B460">
        <v>2</v>
      </c>
      <c r="C460" t="s">
        <v>945</v>
      </c>
      <c r="D460" t="s">
        <v>18</v>
      </c>
      <c r="E460">
        <v>50</v>
      </c>
      <c r="F460">
        <v>0</v>
      </c>
      <c r="G460">
        <v>0</v>
      </c>
      <c r="H460" t="s">
        <v>946</v>
      </c>
      <c r="I460">
        <v>10.5</v>
      </c>
      <c r="J460" t="s">
        <v>15</v>
      </c>
      <c r="K460" t="s">
        <v>16</v>
      </c>
      <c r="L460">
        <v>1</v>
      </c>
      <c r="R460">
        <f t="shared" si="52"/>
        <v>50</v>
      </c>
      <c r="S460" t="str">
        <f t="shared" si="53"/>
        <v>S</v>
      </c>
      <c r="U460">
        <f t="shared" si="54"/>
        <v>1</v>
      </c>
      <c r="V460">
        <f t="shared" si="51"/>
        <v>0</v>
      </c>
      <c r="W460">
        <f t="shared" si="51"/>
        <v>1</v>
      </c>
      <c r="X460">
        <f t="shared" si="51"/>
        <v>0</v>
      </c>
      <c r="Y460">
        <f t="shared" si="55"/>
        <v>1</v>
      </c>
      <c r="Z460">
        <f t="shared" si="55"/>
        <v>0</v>
      </c>
      <c r="AA460">
        <f t="shared" si="55"/>
        <v>0</v>
      </c>
    </row>
    <row r="461" spans="1:27" x14ac:dyDescent="0.4">
      <c r="A461">
        <v>460</v>
      </c>
      <c r="B461">
        <v>3</v>
      </c>
      <c r="C461" t="s">
        <v>947</v>
      </c>
      <c r="D461" t="s">
        <v>13</v>
      </c>
      <c r="F461">
        <v>0</v>
      </c>
      <c r="G461">
        <v>0</v>
      </c>
      <c r="H461" t="s">
        <v>948</v>
      </c>
      <c r="I461">
        <v>7.75</v>
      </c>
      <c r="J461" t="s">
        <v>15</v>
      </c>
      <c r="K461" t="s">
        <v>31</v>
      </c>
      <c r="L461">
        <v>0</v>
      </c>
      <c r="R461">
        <f t="shared" si="52"/>
        <v>28</v>
      </c>
      <c r="S461" t="str">
        <f t="shared" si="53"/>
        <v>Q</v>
      </c>
      <c r="U461">
        <f t="shared" si="54"/>
        <v>0</v>
      </c>
      <c r="V461">
        <f t="shared" si="51"/>
        <v>0</v>
      </c>
      <c r="W461">
        <f t="shared" si="51"/>
        <v>0</v>
      </c>
      <c r="X461">
        <f t="shared" si="51"/>
        <v>1</v>
      </c>
      <c r="Y461">
        <f t="shared" si="55"/>
        <v>0</v>
      </c>
      <c r="Z461">
        <f t="shared" si="55"/>
        <v>1</v>
      </c>
      <c r="AA461">
        <f t="shared" si="55"/>
        <v>0</v>
      </c>
    </row>
    <row r="462" spans="1:27" x14ac:dyDescent="0.4">
      <c r="A462">
        <v>461</v>
      </c>
      <c r="B462">
        <v>1</v>
      </c>
      <c r="C462" t="s">
        <v>949</v>
      </c>
      <c r="D462" t="s">
        <v>13</v>
      </c>
      <c r="E462">
        <v>48</v>
      </c>
      <c r="F462">
        <v>0</v>
      </c>
      <c r="G462">
        <v>0</v>
      </c>
      <c r="H462" t="s">
        <v>950</v>
      </c>
      <c r="I462">
        <v>26.55</v>
      </c>
      <c r="J462" t="s">
        <v>951</v>
      </c>
      <c r="K462" t="s">
        <v>16</v>
      </c>
      <c r="L462">
        <v>1</v>
      </c>
      <c r="R462">
        <f t="shared" si="52"/>
        <v>48</v>
      </c>
      <c r="S462" t="str">
        <f t="shared" si="53"/>
        <v>S</v>
      </c>
      <c r="U462">
        <f t="shared" si="54"/>
        <v>0</v>
      </c>
      <c r="V462">
        <f t="shared" ref="V462:X481" si="56">IF("Pclass_"&amp;$B462=V$1,1,0)</f>
        <v>1</v>
      </c>
      <c r="W462">
        <f t="shared" si="56"/>
        <v>0</v>
      </c>
      <c r="X462">
        <f t="shared" si="56"/>
        <v>0</v>
      </c>
      <c r="Y462">
        <f t="shared" si="55"/>
        <v>1</v>
      </c>
      <c r="Z462">
        <f t="shared" si="55"/>
        <v>0</v>
      </c>
      <c r="AA462">
        <f t="shared" si="55"/>
        <v>0</v>
      </c>
    </row>
    <row r="463" spans="1:27" x14ac:dyDescent="0.4">
      <c r="A463">
        <v>462</v>
      </c>
      <c r="B463">
        <v>3</v>
      </c>
      <c r="C463" t="s">
        <v>952</v>
      </c>
      <c r="D463" t="s">
        <v>13</v>
      </c>
      <c r="E463">
        <v>34</v>
      </c>
      <c r="F463">
        <v>0</v>
      </c>
      <c r="G463">
        <v>0</v>
      </c>
      <c r="H463" t="s">
        <v>953</v>
      </c>
      <c r="I463">
        <v>8.0500000000000007</v>
      </c>
      <c r="J463" t="s">
        <v>15</v>
      </c>
      <c r="K463" t="s">
        <v>16</v>
      </c>
      <c r="L463">
        <v>0</v>
      </c>
      <c r="R463">
        <f t="shared" si="52"/>
        <v>34</v>
      </c>
      <c r="S463" t="str">
        <f t="shared" si="53"/>
        <v>S</v>
      </c>
      <c r="U463">
        <f t="shared" si="54"/>
        <v>0</v>
      </c>
      <c r="V463">
        <f t="shared" si="56"/>
        <v>0</v>
      </c>
      <c r="W463">
        <f t="shared" si="56"/>
        <v>0</v>
      </c>
      <c r="X463">
        <f t="shared" si="56"/>
        <v>1</v>
      </c>
      <c r="Y463">
        <f t="shared" si="55"/>
        <v>1</v>
      </c>
      <c r="Z463">
        <f t="shared" si="55"/>
        <v>0</v>
      </c>
      <c r="AA463">
        <f t="shared" si="55"/>
        <v>0</v>
      </c>
    </row>
    <row r="464" spans="1:27" x14ac:dyDescent="0.4">
      <c r="A464">
        <v>463</v>
      </c>
      <c r="B464">
        <v>1</v>
      </c>
      <c r="C464" t="s">
        <v>954</v>
      </c>
      <c r="D464" t="s">
        <v>13</v>
      </c>
      <c r="E464">
        <v>47</v>
      </c>
      <c r="F464">
        <v>0</v>
      </c>
      <c r="G464">
        <v>0</v>
      </c>
      <c r="H464" t="s">
        <v>955</v>
      </c>
      <c r="I464">
        <v>38.5</v>
      </c>
      <c r="J464" t="s">
        <v>956</v>
      </c>
      <c r="K464" t="s">
        <v>16</v>
      </c>
      <c r="L464">
        <v>0</v>
      </c>
      <c r="R464">
        <f t="shared" si="52"/>
        <v>47</v>
      </c>
      <c r="S464" t="str">
        <f t="shared" si="53"/>
        <v>S</v>
      </c>
      <c r="U464">
        <f t="shared" si="54"/>
        <v>0</v>
      </c>
      <c r="V464">
        <f t="shared" si="56"/>
        <v>1</v>
      </c>
      <c r="W464">
        <f t="shared" si="56"/>
        <v>0</v>
      </c>
      <c r="X464">
        <f t="shared" si="56"/>
        <v>0</v>
      </c>
      <c r="Y464">
        <f t="shared" si="55"/>
        <v>1</v>
      </c>
      <c r="Z464">
        <f t="shared" si="55"/>
        <v>0</v>
      </c>
      <c r="AA464">
        <f t="shared" si="55"/>
        <v>0</v>
      </c>
    </row>
    <row r="465" spans="1:27" x14ac:dyDescent="0.4">
      <c r="A465">
        <v>464</v>
      </c>
      <c r="B465">
        <v>2</v>
      </c>
      <c r="C465" t="s">
        <v>957</v>
      </c>
      <c r="D465" t="s">
        <v>13</v>
      </c>
      <c r="E465">
        <v>48</v>
      </c>
      <c r="F465">
        <v>0</v>
      </c>
      <c r="G465">
        <v>0</v>
      </c>
      <c r="H465" t="s">
        <v>958</v>
      </c>
      <c r="I465">
        <v>13</v>
      </c>
      <c r="J465" t="s">
        <v>15</v>
      </c>
      <c r="K465" t="s">
        <v>16</v>
      </c>
      <c r="L465">
        <v>0</v>
      </c>
      <c r="R465">
        <f t="shared" si="52"/>
        <v>48</v>
      </c>
      <c r="S465" t="str">
        <f t="shared" si="53"/>
        <v>S</v>
      </c>
      <c r="U465">
        <f t="shared" si="54"/>
        <v>0</v>
      </c>
      <c r="V465">
        <f t="shared" si="56"/>
        <v>0</v>
      </c>
      <c r="W465">
        <f t="shared" si="56"/>
        <v>1</v>
      </c>
      <c r="X465">
        <f t="shared" si="56"/>
        <v>0</v>
      </c>
      <c r="Y465">
        <f t="shared" si="55"/>
        <v>1</v>
      </c>
      <c r="Z465">
        <f t="shared" si="55"/>
        <v>0</v>
      </c>
      <c r="AA465">
        <f t="shared" si="55"/>
        <v>0</v>
      </c>
    </row>
    <row r="466" spans="1:27" x14ac:dyDescent="0.4">
      <c r="A466">
        <v>465</v>
      </c>
      <c r="B466">
        <v>3</v>
      </c>
      <c r="C466" t="s">
        <v>959</v>
      </c>
      <c r="D466" t="s">
        <v>13</v>
      </c>
      <c r="F466">
        <v>0</v>
      </c>
      <c r="G466">
        <v>0</v>
      </c>
      <c r="H466" t="s">
        <v>960</v>
      </c>
      <c r="I466">
        <v>8.0500000000000007</v>
      </c>
      <c r="J466" t="s">
        <v>15</v>
      </c>
      <c r="K466" t="s">
        <v>16</v>
      </c>
      <c r="L466">
        <v>0</v>
      </c>
      <c r="R466">
        <f t="shared" si="52"/>
        <v>28</v>
      </c>
      <c r="S466" t="str">
        <f t="shared" si="53"/>
        <v>S</v>
      </c>
      <c r="U466">
        <f t="shared" si="54"/>
        <v>0</v>
      </c>
      <c r="V466">
        <f t="shared" si="56"/>
        <v>0</v>
      </c>
      <c r="W466">
        <f t="shared" si="56"/>
        <v>0</v>
      </c>
      <c r="X466">
        <f t="shared" si="56"/>
        <v>1</v>
      </c>
      <c r="Y466">
        <f t="shared" si="55"/>
        <v>1</v>
      </c>
      <c r="Z466">
        <f t="shared" si="55"/>
        <v>0</v>
      </c>
      <c r="AA466">
        <f t="shared" si="55"/>
        <v>0</v>
      </c>
    </row>
    <row r="467" spans="1:27" x14ac:dyDescent="0.4">
      <c r="A467">
        <v>466</v>
      </c>
      <c r="B467">
        <v>3</v>
      </c>
      <c r="C467" t="s">
        <v>961</v>
      </c>
      <c r="D467" t="s">
        <v>13</v>
      </c>
      <c r="E467">
        <v>38</v>
      </c>
      <c r="F467">
        <v>0</v>
      </c>
      <c r="G467">
        <v>0</v>
      </c>
      <c r="H467" t="s">
        <v>962</v>
      </c>
      <c r="I467">
        <v>7.05</v>
      </c>
      <c r="J467" t="s">
        <v>15</v>
      </c>
      <c r="K467" t="s">
        <v>16</v>
      </c>
      <c r="L467">
        <v>0</v>
      </c>
      <c r="R467">
        <f t="shared" si="52"/>
        <v>38</v>
      </c>
      <c r="S467" t="str">
        <f t="shared" si="53"/>
        <v>S</v>
      </c>
      <c r="U467">
        <f t="shared" si="54"/>
        <v>0</v>
      </c>
      <c r="V467">
        <f t="shared" si="56"/>
        <v>0</v>
      </c>
      <c r="W467">
        <f t="shared" si="56"/>
        <v>0</v>
      </c>
      <c r="X467">
        <f t="shared" si="56"/>
        <v>1</v>
      </c>
      <c r="Y467">
        <f t="shared" si="55"/>
        <v>1</v>
      </c>
      <c r="Z467">
        <f t="shared" si="55"/>
        <v>0</v>
      </c>
      <c r="AA467">
        <f t="shared" si="55"/>
        <v>0</v>
      </c>
    </row>
    <row r="468" spans="1:27" x14ac:dyDescent="0.4">
      <c r="A468">
        <v>467</v>
      </c>
      <c r="B468">
        <v>2</v>
      </c>
      <c r="C468" t="s">
        <v>963</v>
      </c>
      <c r="D468" t="s">
        <v>13</v>
      </c>
      <c r="F468">
        <v>0</v>
      </c>
      <c r="G468">
        <v>0</v>
      </c>
      <c r="H468" t="s">
        <v>593</v>
      </c>
      <c r="I468">
        <v>0</v>
      </c>
      <c r="J468" t="s">
        <v>15</v>
      </c>
      <c r="K468" t="s">
        <v>16</v>
      </c>
      <c r="L468">
        <v>0</v>
      </c>
      <c r="R468">
        <f t="shared" si="52"/>
        <v>28</v>
      </c>
      <c r="S468" t="str">
        <f t="shared" si="53"/>
        <v>S</v>
      </c>
      <c r="U468">
        <f t="shared" si="54"/>
        <v>0</v>
      </c>
      <c r="V468">
        <f t="shared" si="56"/>
        <v>0</v>
      </c>
      <c r="W468">
        <f t="shared" si="56"/>
        <v>1</v>
      </c>
      <c r="X468">
        <f t="shared" si="56"/>
        <v>0</v>
      </c>
      <c r="Y468">
        <f t="shared" si="55"/>
        <v>1</v>
      </c>
      <c r="Z468">
        <f t="shared" si="55"/>
        <v>0</v>
      </c>
      <c r="AA468">
        <f t="shared" si="55"/>
        <v>0</v>
      </c>
    </row>
    <row r="469" spans="1:27" x14ac:dyDescent="0.4">
      <c r="A469">
        <v>468</v>
      </c>
      <c r="B469">
        <v>1</v>
      </c>
      <c r="C469" t="s">
        <v>964</v>
      </c>
      <c r="D469" t="s">
        <v>13</v>
      </c>
      <c r="E469">
        <v>56</v>
      </c>
      <c r="F469">
        <v>0</v>
      </c>
      <c r="G469">
        <v>0</v>
      </c>
      <c r="H469" t="s">
        <v>965</v>
      </c>
      <c r="I469">
        <v>26.55</v>
      </c>
      <c r="J469" t="s">
        <v>15</v>
      </c>
      <c r="K469" t="s">
        <v>16</v>
      </c>
      <c r="L469">
        <v>0</v>
      </c>
      <c r="R469">
        <f t="shared" si="52"/>
        <v>56</v>
      </c>
      <c r="S469" t="str">
        <f t="shared" si="53"/>
        <v>S</v>
      </c>
      <c r="U469">
        <f t="shared" si="54"/>
        <v>0</v>
      </c>
      <c r="V469">
        <f t="shared" si="56"/>
        <v>1</v>
      </c>
      <c r="W469">
        <f t="shared" si="56"/>
        <v>0</v>
      </c>
      <c r="X469">
        <f t="shared" si="56"/>
        <v>0</v>
      </c>
      <c r="Y469">
        <f t="shared" si="55"/>
        <v>1</v>
      </c>
      <c r="Z469">
        <f t="shared" si="55"/>
        <v>0</v>
      </c>
      <c r="AA469">
        <f t="shared" si="55"/>
        <v>0</v>
      </c>
    </row>
    <row r="470" spans="1:27" x14ac:dyDescent="0.4">
      <c r="A470">
        <v>469</v>
      </c>
      <c r="B470">
        <v>3</v>
      </c>
      <c r="C470" t="s">
        <v>966</v>
      </c>
      <c r="D470" t="s">
        <v>13</v>
      </c>
      <c r="F470">
        <v>0</v>
      </c>
      <c r="G470">
        <v>0</v>
      </c>
      <c r="H470" t="s">
        <v>967</v>
      </c>
      <c r="I470">
        <v>7.7249999999999996</v>
      </c>
      <c r="J470" t="s">
        <v>15</v>
      </c>
      <c r="K470" t="s">
        <v>31</v>
      </c>
      <c r="L470">
        <v>0</v>
      </c>
      <c r="R470">
        <f t="shared" si="52"/>
        <v>28</v>
      </c>
      <c r="S470" t="str">
        <f t="shared" si="53"/>
        <v>Q</v>
      </c>
      <c r="U470">
        <f t="shared" si="54"/>
        <v>0</v>
      </c>
      <c r="V470">
        <f t="shared" si="56"/>
        <v>0</v>
      </c>
      <c r="W470">
        <f t="shared" si="56"/>
        <v>0</v>
      </c>
      <c r="X470">
        <f t="shared" si="56"/>
        <v>1</v>
      </c>
      <c r="Y470">
        <f t="shared" si="55"/>
        <v>0</v>
      </c>
      <c r="Z470">
        <f t="shared" si="55"/>
        <v>1</v>
      </c>
      <c r="AA470">
        <f t="shared" si="55"/>
        <v>0</v>
      </c>
    </row>
    <row r="471" spans="1:27" x14ac:dyDescent="0.4">
      <c r="A471">
        <v>470</v>
      </c>
      <c r="B471">
        <v>3</v>
      </c>
      <c r="C471" t="s">
        <v>968</v>
      </c>
      <c r="D471" t="s">
        <v>18</v>
      </c>
      <c r="E471">
        <v>0.75</v>
      </c>
      <c r="F471">
        <v>2</v>
      </c>
      <c r="G471">
        <v>1</v>
      </c>
      <c r="H471" t="s">
        <v>922</v>
      </c>
      <c r="I471">
        <v>19.258299999999998</v>
      </c>
      <c r="J471" t="s">
        <v>15</v>
      </c>
      <c r="K471" t="s">
        <v>21</v>
      </c>
      <c r="L471">
        <v>1</v>
      </c>
      <c r="R471">
        <f t="shared" si="52"/>
        <v>0.75</v>
      </c>
      <c r="S471" t="str">
        <f t="shared" si="53"/>
        <v>C</v>
      </c>
      <c r="U471">
        <f t="shared" si="54"/>
        <v>1</v>
      </c>
      <c r="V471">
        <f t="shared" si="56"/>
        <v>0</v>
      </c>
      <c r="W471">
        <f t="shared" si="56"/>
        <v>0</v>
      </c>
      <c r="X471">
        <f t="shared" si="56"/>
        <v>1</v>
      </c>
      <c r="Y471">
        <f t="shared" si="55"/>
        <v>0</v>
      </c>
      <c r="Z471">
        <f t="shared" si="55"/>
        <v>0</v>
      </c>
      <c r="AA471">
        <f t="shared" si="55"/>
        <v>1</v>
      </c>
    </row>
    <row r="472" spans="1:27" x14ac:dyDescent="0.4">
      <c r="A472">
        <v>471</v>
      </c>
      <c r="B472">
        <v>3</v>
      </c>
      <c r="C472" t="s">
        <v>969</v>
      </c>
      <c r="D472" t="s">
        <v>13</v>
      </c>
      <c r="F472">
        <v>0</v>
      </c>
      <c r="G472">
        <v>0</v>
      </c>
      <c r="H472" t="s">
        <v>970</v>
      </c>
      <c r="I472">
        <v>7.25</v>
      </c>
      <c r="J472" t="s">
        <v>15</v>
      </c>
      <c r="K472" t="s">
        <v>16</v>
      </c>
      <c r="L472">
        <v>0</v>
      </c>
      <c r="R472">
        <f t="shared" si="52"/>
        <v>28</v>
      </c>
      <c r="S472" t="str">
        <f t="shared" si="53"/>
        <v>S</v>
      </c>
      <c r="U472">
        <f t="shared" si="54"/>
        <v>0</v>
      </c>
      <c r="V472">
        <f t="shared" si="56"/>
        <v>0</v>
      </c>
      <c r="W472">
        <f t="shared" si="56"/>
        <v>0</v>
      </c>
      <c r="X472">
        <f t="shared" si="56"/>
        <v>1</v>
      </c>
      <c r="Y472">
        <f t="shared" si="55"/>
        <v>1</v>
      </c>
      <c r="Z472">
        <f t="shared" si="55"/>
        <v>0</v>
      </c>
      <c r="AA472">
        <f t="shared" si="55"/>
        <v>0</v>
      </c>
    </row>
    <row r="473" spans="1:27" x14ac:dyDescent="0.4">
      <c r="A473">
        <v>472</v>
      </c>
      <c r="B473">
        <v>3</v>
      </c>
      <c r="C473" t="s">
        <v>971</v>
      </c>
      <c r="D473" t="s">
        <v>13</v>
      </c>
      <c r="E473">
        <v>38</v>
      </c>
      <c r="F473">
        <v>0</v>
      </c>
      <c r="G473">
        <v>0</v>
      </c>
      <c r="H473" t="s">
        <v>972</v>
      </c>
      <c r="I473">
        <v>8.6624999999999996</v>
      </c>
      <c r="J473" t="s">
        <v>15</v>
      </c>
      <c r="K473" t="s">
        <v>16</v>
      </c>
      <c r="L473">
        <v>0</v>
      </c>
      <c r="R473">
        <f t="shared" si="52"/>
        <v>38</v>
      </c>
      <c r="S473" t="str">
        <f t="shared" si="53"/>
        <v>S</v>
      </c>
      <c r="U473">
        <f t="shared" si="54"/>
        <v>0</v>
      </c>
      <c r="V473">
        <f t="shared" si="56"/>
        <v>0</v>
      </c>
      <c r="W473">
        <f t="shared" si="56"/>
        <v>0</v>
      </c>
      <c r="X473">
        <f t="shared" si="56"/>
        <v>1</v>
      </c>
      <c r="Y473">
        <f t="shared" si="55"/>
        <v>1</v>
      </c>
      <c r="Z473">
        <f t="shared" si="55"/>
        <v>0</v>
      </c>
      <c r="AA473">
        <f t="shared" si="55"/>
        <v>0</v>
      </c>
    </row>
    <row r="474" spans="1:27" x14ac:dyDescent="0.4">
      <c r="A474">
        <v>473</v>
      </c>
      <c r="B474">
        <v>2</v>
      </c>
      <c r="C474" t="s">
        <v>973</v>
      </c>
      <c r="D474" t="s">
        <v>18</v>
      </c>
      <c r="E474">
        <v>33</v>
      </c>
      <c r="F474">
        <v>1</v>
      </c>
      <c r="G474">
        <v>2</v>
      </c>
      <c r="H474" t="s">
        <v>146</v>
      </c>
      <c r="I474">
        <v>27.75</v>
      </c>
      <c r="J474" t="s">
        <v>15</v>
      </c>
      <c r="K474" t="s">
        <v>16</v>
      </c>
      <c r="L474">
        <v>1</v>
      </c>
      <c r="R474">
        <f t="shared" si="52"/>
        <v>33</v>
      </c>
      <c r="S474" t="str">
        <f t="shared" si="53"/>
        <v>S</v>
      </c>
      <c r="U474">
        <f t="shared" si="54"/>
        <v>1</v>
      </c>
      <c r="V474">
        <f t="shared" si="56"/>
        <v>0</v>
      </c>
      <c r="W474">
        <f t="shared" si="56"/>
        <v>1</v>
      </c>
      <c r="X474">
        <f t="shared" si="56"/>
        <v>0</v>
      </c>
      <c r="Y474">
        <f t="shared" si="55"/>
        <v>1</v>
      </c>
      <c r="Z474">
        <f t="shared" si="55"/>
        <v>0</v>
      </c>
      <c r="AA474">
        <f t="shared" si="55"/>
        <v>0</v>
      </c>
    </row>
    <row r="475" spans="1:27" x14ac:dyDescent="0.4">
      <c r="A475">
        <v>474</v>
      </c>
      <c r="B475">
        <v>2</v>
      </c>
      <c r="C475" t="s">
        <v>974</v>
      </c>
      <c r="D475" t="s">
        <v>18</v>
      </c>
      <c r="E475">
        <v>23</v>
      </c>
      <c r="F475">
        <v>0</v>
      </c>
      <c r="G475">
        <v>0</v>
      </c>
      <c r="H475" t="s">
        <v>975</v>
      </c>
      <c r="I475">
        <v>13.791700000000001</v>
      </c>
      <c r="J475" t="s">
        <v>625</v>
      </c>
      <c r="K475" t="s">
        <v>21</v>
      </c>
      <c r="L475">
        <v>1</v>
      </c>
      <c r="R475">
        <f t="shared" si="52"/>
        <v>23</v>
      </c>
      <c r="S475" t="str">
        <f t="shared" si="53"/>
        <v>C</v>
      </c>
      <c r="U475">
        <f t="shared" si="54"/>
        <v>1</v>
      </c>
      <c r="V475">
        <f t="shared" si="56"/>
        <v>0</v>
      </c>
      <c r="W475">
        <f t="shared" si="56"/>
        <v>1</v>
      </c>
      <c r="X475">
        <f t="shared" si="56"/>
        <v>0</v>
      </c>
      <c r="Y475">
        <f t="shared" si="55"/>
        <v>0</v>
      </c>
      <c r="Z475">
        <f t="shared" si="55"/>
        <v>0</v>
      </c>
      <c r="AA475">
        <f t="shared" si="55"/>
        <v>1</v>
      </c>
    </row>
    <row r="476" spans="1:27" x14ac:dyDescent="0.4">
      <c r="A476">
        <v>475</v>
      </c>
      <c r="B476">
        <v>3</v>
      </c>
      <c r="C476" t="s">
        <v>976</v>
      </c>
      <c r="D476" t="s">
        <v>18</v>
      </c>
      <c r="E476">
        <v>22</v>
      </c>
      <c r="F476">
        <v>0</v>
      </c>
      <c r="G476">
        <v>0</v>
      </c>
      <c r="H476" t="s">
        <v>977</v>
      </c>
      <c r="I476">
        <v>9.8375000000000004</v>
      </c>
      <c r="J476" t="s">
        <v>15</v>
      </c>
      <c r="K476" t="s">
        <v>16</v>
      </c>
      <c r="L476">
        <v>0</v>
      </c>
      <c r="R476">
        <f t="shared" si="52"/>
        <v>22</v>
      </c>
      <c r="S476" t="str">
        <f t="shared" si="53"/>
        <v>S</v>
      </c>
      <c r="U476">
        <f t="shared" si="54"/>
        <v>1</v>
      </c>
      <c r="V476">
        <f t="shared" si="56"/>
        <v>0</v>
      </c>
      <c r="W476">
        <f t="shared" si="56"/>
        <v>0</v>
      </c>
      <c r="X476">
        <f t="shared" si="56"/>
        <v>1</v>
      </c>
      <c r="Y476">
        <f t="shared" si="55"/>
        <v>1</v>
      </c>
      <c r="Z476">
        <f t="shared" si="55"/>
        <v>0</v>
      </c>
      <c r="AA476">
        <f t="shared" si="55"/>
        <v>0</v>
      </c>
    </row>
    <row r="477" spans="1:27" x14ac:dyDescent="0.4">
      <c r="A477">
        <v>476</v>
      </c>
      <c r="B477">
        <v>1</v>
      </c>
      <c r="C477" t="s">
        <v>978</v>
      </c>
      <c r="D477" t="s">
        <v>13</v>
      </c>
      <c r="F477">
        <v>0</v>
      </c>
      <c r="G477">
        <v>0</v>
      </c>
      <c r="H477" t="s">
        <v>256</v>
      </c>
      <c r="I477">
        <v>52</v>
      </c>
      <c r="J477" t="s">
        <v>979</v>
      </c>
      <c r="K477" t="s">
        <v>16</v>
      </c>
      <c r="L477">
        <v>0</v>
      </c>
      <c r="R477">
        <f t="shared" si="52"/>
        <v>28</v>
      </c>
      <c r="S477" t="str">
        <f t="shared" si="53"/>
        <v>S</v>
      </c>
      <c r="U477">
        <f t="shared" si="54"/>
        <v>0</v>
      </c>
      <c r="V477">
        <f t="shared" si="56"/>
        <v>1</v>
      </c>
      <c r="W477">
        <f t="shared" si="56"/>
        <v>0</v>
      </c>
      <c r="X477">
        <f t="shared" si="56"/>
        <v>0</v>
      </c>
      <c r="Y477">
        <f t="shared" si="55"/>
        <v>1</v>
      </c>
      <c r="Z477">
        <f t="shared" si="55"/>
        <v>0</v>
      </c>
      <c r="AA477">
        <f t="shared" si="55"/>
        <v>0</v>
      </c>
    </row>
    <row r="478" spans="1:27" x14ac:dyDescent="0.4">
      <c r="A478">
        <v>477</v>
      </c>
      <c r="B478">
        <v>2</v>
      </c>
      <c r="C478" t="s">
        <v>980</v>
      </c>
      <c r="D478" t="s">
        <v>13</v>
      </c>
      <c r="E478">
        <v>34</v>
      </c>
      <c r="F478">
        <v>1</v>
      </c>
      <c r="G478">
        <v>0</v>
      </c>
      <c r="H478" t="s">
        <v>981</v>
      </c>
      <c r="I478">
        <v>21</v>
      </c>
      <c r="J478" t="s">
        <v>15</v>
      </c>
      <c r="K478" t="s">
        <v>16</v>
      </c>
      <c r="L478">
        <v>0</v>
      </c>
      <c r="R478">
        <f t="shared" si="52"/>
        <v>34</v>
      </c>
      <c r="S478" t="str">
        <f t="shared" si="53"/>
        <v>S</v>
      </c>
      <c r="U478">
        <f t="shared" si="54"/>
        <v>0</v>
      </c>
      <c r="V478">
        <f t="shared" si="56"/>
        <v>0</v>
      </c>
      <c r="W478">
        <f t="shared" si="56"/>
        <v>1</v>
      </c>
      <c r="X478">
        <f t="shared" si="56"/>
        <v>0</v>
      </c>
      <c r="Y478">
        <f t="shared" si="55"/>
        <v>1</v>
      </c>
      <c r="Z478">
        <f t="shared" si="55"/>
        <v>0</v>
      </c>
      <c r="AA478">
        <f t="shared" si="55"/>
        <v>0</v>
      </c>
    </row>
    <row r="479" spans="1:27" x14ac:dyDescent="0.4">
      <c r="A479">
        <v>478</v>
      </c>
      <c r="B479">
        <v>3</v>
      </c>
      <c r="C479" t="s">
        <v>982</v>
      </c>
      <c r="D479" t="s">
        <v>13</v>
      </c>
      <c r="E479">
        <v>29</v>
      </c>
      <c r="F479">
        <v>1</v>
      </c>
      <c r="G479">
        <v>0</v>
      </c>
      <c r="H479" t="s">
        <v>983</v>
      </c>
      <c r="I479">
        <v>7.0457999999999998</v>
      </c>
      <c r="J479" t="s">
        <v>15</v>
      </c>
      <c r="K479" t="s">
        <v>16</v>
      </c>
      <c r="L479">
        <v>0</v>
      </c>
      <c r="R479">
        <f t="shared" si="52"/>
        <v>29</v>
      </c>
      <c r="S479" t="str">
        <f t="shared" si="53"/>
        <v>S</v>
      </c>
      <c r="U479">
        <f t="shared" si="54"/>
        <v>0</v>
      </c>
      <c r="V479">
        <f t="shared" si="56"/>
        <v>0</v>
      </c>
      <c r="W479">
        <f t="shared" si="56"/>
        <v>0</v>
      </c>
      <c r="X479">
        <f t="shared" si="56"/>
        <v>1</v>
      </c>
      <c r="Y479">
        <f t="shared" si="55"/>
        <v>1</v>
      </c>
      <c r="Z479">
        <f t="shared" si="55"/>
        <v>0</v>
      </c>
      <c r="AA479">
        <f t="shared" si="55"/>
        <v>0</v>
      </c>
    </row>
    <row r="480" spans="1:27" x14ac:dyDescent="0.4">
      <c r="A480">
        <v>479</v>
      </c>
      <c r="B480">
        <v>3</v>
      </c>
      <c r="C480" t="s">
        <v>984</v>
      </c>
      <c r="D480" t="s">
        <v>13</v>
      </c>
      <c r="E480">
        <v>22</v>
      </c>
      <c r="F480">
        <v>0</v>
      </c>
      <c r="G480">
        <v>0</v>
      </c>
      <c r="H480" t="s">
        <v>985</v>
      </c>
      <c r="I480">
        <v>7.5208000000000004</v>
      </c>
      <c r="J480" t="s">
        <v>15</v>
      </c>
      <c r="K480" t="s">
        <v>16</v>
      </c>
      <c r="L480">
        <v>0</v>
      </c>
      <c r="R480">
        <f t="shared" si="52"/>
        <v>22</v>
      </c>
      <c r="S480" t="str">
        <f t="shared" si="53"/>
        <v>S</v>
      </c>
      <c r="U480">
        <f t="shared" si="54"/>
        <v>0</v>
      </c>
      <c r="V480">
        <f t="shared" si="56"/>
        <v>0</v>
      </c>
      <c r="W480">
        <f t="shared" si="56"/>
        <v>0</v>
      </c>
      <c r="X480">
        <f t="shared" si="56"/>
        <v>1</v>
      </c>
      <c r="Y480">
        <f t="shared" si="55"/>
        <v>1</v>
      </c>
      <c r="Z480">
        <f t="shared" si="55"/>
        <v>0</v>
      </c>
      <c r="AA480">
        <f t="shared" si="55"/>
        <v>0</v>
      </c>
    </row>
    <row r="481" spans="1:27" x14ac:dyDescent="0.4">
      <c r="A481">
        <v>480</v>
      </c>
      <c r="B481">
        <v>3</v>
      </c>
      <c r="C481" t="s">
        <v>986</v>
      </c>
      <c r="D481" t="s">
        <v>18</v>
      </c>
      <c r="E481">
        <v>2</v>
      </c>
      <c r="F481">
        <v>0</v>
      </c>
      <c r="G481">
        <v>1</v>
      </c>
      <c r="H481" t="s">
        <v>987</v>
      </c>
      <c r="I481">
        <v>12.2875</v>
      </c>
      <c r="J481" t="s">
        <v>15</v>
      </c>
      <c r="K481" t="s">
        <v>16</v>
      </c>
      <c r="L481">
        <v>1</v>
      </c>
      <c r="R481">
        <f t="shared" si="52"/>
        <v>2</v>
      </c>
      <c r="S481" t="str">
        <f t="shared" si="53"/>
        <v>S</v>
      </c>
      <c r="U481">
        <f t="shared" si="54"/>
        <v>1</v>
      </c>
      <c r="V481">
        <f t="shared" si="56"/>
        <v>0</v>
      </c>
      <c r="W481">
        <f t="shared" si="56"/>
        <v>0</v>
      </c>
      <c r="X481">
        <f t="shared" si="56"/>
        <v>1</v>
      </c>
      <c r="Y481">
        <f t="shared" si="55"/>
        <v>1</v>
      </c>
      <c r="Z481">
        <f t="shared" si="55"/>
        <v>0</v>
      </c>
      <c r="AA481">
        <f t="shared" si="55"/>
        <v>0</v>
      </c>
    </row>
    <row r="482" spans="1:27" x14ac:dyDescent="0.4">
      <c r="A482">
        <v>481</v>
      </c>
      <c r="B482">
        <v>3</v>
      </c>
      <c r="C482" t="s">
        <v>988</v>
      </c>
      <c r="D482" t="s">
        <v>13</v>
      </c>
      <c r="E482">
        <v>9</v>
      </c>
      <c r="F482">
        <v>5</v>
      </c>
      <c r="G482">
        <v>2</v>
      </c>
      <c r="H482" t="s">
        <v>148</v>
      </c>
      <c r="I482">
        <v>46.9</v>
      </c>
      <c r="J482" t="s">
        <v>15</v>
      </c>
      <c r="K482" t="s">
        <v>16</v>
      </c>
      <c r="L482">
        <v>0</v>
      </c>
      <c r="R482">
        <f t="shared" si="52"/>
        <v>9</v>
      </c>
      <c r="S482" t="str">
        <f t="shared" si="53"/>
        <v>S</v>
      </c>
      <c r="U482">
        <f t="shared" si="54"/>
        <v>0</v>
      </c>
      <c r="V482">
        <f t="shared" ref="V482:X501" si="57">IF("Pclass_"&amp;$B482=V$1,1,0)</f>
        <v>0</v>
      </c>
      <c r="W482">
        <f t="shared" si="57"/>
        <v>0</v>
      </c>
      <c r="X482">
        <f t="shared" si="57"/>
        <v>1</v>
      </c>
      <c r="Y482">
        <f t="shared" si="55"/>
        <v>1</v>
      </c>
      <c r="Z482">
        <f t="shared" si="55"/>
        <v>0</v>
      </c>
      <c r="AA482">
        <f t="shared" si="55"/>
        <v>0</v>
      </c>
    </row>
    <row r="483" spans="1:27" x14ac:dyDescent="0.4">
      <c r="A483">
        <v>482</v>
      </c>
      <c r="B483">
        <v>2</v>
      </c>
      <c r="C483" t="s">
        <v>989</v>
      </c>
      <c r="D483" t="s">
        <v>13</v>
      </c>
      <c r="F483">
        <v>0</v>
      </c>
      <c r="G483">
        <v>0</v>
      </c>
      <c r="H483" t="s">
        <v>990</v>
      </c>
      <c r="I483">
        <v>0</v>
      </c>
      <c r="J483" t="s">
        <v>15</v>
      </c>
      <c r="K483" t="s">
        <v>16</v>
      </c>
      <c r="L483">
        <v>0</v>
      </c>
      <c r="R483">
        <f t="shared" si="52"/>
        <v>28</v>
      </c>
      <c r="S483" t="str">
        <f t="shared" si="53"/>
        <v>S</v>
      </c>
      <c r="U483">
        <f t="shared" si="54"/>
        <v>0</v>
      </c>
      <c r="V483">
        <f t="shared" si="57"/>
        <v>0</v>
      </c>
      <c r="W483">
        <f t="shared" si="57"/>
        <v>1</v>
      </c>
      <c r="X483">
        <f t="shared" si="57"/>
        <v>0</v>
      </c>
      <c r="Y483">
        <f t="shared" si="55"/>
        <v>1</v>
      </c>
      <c r="Z483">
        <f t="shared" si="55"/>
        <v>0</v>
      </c>
      <c r="AA483">
        <f t="shared" si="55"/>
        <v>0</v>
      </c>
    </row>
    <row r="484" spans="1:27" x14ac:dyDescent="0.4">
      <c r="A484">
        <v>483</v>
      </c>
      <c r="B484">
        <v>3</v>
      </c>
      <c r="C484" t="s">
        <v>991</v>
      </c>
      <c r="D484" t="s">
        <v>13</v>
      </c>
      <c r="E484">
        <v>50</v>
      </c>
      <c r="F484">
        <v>0</v>
      </c>
      <c r="G484">
        <v>0</v>
      </c>
      <c r="H484" t="s">
        <v>992</v>
      </c>
      <c r="I484">
        <v>8.0500000000000007</v>
      </c>
      <c r="J484" t="s">
        <v>15</v>
      </c>
      <c r="K484" t="s">
        <v>16</v>
      </c>
      <c r="L484">
        <v>0</v>
      </c>
      <c r="R484">
        <f t="shared" si="52"/>
        <v>50</v>
      </c>
      <c r="S484" t="str">
        <f t="shared" si="53"/>
        <v>S</v>
      </c>
      <c r="U484">
        <f t="shared" si="54"/>
        <v>0</v>
      </c>
      <c r="V484">
        <f t="shared" si="57"/>
        <v>0</v>
      </c>
      <c r="W484">
        <f t="shared" si="57"/>
        <v>0</v>
      </c>
      <c r="X484">
        <f t="shared" si="57"/>
        <v>1</v>
      </c>
      <c r="Y484">
        <f t="shared" si="55"/>
        <v>1</v>
      </c>
      <c r="Z484">
        <f t="shared" si="55"/>
        <v>0</v>
      </c>
      <c r="AA484">
        <f t="shared" si="55"/>
        <v>0</v>
      </c>
    </row>
    <row r="485" spans="1:27" x14ac:dyDescent="0.4">
      <c r="A485">
        <v>484</v>
      </c>
      <c r="B485">
        <v>3</v>
      </c>
      <c r="C485" t="s">
        <v>993</v>
      </c>
      <c r="D485" t="s">
        <v>18</v>
      </c>
      <c r="E485">
        <v>63</v>
      </c>
      <c r="F485">
        <v>0</v>
      </c>
      <c r="G485">
        <v>0</v>
      </c>
      <c r="H485" t="s">
        <v>994</v>
      </c>
      <c r="I485">
        <v>9.5875000000000004</v>
      </c>
      <c r="J485" t="s">
        <v>15</v>
      </c>
      <c r="K485" t="s">
        <v>16</v>
      </c>
      <c r="L485">
        <v>1</v>
      </c>
      <c r="R485">
        <f t="shared" si="52"/>
        <v>63</v>
      </c>
      <c r="S485" t="str">
        <f t="shared" si="53"/>
        <v>S</v>
      </c>
      <c r="U485">
        <f t="shared" si="54"/>
        <v>1</v>
      </c>
      <c r="V485">
        <f t="shared" si="57"/>
        <v>0</v>
      </c>
      <c r="W485">
        <f t="shared" si="57"/>
        <v>0</v>
      </c>
      <c r="X485">
        <f t="shared" si="57"/>
        <v>1</v>
      </c>
      <c r="Y485">
        <f t="shared" si="55"/>
        <v>1</v>
      </c>
      <c r="Z485">
        <f t="shared" si="55"/>
        <v>0</v>
      </c>
      <c r="AA485">
        <f t="shared" si="55"/>
        <v>0</v>
      </c>
    </row>
    <row r="486" spans="1:27" x14ac:dyDescent="0.4">
      <c r="A486">
        <v>485</v>
      </c>
      <c r="B486">
        <v>1</v>
      </c>
      <c r="C486" t="s">
        <v>995</v>
      </c>
      <c r="D486" t="s">
        <v>13</v>
      </c>
      <c r="E486">
        <v>25</v>
      </c>
      <c r="F486">
        <v>1</v>
      </c>
      <c r="G486">
        <v>0</v>
      </c>
      <c r="H486" t="s">
        <v>621</v>
      </c>
      <c r="I486">
        <v>91.0792</v>
      </c>
      <c r="J486" t="s">
        <v>622</v>
      </c>
      <c r="K486" t="s">
        <v>21</v>
      </c>
      <c r="L486">
        <v>1</v>
      </c>
      <c r="R486">
        <f t="shared" si="52"/>
        <v>25</v>
      </c>
      <c r="S486" t="str">
        <f t="shared" si="53"/>
        <v>C</v>
      </c>
      <c r="U486">
        <f t="shared" si="54"/>
        <v>0</v>
      </c>
      <c r="V486">
        <f t="shared" si="57"/>
        <v>1</v>
      </c>
      <c r="W486">
        <f t="shared" si="57"/>
        <v>0</v>
      </c>
      <c r="X486">
        <f t="shared" si="57"/>
        <v>0</v>
      </c>
      <c r="Y486">
        <f t="shared" si="55"/>
        <v>0</v>
      </c>
      <c r="Z486">
        <f t="shared" si="55"/>
        <v>0</v>
      </c>
      <c r="AA486">
        <f t="shared" si="55"/>
        <v>1</v>
      </c>
    </row>
    <row r="487" spans="1:27" x14ac:dyDescent="0.4">
      <c r="A487">
        <v>486</v>
      </c>
      <c r="B487">
        <v>3</v>
      </c>
      <c r="C487" t="s">
        <v>996</v>
      </c>
      <c r="D487" t="s">
        <v>18</v>
      </c>
      <c r="F487">
        <v>3</v>
      </c>
      <c r="G487">
        <v>1</v>
      </c>
      <c r="H487" t="s">
        <v>386</v>
      </c>
      <c r="I487">
        <v>25.466699999999999</v>
      </c>
      <c r="J487" t="s">
        <v>15</v>
      </c>
      <c r="K487" t="s">
        <v>16</v>
      </c>
      <c r="L487">
        <v>0</v>
      </c>
      <c r="R487">
        <f t="shared" si="52"/>
        <v>28</v>
      </c>
      <c r="S487" t="str">
        <f t="shared" si="53"/>
        <v>S</v>
      </c>
      <c r="U487">
        <f t="shared" si="54"/>
        <v>1</v>
      </c>
      <c r="V487">
        <f t="shared" si="57"/>
        <v>0</v>
      </c>
      <c r="W487">
        <f t="shared" si="57"/>
        <v>0</v>
      </c>
      <c r="X487">
        <f t="shared" si="57"/>
        <v>1</v>
      </c>
      <c r="Y487">
        <f t="shared" si="55"/>
        <v>1</v>
      </c>
      <c r="Z487">
        <f t="shared" si="55"/>
        <v>0</v>
      </c>
      <c r="AA487">
        <f t="shared" si="55"/>
        <v>0</v>
      </c>
    </row>
    <row r="488" spans="1:27" x14ac:dyDescent="0.4">
      <c r="A488">
        <v>487</v>
      </c>
      <c r="B488">
        <v>1</v>
      </c>
      <c r="C488" t="s">
        <v>997</v>
      </c>
      <c r="D488" t="s">
        <v>18</v>
      </c>
      <c r="E488">
        <v>35</v>
      </c>
      <c r="F488">
        <v>1</v>
      </c>
      <c r="G488">
        <v>0</v>
      </c>
      <c r="H488" t="s">
        <v>484</v>
      </c>
      <c r="I488">
        <v>90</v>
      </c>
      <c r="J488" t="s">
        <v>485</v>
      </c>
      <c r="K488" t="s">
        <v>16</v>
      </c>
      <c r="L488">
        <v>1</v>
      </c>
      <c r="R488">
        <f t="shared" si="52"/>
        <v>35</v>
      </c>
      <c r="S488" t="str">
        <f t="shared" si="53"/>
        <v>S</v>
      </c>
      <c r="U488">
        <f t="shared" si="54"/>
        <v>1</v>
      </c>
      <c r="V488">
        <f t="shared" si="57"/>
        <v>1</v>
      </c>
      <c r="W488">
        <f t="shared" si="57"/>
        <v>0</v>
      </c>
      <c r="X488">
        <f t="shared" si="57"/>
        <v>0</v>
      </c>
      <c r="Y488">
        <f t="shared" si="55"/>
        <v>1</v>
      </c>
      <c r="Z488">
        <f t="shared" si="55"/>
        <v>0</v>
      </c>
      <c r="AA488">
        <f t="shared" si="55"/>
        <v>0</v>
      </c>
    </row>
    <row r="489" spans="1:27" x14ac:dyDescent="0.4">
      <c r="A489">
        <v>488</v>
      </c>
      <c r="B489">
        <v>1</v>
      </c>
      <c r="C489" t="s">
        <v>998</v>
      </c>
      <c r="D489" t="s">
        <v>13</v>
      </c>
      <c r="E489">
        <v>58</v>
      </c>
      <c r="F489">
        <v>0</v>
      </c>
      <c r="G489">
        <v>0</v>
      </c>
      <c r="H489" t="s">
        <v>999</v>
      </c>
      <c r="I489">
        <v>29.7</v>
      </c>
      <c r="J489" t="s">
        <v>1000</v>
      </c>
      <c r="K489" t="s">
        <v>21</v>
      </c>
      <c r="L489">
        <v>0</v>
      </c>
      <c r="R489">
        <f t="shared" si="52"/>
        <v>58</v>
      </c>
      <c r="S489" t="str">
        <f t="shared" si="53"/>
        <v>C</v>
      </c>
      <c r="U489">
        <f t="shared" si="54"/>
        <v>0</v>
      </c>
      <c r="V489">
        <f t="shared" si="57"/>
        <v>1</v>
      </c>
      <c r="W489">
        <f t="shared" si="57"/>
        <v>0</v>
      </c>
      <c r="X489">
        <f t="shared" si="57"/>
        <v>0</v>
      </c>
      <c r="Y489">
        <f t="shared" si="55"/>
        <v>0</v>
      </c>
      <c r="Z489">
        <f t="shared" si="55"/>
        <v>0</v>
      </c>
      <c r="AA489">
        <f t="shared" si="55"/>
        <v>1</v>
      </c>
    </row>
    <row r="490" spans="1:27" x14ac:dyDescent="0.4">
      <c r="A490">
        <v>489</v>
      </c>
      <c r="B490">
        <v>3</v>
      </c>
      <c r="C490" t="s">
        <v>1001</v>
      </c>
      <c r="D490" t="s">
        <v>13</v>
      </c>
      <c r="E490">
        <v>30</v>
      </c>
      <c r="F490">
        <v>0</v>
      </c>
      <c r="G490">
        <v>0</v>
      </c>
      <c r="H490" t="s">
        <v>1002</v>
      </c>
      <c r="I490">
        <v>8.0500000000000007</v>
      </c>
      <c r="J490" t="s">
        <v>15</v>
      </c>
      <c r="K490" t="s">
        <v>16</v>
      </c>
      <c r="L490">
        <v>0</v>
      </c>
      <c r="R490">
        <f t="shared" si="52"/>
        <v>30</v>
      </c>
      <c r="S490" t="str">
        <f t="shared" si="53"/>
        <v>S</v>
      </c>
      <c r="U490">
        <f t="shared" si="54"/>
        <v>0</v>
      </c>
      <c r="V490">
        <f t="shared" si="57"/>
        <v>0</v>
      </c>
      <c r="W490">
        <f t="shared" si="57"/>
        <v>0</v>
      </c>
      <c r="X490">
        <f t="shared" si="57"/>
        <v>1</v>
      </c>
      <c r="Y490">
        <f t="shared" si="55"/>
        <v>1</v>
      </c>
      <c r="Z490">
        <f t="shared" si="55"/>
        <v>0</v>
      </c>
      <c r="AA490">
        <f t="shared" si="55"/>
        <v>0</v>
      </c>
    </row>
    <row r="491" spans="1:27" x14ac:dyDescent="0.4">
      <c r="A491">
        <v>490</v>
      </c>
      <c r="B491">
        <v>3</v>
      </c>
      <c r="C491" t="s">
        <v>1003</v>
      </c>
      <c r="D491" t="s">
        <v>13</v>
      </c>
      <c r="E491">
        <v>9</v>
      </c>
      <c r="F491">
        <v>1</v>
      </c>
      <c r="G491">
        <v>1</v>
      </c>
      <c r="H491" t="s">
        <v>736</v>
      </c>
      <c r="I491">
        <v>15.9</v>
      </c>
      <c r="J491" t="s">
        <v>15</v>
      </c>
      <c r="K491" t="s">
        <v>16</v>
      </c>
      <c r="L491">
        <v>1</v>
      </c>
      <c r="R491">
        <f t="shared" si="52"/>
        <v>9</v>
      </c>
      <c r="S491" t="str">
        <f t="shared" si="53"/>
        <v>S</v>
      </c>
      <c r="U491">
        <f t="shared" si="54"/>
        <v>0</v>
      </c>
      <c r="V491">
        <f t="shared" si="57"/>
        <v>0</v>
      </c>
      <c r="W491">
        <f t="shared" si="57"/>
        <v>0</v>
      </c>
      <c r="X491">
        <f t="shared" si="57"/>
        <v>1</v>
      </c>
      <c r="Y491">
        <f t="shared" si="55"/>
        <v>1</v>
      </c>
      <c r="Z491">
        <f t="shared" si="55"/>
        <v>0</v>
      </c>
      <c r="AA491">
        <f t="shared" si="55"/>
        <v>0</v>
      </c>
    </row>
    <row r="492" spans="1:27" x14ac:dyDescent="0.4">
      <c r="A492">
        <v>491</v>
      </c>
      <c r="B492">
        <v>3</v>
      </c>
      <c r="C492" t="s">
        <v>1004</v>
      </c>
      <c r="D492" t="s">
        <v>13</v>
      </c>
      <c r="F492">
        <v>1</v>
      </c>
      <c r="G492">
        <v>0</v>
      </c>
      <c r="H492" t="s">
        <v>1005</v>
      </c>
      <c r="I492">
        <v>19.966699999999999</v>
      </c>
      <c r="J492" t="s">
        <v>15</v>
      </c>
      <c r="K492" t="s">
        <v>16</v>
      </c>
      <c r="L492">
        <v>0</v>
      </c>
      <c r="R492">
        <f t="shared" si="52"/>
        <v>28</v>
      </c>
      <c r="S492" t="str">
        <f t="shared" si="53"/>
        <v>S</v>
      </c>
      <c r="U492">
        <f t="shared" si="54"/>
        <v>0</v>
      </c>
      <c r="V492">
        <f t="shared" si="57"/>
        <v>0</v>
      </c>
      <c r="W492">
        <f t="shared" si="57"/>
        <v>0</v>
      </c>
      <c r="X492">
        <f t="shared" si="57"/>
        <v>1</v>
      </c>
      <c r="Y492">
        <f t="shared" si="55"/>
        <v>1</v>
      </c>
      <c r="Z492">
        <f t="shared" si="55"/>
        <v>0</v>
      </c>
      <c r="AA492">
        <f t="shared" si="55"/>
        <v>0</v>
      </c>
    </row>
    <row r="493" spans="1:27" x14ac:dyDescent="0.4">
      <c r="A493">
        <v>492</v>
      </c>
      <c r="B493">
        <v>3</v>
      </c>
      <c r="C493" t="s">
        <v>1006</v>
      </c>
      <c r="D493" t="s">
        <v>13</v>
      </c>
      <c r="E493">
        <v>21</v>
      </c>
      <c r="F493">
        <v>0</v>
      </c>
      <c r="G493">
        <v>0</v>
      </c>
      <c r="H493" t="s">
        <v>1007</v>
      </c>
      <c r="I493">
        <v>7.25</v>
      </c>
      <c r="J493" t="s">
        <v>15</v>
      </c>
      <c r="K493" t="s">
        <v>16</v>
      </c>
      <c r="L493">
        <v>0</v>
      </c>
      <c r="R493">
        <f t="shared" si="52"/>
        <v>21</v>
      </c>
      <c r="S493" t="str">
        <f t="shared" si="53"/>
        <v>S</v>
      </c>
      <c r="U493">
        <f t="shared" si="54"/>
        <v>0</v>
      </c>
      <c r="V493">
        <f t="shared" si="57"/>
        <v>0</v>
      </c>
      <c r="W493">
        <f t="shared" si="57"/>
        <v>0</v>
      </c>
      <c r="X493">
        <f t="shared" si="57"/>
        <v>1</v>
      </c>
      <c r="Y493">
        <f t="shared" si="55"/>
        <v>1</v>
      </c>
      <c r="Z493">
        <f t="shared" si="55"/>
        <v>0</v>
      </c>
      <c r="AA493">
        <f t="shared" si="55"/>
        <v>0</v>
      </c>
    </row>
    <row r="494" spans="1:27" x14ac:dyDescent="0.4">
      <c r="A494">
        <v>493</v>
      </c>
      <c r="B494">
        <v>1</v>
      </c>
      <c r="C494" t="s">
        <v>1008</v>
      </c>
      <c r="D494" t="s">
        <v>13</v>
      </c>
      <c r="E494">
        <v>55</v>
      </c>
      <c r="F494">
        <v>0</v>
      </c>
      <c r="G494">
        <v>0</v>
      </c>
      <c r="H494" t="s">
        <v>1009</v>
      </c>
      <c r="I494">
        <v>30.5</v>
      </c>
      <c r="J494" t="s">
        <v>1010</v>
      </c>
      <c r="K494" t="s">
        <v>16</v>
      </c>
      <c r="L494">
        <v>0</v>
      </c>
      <c r="R494">
        <f t="shared" si="52"/>
        <v>55</v>
      </c>
      <c r="S494" t="str">
        <f t="shared" si="53"/>
        <v>S</v>
      </c>
      <c r="U494">
        <f t="shared" si="54"/>
        <v>0</v>
      </c>
      <c r="V494">
        <f t="shared" si="57"/>
        <v>1</v>
      </c>
      <c r="W494">
        <f t="shared" si="57"/>
        <v>0</v>
      </c>
      <c r="X494">
        <f t="shared" si="57"/>
        <v>0</v>
      </c>
      <c r="Y494">
        <f t="shared" si="55"/>
        <v>1</v>
      </c>
      <c r="Z494">
        <f t="shared" si="55"/>
        <v>0</v>
      </c>
      <c r="AA494">
        <f t="shared" si="55"/>
        <v>0</v>
      </c>
    </row>
    <row r="495" spans="1:27" x14ac:dyDescent="0.4">
      <c r="A495">
        <v>494</v>
      </c>
      <c r="B495">
        <v>1</v>
      </c>
      <c r="C495" t="s">
        <v>1011</v>
      </c>
      <c r="D495" t="s">
        <v>13</v>
      </c>
      <c r="E495">
        <v>71</v>
      </c>
      <c r="F495">
        <v>0</v>
      </c>
      <c r="G495">
        <v>0</v>
      </c>
      <c r="H495" t="s">
        <v>1012</v>
      </c>
      <c r="I495">
        <v>49.504199999999997</v>
      </c>
      <c r="J495" t="s">
        <v>15</v>
      </c>
      <c r="K495" t="s">
        <v>21</v>
      </c>
      <c r="L495">
        <v>0</v>
      </c>
      <c r="R495">
        <f t="shared" si="52"/>
        <v>71</v>
      </c>
      <c r="S495" t="str">
        <f t="shared" si="53"/>
        <v>C</v>
      </c>
      <c r="U495">
        <f t="shared" si="54"/>
        <v>0</v>
      </c>
      <c r="V495">
        <f t="shared" si="57"/>
        <v>1</v>
      </c>
      <c r="W495">
        <f t="shared" si="57"/>
        <v>0</v>
      </c>
      <c r="X495">
        <f t="shared" si="57"/>
        <v>0</v>
      </c>
      <c r="Y495">
        <f t="shared" si="55"/>
        <v>0</v>
      </c>
      <c r="Z495">
        <f t="shared" si="55"/>
        <v>0</v>
      </c>
      <c r="AA495">
        <f t="shared" si="55"/>
        <v>1</v>
      </c>
    </row>
    <row r="496" spans="1:27" x14ac:dyDescent="0.4">
      <c r="A496">
        <v>495</v>
      </c>
      <c r="B496">
        <v>3</v>
      </c>
      <c r="C496" t="s">
        <v>1013</v>
      </c>
      <c r="D496" t="s">
        <v>13</v>
      </c>
      <c r="E496">
        <v>21</v>
      </c>
      <c r="F496">
        <v>0</v>
      </c>
      <c r="G496">
        <v>0</v>
      </c>
      <c r="H496" t="s">
        <v>1014</v>
      </c>
      <c r="I496">
        <v>8.0500000000000007</v>
      </c>
      <c r="J496" t="s">
        <v>15</v>
      </c>
      <c r="K496" t="s">
        <v>16</v>
      </c>
      <c r="L496">
        <v>0</v>
      </c>
      <c r="R496">
        <f t="shared" si="52"/>
        <v>21</v>
      </c>
      <c r="S496" t="str">
        <f t="shared" si="53"/>
        <v>S</v>
      </c>
      <c r="U496">
        <f t="shared" si="54"/>
        <v>0</v>
      </c>
      <c r="V496">
        <f t="shared" si="57"/>
        <v>0</v>
      </c>
      <c r="W496">
        <f t="shared" si="57"/>
        <v>0</v>
      </c>
      <c r="X496">
        <f t="shared" si="57"/>
        <v>1</v>
      </c>
      <c r="Y496">
        <f t="shared" si="55"/>
        <v>1</v>
      </c>
      <c r="Z496">
        <f t="shared" si="55"/>
        <v>0</v>
      </c>
      <c r="AA496">
        <f t="shared" si="55"/>
        <v>0</v>
      </c>
    </row>
    <row r="497" spans="1:27" x14ac:dyDescent="0.4">
      <c r="A497">
        <v>496</v>
      </c>
      <c r="B497">
        <v>3</v>
      </c>
      <c r="C497" t="s">
        <v>1015</v>
      </c>
      <c r="D497" t="s">
        <v>13</v>
      </c>
      <c r="F497">
        <v>0</v>
      </c>
      <c r="G497">
        <v>0</v>
      </c>
      <c r="H497" t="s">
        <v>265</v>
      </c>
      <c r="I497">
        <v>14.458299999999999</v>
      </c>
      <c r="J497" t="s">
        <v>15</v>
      </c>
      <c r="K497" t="s">
        <v>21</v>
      </c>
      <c r="L497">
        <v>0</v>
      </c>
      <c r="R497">
        <f t="shared" si="52"/>
        <v>28</v>
      </c>
      <c r="S497" t="str">
        <f t="shared" si="53"/>
        <v>C</v>
      </c>
      <c r="U497">
        <f t="shared" si="54"/>
        <v>0</v>
      </c>
      <c r="V497">
        <f t="shared" si="57"/>
        <v>0</v>
      </c>
      <c r="W497">
        <f t="shared" si="57"/>
        <v>0</v>
      </c>
      <c r="X497">
        <f t="shared" si="57"/>
        <v>1</v>
      </c>
      <c r="Y497">
        <f t="shared" si="55"/>
        <v>0</v>
      </c>
      <c r="Z497">
        <f t="shared" si="55"/>
        <v>0</v>
      </c>
      <c r="AA497">
        <f t="shared" si="55"/>
        <v>1</v>
      </c>
    </row>
    <row r="498" spans="1:27" x14ac:dyDescent="0.4">
      <c r="A498">
        <v>497</v>
      </c>
      <c r="B498">
        <v>1</v>
      </c>
      <c r="C498" t="s">
        <v>1016</v>
      </c>
      <c r="D498" t="s">
        <v>18</v>
      </c>
      <c r="E498">
        <v>54</v>
      </c>
      <c r="F498">
        <v>1</v>
      </c>
      <c r="G498">
        <v>0</v>
      </c>
      <c r="H498" t="s">
        <v>1017</v>
      </c>
      <c r="I498">
        <v>78.2667</v>
      </c>
      <c r="J498" t="s">
        <v>1018</v>
      </c>
      <c r="K498" t="s">
        <v>21</v>
      </c>
      <c r="L498">
        <v>1</v>
      </c>
      <c r="R498">
        <f t="shared" si="52"/>
        <v>54</v>
      </c>
      <c r="S498" t="str">
        <f t="shared" si="53"/>
        <v>C</v>
      </c>
      <c r="U498">
        <f t="shared" si="54"/>
        <v>1</v>
      </c>
      <c r="V498">
        <f t="shared" si="57"/>
        <v>1</v>
      </c>
      <c r="W498">
        <f t="shared" si="57"/>
        <v>0</v>
      </c>
      <c r="X498">
        <f t="shared" si="57"/>
        <v>0</v>
      </c>
      <c r="Y498">
        <f t="shared" si="55"/>
        <v>0</v>
      </c>
      <c r="Z498">
        <f t="shared" si="55"/>
        <v>0</v>
      </c>
      <c r="AA498">
        <f t="shared" si="55"/>
        <v>1</v>
      </c>
    </row>
    <row r="499" spans="1:27" x14ac:dyDescent="0.4">
      <c r="A499">
        <v>498</v>
      </c>
      <c r="B499">
        <v>3</v>
      </c>
      <c r="C499" t="s">
        <v>1019</v>
      </c>
      <c r="D499" t="s">
        <v>13</v>
      </c>
      <c r="F499">
        <v>0</v>
      </c>
      <c r="G499">
        <v>0</v>
      </c>
      <c r="H499" t="s">
        <v>1020</v>
      </c>
      <c r="I499">
        <v>15.1</v>
      </c>
      <c r="J499" t="s">
        <v>15</v>
      </c>
      <c r="K499" t="s">
        <v>16</v>
      </c>
      <c r="L499">
        <v>0</v>
      </c>
      <c r="R499">
        <f t="shared" si="52"/>
        <v>28</v>
      </c>
      <c r="S499" t="str">
        <f t="shared" si="53"/>
        <v>S</v>
      </c>
      <c r="U499">
        <f t="shared" si="54"/>
        <v>0</v>
      </c>
      <c r="V499">
        <f t="shared" si="57"/>
        <v>0</v>
      </c>
      <c r="W499">
        <f t="shared" si="57"/>
        <v>0</v>
      </c>
      <c r="X499">
        <f t="shared" si="57"/>
        <v>1</v>
      </c>
      <c r="Y499">
        <f t="shared" si="55"/>
        <v>1</v>
      </c>
      <c r="Z499">
        <f t="shared" si="55"/>
        <v>0</v>
      </c>
      <c r="AA499">
        <f t="shared" si="55"/>
        <v>0</v>
      </c>
    </row>
    <row r="500" spans="1:27" x14ac:dyDescent="0.4">
      <c r="A500">
        <v>499</v>
      </c>
      <c r="B500">
        <v>1</v>
      </c>
      <c r="C500" t="s">
        <v>1021</v>
      </c>
      <c r="D500" t="s">
        <v>18</v>
      </c>
      <c r="E500">
        <v>25</v>
      </c>
      <c r="F500">
        <v>1</v>
      </c>
      <c r="G500">
        <v>2</v>
      </c>
      <c r="H500" t="s">
        <v>635</v>
      </c>
      <c r="I500">
        <v>151.55000000000001</v>
      </c>
      <c r="J500" t="s">
        <v>636</v>
      </c>
      <c r="K500" t="s">
        <v>16</v>
      </c>
      <c r="L500">
        <v>0</v>
      </c>
      <c r="R500">
        <f t="shared" si="52"/>
        <v>25</v>
      </c>
      <c r="S500" t="str">
        <f t="shared" si="53"/>
        <v>S</v>
      </c>
      <c r="U500">
        <f t="shared" si="54"/>
        <v>1</v>
      </c>
      <c r="V500">
        <f t="shared" si="57"/>
        <v>1</v>
      </c>
      <c r="W500">
        <f t="shared" si="57"/>
        <v>0</v>
      </c>
      <c r="X500">
        <f t="shared" si="57"/>
        <v>0</v>
      </c>
      <c r="Y500">
        <f t="shared" si="55"/>
        <v>1</v>
      </c>
      <c r="Z500">
        <f t="shared" si="55"/>
        <v>0</v>
      </c>
      <c r="AA500">
        <f t="shared" si="55"/>
        <v>0</v>
      </c>
    </row>
    <row r="501" spans="1:27" x14ac:dyDescent="0.4">
      <c r="A501">
        <v>500</v>
      </c>
      <c r="B501">
        <v>3</v>
      </c>
      <c r="C501" t="s">
        <v>1022</v>
      </c>
      <c r="D501" t="s">
        <v>13</v>
      </c>
      <c r="E501">
        <v>24</v>
      </c>
      <c r="F501">
        <v>0</v>
      </c>
      <c r="G501">
        <v>0</v>
      </c>
      <c r="H501" t="s">
        <v>1023</v>
      </c>
      <c r="I501">
        <v>7.7957999999999998</v>
      </c>
      <c r="J501" t="s">
        <v>15</v>
      </c>
      <c r="K501" t="s">
        <v>16</v>
      </c>
      <c r="L501">
        <v>0</v>
      </c>
      <c r="R501">
        <f t="shared" si="52"/>
        <v>24</v>
      </c>
      <c r="S501" t="str">
        <f t="shared" si="53"/>
        <v>S</v>
      </c>
      <c r="U501">
        <f t="shared" si="54"/>
        <v>0</v>
      </c>
      <c r="V501">
        <f t="shared" si="57"/>
        <v>0</v>
      </c>
      <c r="W501">
        <f t="shared" si="57"/>
        <v>0</v>
      </c>
      <c r="X501">
        <f t="shared" si="57"/>
        <v>1</v>
      </c>
      <c r="Y501">
        <f t="shared" si="55"/>
        <v>1</v>
      </c>
      <c r="Z501">
        <f t="shared" si="55"/>
        <v>0</v>
      </c>
      <c r="AA501">
        <f t="shared" si="55"/>
        <v>0</v>
      </c>
    </row>
    <row r="502" spans="1:27" x14ac:dyDescent="0.4">
      <c r="A502">
        <v>501</v>
      </c>
      <c r="B502">
        <v>3</v>
      </c>
      <c r="C502" t="s">
        <v>1024</v>
      </c>
      <c r="D502" t="s">
        <v>13</v>
      </c>
      <c r="E502">
        <v>17</v>
      </c>
      <c r="F502">
        <v>0</v>
      </c>
      <c r="G502">
        <v>0</v>
      </c>
      <c r="H502" t="s">
        <v>1025</v>
      </c>
      <c r="I502">
        <v>8.6624999999999996</v>
      </c>
      <c r="J502" t="s">
        <v>15</v>
      </c>
      <c r="K502" t="s">
        <v>16</v>
      </c>
      <c r="L502">
        <v>0</v>
      </c>
      <c r="R502">
        <f t="shared" si="52"/>
        <v>17</v>
      </c>
      <c r="S502" t="str">
        <f t="shared" si="53"/>
        <v>S</v>
      </c>
      <c r="U502">
        <f t="shared" si="54"/>
        <v>0</v>
      </c>
      <c r="V502">
        <f t="shared" ref="V502:X521" si="58">IF("Pclass_"&amp;$B502=V$1,1,0)</f>
        <v>0</v>
      </c>
      <c r="W502">
        <f t="shared" si="58"/>
        <v>0</v>
      </c>
      <c r="X502">
        <f t="shared" si="58"/>
        <v>1</v>
      </c>
      <c r="Y502">
        <f t="shared" si="55"/>
        <v>1</v>
      </c>
      <c r="Z502">
        <f t="shared" si="55"/>
        <v>0</v>
      </c>
      <c r="AA502">
        <f t="shared" si="55"/>
        <v>0</v>
      </c>
    </row>
    <row r="503" spans="1:27" x14ac:dyDescent="0.4">
      <c r="A503">
        <v>502</v>
      </c>
      <c r="B503">
        <v>3</v>
      </c>
      <c r="C503" t="s">
        <v>1026</v>
      </c>
      <c r="D503" t="s">
        <v>18</v>
      </c>
      <c r="E503">
        <v>21</v>
      </c>
      <c r="F503">
        <v>0</v>
      </c>
      <c r="G503">
        <v>0</v>
      </c>
      <c r="H503" t="s">
        <v>1027</v>
      </c>
      <c r="I503">
        <v>7.75</v>
      </c>
      <c r="J503" t="s">
        <v>15</v>
      </c>
      <c r="K503" t="s">
        <v>31</v>
      </c>
      <c r="L503">
        <v>0</v>
      </c>
      <c r="R503">
        <f t="shared" si="52"/>
        <v>21</v>
      </c>
      <c r="S503" t="str">
        <f t="shared" si="53"/>
        <v>Q</v>
      </c>
      <c r="U503">
        <f t="shared" si="54"/>
        <v>1</v>
      </c>
      <c r="V503">
        <f t="shared" si="58"/>
        <v>0</v>
      </c>
      <c r="W503">
        <f t="shared" si="58"/>
        <v>0</v>
      </c>
      <c r="X503">
        <f t="shared" si="58"/>
        <v>1</v>
      </c>
      <c r="Y503">
        <f t="shared" si="55"/>
        <v>0</v>
      </c>
      <c r="Z503">
        <f t="shared" si="55"/>
        <v>1</v>
      </c>
      <c r="AA503">
        <f t="shared" si="55"/>
        <v>0</v>
      </c>
    </row>
    <row r="504" spans="1:27" x14ac:dyDescent="0.4">
      <c r="A504">
        <v>503</v>
      </c>
      <c r="B504">
        <v>3</v>
      </c>
      <c r="C504" t="s">
        <v>1028</v>
      </c>
      <c r="D504" t="s">
        <v>18</v>
      </c>
      <c r="F504">
        <v>0</v>
      </c>
      <c r="G504">
        <v>0</v>
      </c>
      <c r="H504" t="s">
        <v>1029</v>
      </c>
      <c r="I504">
        <v>7.6292</v>
      </c>
      <c r="J504" t="s">
        <v>15</v>
      </c>
      <c r="K504" t="s">
        <v>31</v>
      </c>
      <c r="L504">
        <v>0</v>
      </c>
      <c r="R504">
        <f t="shared" si="52"/>
        <v>28</v>
      </c>
      <c r="S504" t="str">
        <f t="shared" si="53"/>
        <v>Q</v>
      </c>
      <c r="U504">
        <f t="shared" si="54"/>
        <v>1</v>
      </c>
      <c r="V504">
        <f t="shared" si="58"/>
        <v>0</v>
      </c>
      <c r="W504">
        <f t="shared" si="58"/>
        <v>0</v>
      </c>
      <c r="X504">
        <f t="shared" si="58"/>
        <v>1</v>
      </c>
      <c r="Y504">
        <f t="shared" si="55"/>
        <v>0</v>
      </c>
      <c r="Z504">
        <f t="shared" si="55"/>
        <v>1</v>
      </c>
      <c r="AA504">
        <f t="shared" si="55"/>
        <v>0</v>
      </c>
    </row>
    <row r="505" spans="1:27" x14ac:dyDescent="0.4">
      <c r="A505">
        <v>504</v>
      </c>
      <c r="B505">
        <v>3</v>
      </c>
      <c r="C505" t="s">
        <v>1030</v>
      </c>
      <c r="D505" t="s">
        <v>18</v>
      </c>
      <c r="E505">
        <v>37</v>
      </c>
      <c r="F505">
        <v>0</v>
      </c>
      <c r="G505">
        <v>0</v>
      </c>
      <c r="H505" t="s">
        <v>1031</v>
      </c>
      <c r="I505">
        <v>9.5875000000000004</v>
      </c>
      <c r="J505" t="s">
        <v>15</v>
      </c>
      <c r="K505" t="s">
        <v>16</v>
      </c>
      <c r="L505">
        <v>0</v>
      </c>
      <c r="R505">
        <f t="shared" si="52"/>
        <v>37</v>
      </c>
      <c r="S505" t="str">
        <f t="shared" si="53"/>
        <v>S</v>
      </c>
      <c r="U505">
        <f t="shared" si="54"/>
        <v>1</v>
      </c>
      <c r="V505">
        <f t="shared" si="58"/>
        <v>0</v>
      </c>
      <c r="W505">
        <f t="shared" si="58"/>
        <v>0</v>
      </c>
      <c r="X505">
        <f t="shared" si="58"/>
        <v>1</v>
      </c>
      <c r="Y505">
        <f t="shared" si="55"/>
        <v>1</v>
      </c>
      <c r="Z505">
        <f t="shared" si="55"/>
        <v>0</v>
      </c>
      <c r="AA505">
        <f t="shared" si="55"/>
        <v>0</v>
      </c>
    </row>
    <row r="506" spans="1:27" x14ac:dyDescent="0.4">
      <c r="A506">
        <v>505</v>
      </c>
      <c r="B506">
        <v>1</v>
      </c>
      <c r="C506" t="s">
        <v>1032</v>
      </c>
      <c r="D506" t="s">
        <v>18</v>
      </c>
      <c r="E506">
        <v>16</v>
      </c>
      <c r="F506">
        <v>0</v>
      </c>
      <c r="G506">
        <v>0</v>
      </c>
      <c r="H506" t="s">
        <v>549</v>
      </c>
      <c r="I506">
        <v>86.5</v>
      </c>
      <c r="J506" t="s">
        <v>1033</v>
      </c>
      <c r="K506" t="s">
        <v>16</v>
      </c>
      <c r="L506">
        <v>1</v>
      </c>
      <c r="R506">
        <f t="shared" si="52"/>
        <v>16</v>
      </c>
      <c r="S506" t="str">
        <f t="shared" si="53"/>
        <v>S</v>
      </c>
      <c r="U506">
        <f t="shared" si="54"/>
        <v>1</v>
      </c>
      <c r="V506">
        <f t="shared" si="58"/>
        <v>1</v>
      </c>
      <c r="W506">
        <f t="shared" si="58"/>
        <v>0</v>
      </c>
      <c r="X506">
        <f t="shared" si="58"/>
        <v>0</v>
      </c>
      <c r="Y506">
        <f t="shared" si="55"/>
        <v>1</v>
      </c>
      <c r="Z506">
        <f t="shared" si="55"/>
        <v>0</v>
      </c>
      <c r="AA506">
        <f t="shared" si="55"/>
        <v>0</v>
      </c>
    </row>
    <row r="507" spans="1:27" x14ac:dyDescent="0.4">
      <c r="A507">
        <v>506</v>
      </c>
      <c r="B507">
        <v>1</v>
      </c>
      <c r="C507" t="s">
        <v>1034</v>
      </c>
      <c r="D507" t="s">
        <v>13</v>
      </c>
      <c r="E507">
        <v>18</v>
      </c>
      <c r="F507">
        <v>1</v>
      </c>
      <c r="G507">
        <v>0</v>
      </c>
      <c r="H507" t="s">
        <v>654</v>
      </c>
      <c r="I507">
        <v>108.9</v>
      </c>
      <c r="J507" t="s">
        <v>655</v>
      </c>
      <c r="K507" t="s">
        <v>21</v>
      </c>
      <c r="L507">
        <v>0</v>
      </c>
      <c r="R507">
        <f t="shared" si="52"/>
        <v>18</v>
      </c>
      <c r="S507" t="str">
        <f t="shared" si="53"/>
        <v>C</v>
      </c>
      <c r="U507">
        <f t="shared" si="54"/>
        <v>0</v>
      </c>
      <c r="V507">
        <f t="shared" si="58"/>
        <v>1</v>
      </c>
      <c r="W507">
        <f t="shared" si="58"/>
        <v>0</v>
      </c>
      <c r="X507">
        <f t="shared" si="58"/>
        <v>0</v>
      </c>
      <c r="Y507">
        <f t="shared" si="55"/>
        <v>0</v>
      </c>
      <c r="Z507">
        <f t="shared" si="55"/>
        <v>0</v>
      </c>
      <c r="AA507">
        <f t="shared" si="55"/>
        <v>1</v>
      </c>
    </row>
    <row r="508" spans="1:27" x14ac:dyDescent="0.4">
      <c r="A508">
        <v>507</v>
      </c>
      <c r="B508">
        <v>2</v>
      </c>
      <c r="C508" t="s">
        <v>1035</v>
      </c>
      <c r="D508" t="s">
        <v>18</v>
      </c>
      <c r="E508">
        <v>33</v>
      </c>
      <c r="F508">
        <v>0</v>
      </c>
      <c r="G508">
        <v>2</v>
      </c>
      <c r="H508" t="s">
        <v>1036</v>
      </c>
      <c r="I508">
        <v>26</v>
      </c>
      <c r="J508" t="s">
        <v>15</v>
      </c>
      <c r="K508" t="s">
        <v>16</v>
      </c>
      <c r="L508">
        <v>1</v>
      </c>
      <c r="R508">
        <f t="shared" si="52"/>
        <v>33</v>
      </c>
      <c r="S508" t="str">
        <f t="shared" si="53"/>
        <v>S</v>
      </c>
      <c r="U508">
        <f t="shared" si="54"/>
        <v>1</v>
      </c>
      <c r="V508">
        <f t="shared" si="58"/>
        <v>0</v>
      </c>
      <c r="W508">
        <f t="shared" si="58"/>
        <v>1</v>
      </c>
      <c r="X508">
        <f t="shared" si="58"/>
        <v>0</v>
      </c>
      <c r="Y508">
        <f t="shared" si="55"/>
        <v>1</v>
      </c>
      <c r="Z508">
        <f t="shared" si="55"/>
        <v>0</v>
      </c>
      <c r="AA508">
        <f t="shared" si="55"/>
        <v>0</v>
      </c>
    </row>
    <row r="509" spans="1:27" x14ac:dyDescent="0.4">
      <c r="A509">
        <v>508</v>
      </c>
      <c r="B509">
        <v>1</v>
      </c>
      <c r="C509" t="s">
        <v>1037</v>
      </c>
      <c r="D509" t="s">
        <v>13</v>
      </c>
      <c r="F509">
        <v>0</v>
      </c>
      <c r="G509">
        <v>0</v>
      </c>
      <c r="H509" t="s">
        <v>1038</v>
      </c>
      <c r="I509">
        <v>26.55</v>
      </c>
      <c r="J509" t="s">
        <v>15</v>
      </c>
      <c r="K509" t="s">
        <v>16</v>
      </c>
      <c r="L509">
        <v>1</v>
      </c>
      <c r="R509">
        <f t="shared" si="52"/>
        <v>28</v>
      </c>
      <c r="S509" t="str">
        <f t="shared" si="53"/>
        <v>S</v>
      </c>
      <c r="U509">
        <f t="shared" si="54"/>
        <v>0</v>
      </c>
      <c r="V509">
        <f t="shared" si="58"/>
        <v>1</v>
      </c>
      <c r="W509">
        <f t="shared" si="58"/>
        <v>0</v>
      </c>
      <c r="X509">
        <f t="shared" si="58"/>
        <v>0</v>
      </c>
      <c r="Y509">
        <f t="shared" si="55"/>
        <v>1</v>
      </c>
      <c r="Z509">
        <f t="shared" si="55"/>
        <v>0</v>
      </c>
      <c r="AA509">
        <f t="shared" si="55"/>
        <v>0</v>
      </c>
    </row>
    <row r="510" spans="1:27" x14ac:dyDescent="0.4">
      <c r="A510">
        <v>509</v>
      </c>
      <c r="B510">
        <v>3</v>
      </c>
      <c r="C510" t="s">
        <v>1039</v>
      </c>
      <c r="D510" t="s">
        <v>13</v>
      </c>
      <c r="E510">
        <v>28</v>
      </c>
      <c r="F510">
        <v>0</v>
      </c>
      <c r="G510">
        <v>0</v>
      </c>
      <c r="H510" t="s">
        <v>1040</v>
      </c>
      <c r="I510">
        <v>22.524999999999999</v>
      </c>
      <c r="J510" t="s">
        <v>15</v>
      </c>
      <c r="K510" t="s">
        <v>16</v>
      </c>
      <c r="L510">
        <v>0</v>
      </c>
      <c r="R510">
        <f t="shared" si="52"/>
        <v>28</v>
      </c>
      <c r="S510" t="str">
        <f t="shared" si="53"/>
        <v>S</v>
      </c>
      <c r="U510">
        <f t="shared" si="54"/>
        <v>0</v>
      </c>
      <c r="V510">
        <f t="shared" si="58"/>
        <v>0</v>
      </c>
      <c r="W510">
        <f t="shared" si="58"/>
        <v>0</v>
      </c>
      <c r="X510">
        <f t="shared" si="58"/>
        <v>1</v>
      </c>
      <c r="Y510">
        <f t="shared" si="55"/>
        <v>1</v>
      </c>
      <c r="Z510">
        <f t="shared" si="55"/>
        <v>0</v>
      </c>
      <c r="AA510">
        <f t="shared" si="55"/>
        <v>0</v>
      </c>
    </row>
    <row r="511" spans="1:27" x14ac:dyDescent="0.4">
      <c r="A511">
        <v>510</v>
      </c>
      <c r="B511">
        <v>3</v>
      </c>
      <c r="C511" t="s">
        <v>1041</v>
      </c>
      <c r="D511" t="s">
        <v>13</v>
      </c>
      <c r="E511">
        <v>26</v>
      </c>
      <c r="F511">
        <v>0</v>
      </c>
      <c r="G511">
        <v>0</v>
      </c>
      <c r="H511" t="s">
        <v>180</v>
      </c>
      <c r="I511">
        <v>56.495800000000003</v>
      </c>
      <c r="J511" t="s">
        <v>15</v>
      </c>
      <c r="K511" t="s">
        <v>16</v>
      </c>
      <c r="L511">
        <v>1</v>
      </c>
      <c r="R511">
        <f t="shared" si="52"/>
        <v>26</v>
      </c>
      <c r="S511" t="str">
        <f t="shared" si="53"/>
        <v>S</v>
      </c>
      <c r="U511">
        <f t="shared" si="54"/>
        <v>0</v>
      </c>
      <c r="V511">
        <f t="shared" si="58"/>
        <v>0</v>
      </c>
      <c r="W511">
        <f t="shared" si="58"/>
        <v>0</v>
      </c>
      <c r="X511">
        <f t="shared" si="58"/>
        <v>1</v>
      </c>
      <c r="Y511">
        <f t="shared" si="55"/>
        <v>1</v>
      </c>
      <c r="Z511">
        <f t="shared" si="55"/>
        <v>0</v>
      </c>
      <c r="AA511">
        <f t="shared" si="55"/>
        <v>0</v>
      </c>
    </row>
    <row r="512" spans="1:27" x14ac:dyDescent="0.4">
      <c r="A512">
        <v>511</v>
      </c>
      <c r="B512">
        <v>3</v>
      </c>
      <c r="C512" t="s">
        <v>1042</v>
      </c>
      <c r="D512" t="s">
        <v>13</v>
      </c>
      <c r="E512">
        <v>29</v>
      </c>
      <c r="F512">
        <v>0</v>
      </c>
      <c r="G512">
        <v>0</v>
      </c>
      <c r="H512" t="s">
        <v>1043</v>
      </c>
      <c r="I512">
        <v>7.75</v>
      </c>
      <c r="J512" t="s">
        <v>15</v>
      </c>
      <c r="K512" t="s">
        <v>31</v>
      </c>
      <c r="L512">
        <v>1</v>
      </c>
      <c r="R512">
        <f t="shared" si="52"/>
        <v>29</v>
      </c>
      <c r="S512" t="str">
        <f t="shared" si="53"/>
        <v>Q</v>
      </c>
      <c r="U512">
        <f t="shared" si="54"/>
        <v>0</v>
      </c>
      <c r="V512">
        <f t="shared" si="58"/>
        <v>0</v>
      </c>
      <c r="W512">
        <f t="shared" si="58"/>
        <v>0</v>
      </c>
      <c r="X512">
        <f t="shared" si="58"/>
        <v>1</v>
      </c>
      <c r="Y512">
        <f t="shared" si="55"/>
        <v>0</v>
      </c>
      <c r="Z512">
        <f t="shared" si="55"/>
        <v>1</v>
      </c>
      <c r="AA512">
        <f t="shared" si="55"/>
        <v>0</v>
      </c>
    </row>
    <row r="513" spans="1:27" x14ac:dyDescent="0.4">
      <c r="A513">
        <v>512</v>
      </c>
      <c r="B513">
        <v>3</v>
      </c>
      <c r="C513" t="s">
        <v>1044</v>
      </c>
      <c r="D513" t="s">
        <v>13</v>
      </c>
      <c r="F513">
        <v>0</v>
      </c>
      <c r="G513">
        <v>0</v>
      </c>
      <c r="H513" t="s">
        <v>1045</v>
      </c>
      <c r="I513">
        <v>8.0500000000000007</v>
      </c>
      <c r="J513" t="s">
        <v>15</v>
      </c>
      <c r="K513" t="s">
        <v>16</v>
      </c>
      <c r="L513">
        <v>0</v>
      </c>
      <c r="R513">
        <f t="shared" si="52"/>
        <v>28</v>
      </c>
      <c r="S513" t="str">
        <f t="shared" si="53"/>
        <v>S</v>
      </c>
      <c r="U513">
        <f t="shared" si="54"/>
        <v>0</v>
      </c>
      <c r="V513">
        <f t="shared" si="58"/>
        <v>0</v>
      </c>
      <c r="W513">
        <f t="shared" si="58"/>
        <v>0</v>
      </c>
      <c r="X513">
        <f t="shared" si="58"/>
        <v>1</v>
      </c>
      <c r="Y513">
        <f t="shared" si="55"/>
        <v>1</v>
      </c>
      <c r="Z513">
        <f t="shared" si="55"/>
        <v>0</v>
      </c>
      <c r="AA513">
        <f t="shared" si="55"/>
        <v>0</v>
      </c>
    </row>
    <row r="514" spans="1:27" x14ac:dyDescent="0.4">
      <c r="A514">
        <v>513</v>
      </c>
      <c r="B514">
        <v>1</v>
      </c>
      <c r="C514" t="s">
        <v>1046</v>
      </c>
      <c r="D514" t="s">
        <v>13</v>
      </c>
      <c r="E514">
        <v>36</v>
      </c>
      <c r="F514">
        <v>0</v>
      </c>
      <c r="G514">
        <v>0</v>
      </c>
      <c r="H514" t="s">
        <v>1047</v>
      </c>
      <c r="I514">
        <v>26.287500000000001</v>
      </c>
      <c r="J514" t="s">
        <v>1048</v>
      </c>
      <c r="K514" t="s">
        <v>16</v>
      </c>
      <c r="L514">
        <v>1</v>
      </c>
      <c r="R514">
        <f t="shared" si="52"/>
        <v>36</v>
      </c>
      <c r="S514" t="str">
        <f t="shared" si="53"/>
        <v>S</v>
      </c>
      <c r="U514">
        <f t="shared" si="54"/>
        <v>0</v>
      </c>
      <c r="V514">
        <f t="shared" si="58"/>
        <v>1</v>
      </c>
      <c r="W514">
        <f t="shared" si="58"/>
        <v>0</v>
      </c>
      <c r="X514">
        <f t="shared" si="58"/>
        <v>0</v>
      </c>
      <c r="Y514">
        <f t="shared" si="55"/>
        <v>1</v>
      </c>
      <c r="Z514">
        <f t="shared" si="55"/>
        <v>0</v>
      </c>
      <c r="AA514">
        <f t="shared" si="55"/>
        <v>0</v>
      </c>
    </row>
    <row r="515" spans="1:27" x14ac:dyDescent="0.4">
      <c r="A515">
        <v>514</v>
      </c>
      <c r="B515">
        <v>1</v>
      </c>
      <c r="C515" t="s">
        <v>1049</v>
      </c>
      <c r="D515" t="s">
        <v>18</v>
      </c>
      <c r="E515">
        <v>54</v>
      </c>
      <c r="F515">
        <v>1</v>
      </c>
      <c r="G515">
        <v>0</v>
      </c>
      <c r="H515" t="s">
        <v>1050</v>
      </c>
      <c r="I515">
        <v>59.4</v>
      </c>
      <c r="J515" t="s">
        <v>15</v>
      </c>
      <c r="K515" t="s">
        <v>21</v>
      </c>
      <c r="L515">
        <v>1</v>
      </c>
      <c r="R515">
        <f t="shared" ref="R515:R578" si="59">IF(E515&lt;&gt;"",E515,$O$18)</f>
        <v>54</v>
      </c>
      <c r="S515" t="str">
        <f t="shared" ref="S515:S578" si="60">IF(K515&lt;&gt;"",K515,$N$9)</f>
        <v>C</v>
      </c>
      <c r="U515">
        <f t="shared" ref="U515:U578" si="61">IF(D515="male",0,1)</f>
        <v>1</v>
      </c>
      <c r="V515">
        <f t="shared" si="58"/>
        <v>1</v>
      </c>
      <c r="W515">
        <f t="shared" si="58"/>
        <v>0</v>
      </c>
      <c r="X515">
        <f t="shared" si="58"/>
        <v>0</v>
      </c>
      <c r="Y515">
        <f t="shared" ref="Y515:AA578" si="62">IF($S515=RIGHT(Y$1,1),1,0)</f>
        <v>0</v>
      </c>
      <c r="Z515">
        <f t="shared" si="62"/>
        <v>0</v>
      </c>
      <c r="AA515">
        <f t="shared" si="62"/>
        <v>1</v>
      </c>
    </row>
    <row r="516" spans="1:27" x14ac:dyDescent="0.4">
      <c r="A516">
        <v>515</v>
      </c>
      <c r="B516">
        <v>3</v>
      </c>
      <c r="C516" t="s">
        <v>1051</v>
      </c>
      <c r="D516" t="s">
        <v>13</v>
      </c>
      <c r="E516">
        <v>24</v>
      </c>
      <c r="F516">
        <v>0</v>
      </c>
      <c r="G516">
        <v>0</v>
      </c>
      <c r="H516" t="s">
        <v>1052</v>
      </c>
      <c r="I516">
        <v>7.4958</v>
      </c>
      <c r="J516" t="s">
        <v>15</v>
      </c>
      <c r="K516" t="s">
        <v>16</v>
      </c>
      <c r="L516">
        <v>0</v>
      </c>
      <c r="R516">
        <f t="shared" si="59"/>
        <v>24</v>
      </c>
      <c r="S516" t="str">
        <f t="shared" si="60"/>
        <v>S</v>
      </c>
      <c r="U516">
        <f t="shared" si="61"/>
        <v>0</v>
      </c>
      <c r="V516">
        <f t="shared" si="58"/>
        <v>0</v>
      </c>
      <c r="W516">
        <f t="shared" si="58"/>
        <v>0</v>
      </c>
      <c r="X516">
        <f t="shared" si="58"/>
        <v>1</v>
      </c>
      <c r="Y516">
        <f t="shared" si="62"/>
        <v>1</v>
      </c>
      <c r="Z516">
        <f t="shared" si="62"/>
        <v>0</v>
      </c>
      <c r="AA516">
        <f t="shared" si="62"/>
        <v>0</v>
      </c>
    </row>
    <row r="517" spans="1:27" x14ac:dyDescent="0.4">
      <c r="A517">
        <v>516</v>
      </c>
      <c r="B517">
        <v>1</v>
      </c>
      <c r="C517" t="s">
        <v>1053</v>
      </c>
      <c r="D517" t="s">
        <v>13</v>
      </c>
      <c r="E517">
        <v>47</v>
      </c>
      <c r="F517">
        <v>0</v>
      </c>
      <c r="G517">
        <v>0</v>
      </c>
      <c r="H517" t="s">
        <v>1054</v>
      </c>
      <c r="I517">
        <v>34.020800000000001</v>
      </c>
      <c r="J517" t="s">
        <v>1055</v>
      </c>
      <c r="K517" t="s">
        <v>16</v>
      </c>
      <c r="L517">
        <v>0</v>
      </c>
      <c r="R517">
        <f t="shared" si="59"/>
        <v>47</v>
      </c>
      <c r="S517" t="str">
        <f t="shared" si="60"/>
        <v>S</v>
      </c>
      <c r="U517">
        <f t="shared" si="61"/>
        <v>0</v>
      </c>
      <c r="V517">
        <f t="shared" si="58"/>
        <v>1</v>
      </c>
      <c r="W517">
        <f t="shared" si="58"/>
        <v>0</v>
      </c>
      <c r="X517">
        <f t="shared" si="58"/>
        <v>0</v>
      </c>
      <c r="Y517">
        <f t="shared" si="62"/>
        <v>1</v>
      </c>
      <c r="Z517">
        <f t="shared" si="62"/>
        <v>0</v>
      </c>
      <c r="AA517">
        <f t="shared" si="62"/>
        <v>0</v>
      </c>
    </row>
    <row r="518" spans="1:27" x14ac:dyDescent="0.4">
      <c r="A518">
        <v>517</v>
      </c>
      <c r="B518">
        <v>2</v>
      </c>
      <c r="C518" t="s">
        <v>1056</v>
      </c>
      <c r="D518" t="s">
        <v>18</v>
      </c>
      <c r="E518">
        <v>34</v>
      </c>
      <c r="F518">
        <v>0</v>
      </c>
      <c r="G518">
        <v>0</v>
      </c>
      <c r="H518" t="s">
        <v>1057</v>
      </c>
      <c r="I518">
        <v>10.5</v>
      </c>
      <c r="J518" t="s">
        <v>165</v>
      </c>
      <c r="K518" t="s">
        <v>16</v>
      </c>
      <c r="L518">
        <v>1</v>
      </c>
      <c r="R518">
        <f t="shared" si="59"/>
        <v>34</v>
      </c>
      <c r="S518" t="str">
        <f t="shared" si="60"/>
        <v>S</v>
      </c>
      <c r="U518">
        <f t="shared" si="61"/>
        <v>1</v>
      </c>
      <c r="V518">
        <f t="shared" si="58"/>
        <v>0</v>
      </c>
      <c r="W518">
        <f t="shared" si="58"/>
        <v>1</v>
      </c>
      <c r="X518">
        <f t="shared" si="58"/>
        <v>0</v>
      </c>
      <c r="Y518">
        <f t="shared" si="62"/>
        <v>1</v>
      </c>
      <c r="Z518">
        <f t="shared" si="62"/>
        <v>0</v>
      </c>
      <c r="AA518">
        <f t="shared" si="62"/>
        <v>0</v>
      </c>
    </row>
    <row r="519" spans="1:27" x14ac:dyDescent="0.4">
      <c r="A519">
        <v>518</v>
      </c>
      <c r="B519">
        <v>3</v>
      </c>
      <c r="C519" t="s">
        <v>1058</v>
      </c>
      <c r="D519" t="s">
        <v>13</v>
      </c>
      <c r="F519">
        <v>0</v>
      </c>
      <c r="G519">
        <v>0</v>
      </c>
      <c r="H519" t="s">
        <v>254</v>
      </c>
      <c r="I519">
        <v>24.15</v>
      </c>
      <c r="J519" t="s">
        <v>15</v>
      </c>
      <c r="K519" t="s">
        <v>31</v>
      </c>
      <c r="L519">
        <v>0</v>
      </c>
      <c r="R519">
        <f t="shared" si="59"/>
        <v>28</v>
      </c>
      <c r="S519" t="str">
        <f t="shared" si="60"/>
        <v>Q</v>
      </c>
      <c r="U519">
        <f t="shared" si="61"/>
        <v>0</v>
      </c>
      <c r="V519">
        <f t="shared" si="58"/>
        <v>0</v>
      </c>
      <c r="W519">
        <f t="shared" si="58"/>
        <v>0</v>
      </c>
      <c r="X519">
        <f t="shared" si="58"/>
        <v>1</v>
      </c>
      <c r="Y519">
        <f t="shared" si="62"/>
        <v>0</v>
      </c>
      <c r="Z519">
        <f t="shared" si="62"/>
        <v>1</v>
      </c>
      <c r="AA519">
        <f t="shared" si="62"/>
        <v>0</v>
      </c>
    </row>
    <row r="520" spans="1:27" x14ac:dyDescent="0.4">
      <c r="A520">
        <v>519</v>
      </c>
      <c r="B520">
        <v>2</v>
      </c>
      <c r="C520" t="s">
        <v>1059</v>
      </c>
      <c r="D520" t="s">
        <v>18</v>
      </c>
      <c r="E520">
        <v>36</v>
      </c>
      <c r="F520">
        <v>1</v>
      </c>
      <c r="G520">
        <v>0</v>
      </c>
      <c r="H520" t="s">
        <v>1060</v>
      </c>
      <c r="I520">
        <v>26</v>
      </c>
      <c r="J520" t="s">
        <v>15</v>
      </c>
      <c r="K520" t="s">
        <v>16</v>
      </c>
      <c r="L520">
        <v>1</v>
      </c>
      <c r="R520">
        <f t="shared" si="59"/>
        <v>36</v>
      </c>
      <c r="S520" t="str">
        <f t="shared" si="60"/>
        <v>S</v>
      </c>
      <c r="U520">
        <f t="shared" si="61"/>
        <v>1</v>
      </c>
      <c r="V520">
        <f t="shared" si="58"/>
        <v>0</v>
      </c>
      <c r="W520">
        <f t="shared" si="58"/>
        <v>1</v>
      </c>
      <c r="X520">
        <f t="shared" si="58"/>
        <v>0</v>
      </c>
      <c r="Y520">
        <f t="shared" si="62"/>
        <v>1</v>
      </c>
      <c r="Z520">
        <f t="shared" si="62"/>
        <v>0</v>
      </c>
      <c r="AA520">
        <f t="shared" si="62"/>
        <v>0</v>
      </c>
    </row>
    <row r="521" spans="1:27" x14ac:dyDescent="0.4">
      <c r="A521">
        <v>520</v>
      </c>
      <c r="B521">
        <v>3</v>
      </c>
      <c r="C521" t="s">
        <v>1061</v>
      </c>
      <c r="D521" t="s">
        <v>13</v>
      </c>
      <c r="E521">
        <v>32</v>
      </c>
      <c r="F521">
        <v>0</v>
      </c>
      <c r="G521">
        <v>0</v>
      </c>
      <c r="H521" t="s">
        <v>1062</v>
      </c>
      <c r="I521">
        <v>7.8958000000000004</v>
      </c>
      <c r="J521" t="s">
        <v>15</v>
      </c>
      <c r="K521" t="s">
        <v>16</v>
      </c>
      <c r="L521">
        <v>0</v>
      </c>
      <c r="R521">
        <f t="shared" si="59"/>
        <v>32</v>
      </c>
      <c r="S521" t="str">
        <f t="shared" si="60"/>
        <v>S</v>
      </c>
      <c r="U521">
        <f t="shared" si="61"/>
        <v>0</v>
      </c>
      <c r="V521">
        <f t="shared" si="58"/>
        <v>0</v>
      </c>
      <c r="W521">
        <f t="shared" si="58"/>
        <v>0</v>
      </c>
      <c r="X521">
        <f t="shared" si="58"/>
        <v>1</v>
      </c>
      <c r="Y521">
        <f t="shared" si="62"/>
        <v>1</v>
      </c>
      <c r="Z521">
        <f t="shared" si="62"/>
        <v>0</v>
      </c>
      <c r="AA521">
        <f t="shared" si="62"/>
        <v>0</v>
      </c>
    </row>
    <row r="522" spans="1:27" x14ac:dyDescent="0.4">
      <c r="A522">
        <v>521</v>
      </c>
      <c r="B522">
        <v>1</v>
      </c>
      <c r="C522" t="s">
        <v>1063</v>
      </c>
      <c r="D522" t="s">
        <v>18</v>
      </c>
      <c r="E522">
        <v>30</v>
      </c>
      <c r="F522">
        <v>0</v>
      </c>
      <c r="G522">
        <v>0</v>
      </c>
      <c r="H522" t="s">
        <v>1064</v>
      </c>
      <c r="I522">
        <v>93.5</v>
      </c>
      <c r="J522" t="s">
        <v>1065</v>
      </c>
      <c r="K522" t="s">
        <v>16</v>
      </c>
      <c r="L522">
        <v>1</v>
      </c>
      <c r="R522">
        <f t="shared" si="59"/>
        <v>30</v>
      </c>
      <c r="S522" t="str">
        <f t="shared" si="60"/>
        <v>S</v>
      </c>
      <c r="U522">
        <f t="shared" si="61"/>
        <v>1</v>
      </c>
      <c r="V522">
        <f t="shared" ref="V522:X541" si="63">IF("Pclass_"&amp;$B522=V$1,1,0)</f>
        <v>1</v>
      </c>
      <c r="W522">
        <f t="shared" si="63"/>
        <v>0</v>
      </c>
      <c r="X522">
        <f t="shared" si="63"/>
        <v>0</v>
      </c>
      <c r="Y522">
        <f t="shared" si="62"/>
        <v>1</v>
      </c>
      <c r="Z522">
        <f t="shared" si="62"/>
        <v>0</v>
      </c>
      <c r="AA522">
        <f t="shared" si="62"/>
        <v>0</v>
      </c>
    </row>
    <row r="523" spans="1:27" x14ac:dyDescent="0.4">
      <c r="A523">
        <v>522</v>
      </c>
      <c r="B523">
        <v>3</v>
      </c>
      <c r="C523" t="s">
        <v>1066</v>
      </c>
      <c r="D523" t="s">
        <v>13</v>
      </c>
      <c r="E523">
        <v>22</v>
      </c>
      <c r="F523">
        <v>0</v>
      </c>
      <c r="G523">
        <v>0</v>
      </c>
      <c r="H523" t="s">
        <v>1067</v>
      </c>
      <c r="I523">
        <v>7.8958000000000004</v>
      </c>
      <c r="J523" t="s">
        <v>15</v>
      </c>
      <c r="K523" t="s">
        <v>16</v>
      </c>
      <c r="L523">
        <v>0</v>
      </c>
      <c r="R523">
        <f t="shared" si="59"/>
        <v>22</v>
      </c>
      <c r="S523" t="str">
        <f t="shared" si="60"/>
        <v>S</v>
      </c>
      <c r="U523">
        <f t="shared" si="61"/>
        <v>0</v>
      </c>
      <c r="V523">
        <f t="shared" si="63"/>
        <v>0</v>
      </c>
      <c r="W523">
        <f t="shared" si="63"/>
        <v>0</v>
      </c>
      <c r="X523">
        <f t="shared" si="63"/>
        <v>1</v>
      </c>
      <c r="Y523">
        <f t="shared" si="62"/>
        <v>1</v>
      </c>
      <c r="Z523">
        <f t="shared" si="62"/>
        <v>0</v>
      </c>
      <c r="AA523">
        <f t="shared" si="62"/>
        <v>0</v>
      </c>
    </row>
    <row r="524" spans="1:27" x14ac:dyDescent="0.4">
      <c r="A524">
        <v>523</v>
      </c>
      <c r="B524">
        <v>3</v>
      </c>
      <c r="C524" t="s">
        <v>1068</v>
      </c>
      <c r="D524" t="s">
        <v>13</v>
      </c>
      <c r="F524">
        <v>0</v>
      </c>
      <c r="G524">
        <v>0</v>
      </c>
      <c r="H524" t="s">
        <v>1069</v>
      </c>
      <c r="I524">
        <v>7.2249999999999996</v>
      </c>
      <c r="J524" t="s">
        <v>15</v>
      </c>
      <c r="K524" t="s">
        <v>21</v>
      </c>
      <c r="L524">
        <v>0</v>
      </c>
      <c r="R524">
        <f t="shared" si="59"/>
        <v>28</v>
      </c>
      <c r="S524" t="str">
        <f t="shared" si="60"/>
        <v>C</v>
      </c>
      <c r="U524">
        <f t="shared" si="61"/>
        <v>0</v>
      </c>
      <c r="V524">
        <f t="shared" si="63"/>
        <v>0</v>
      </c>
      <c r="W524">
        <f t="shared" si="63"/>
        <v>0</v>
      </c>
      <c r="X524">
        <f t="shared" si="63"/>
        <v>1</v>
      </c>
      <c r="Y524">
        <f t="shared" si="62"/>
        <v>0</v>
      </c>
      <c r="Z524">
        <f t="shared" si="62"/>
        <v>0</v>
      </c>
      <c r="AA524">
        <f t="shared" si="62"/>
        <v>1</v>
      </c>
    </row>
    <row r="525" spans="1:27" x14ac:dyDescent="0.4">
      <c r="A525">
        <v>524</v>
      </c>
      <c r="B525">
        <v>1</v>
      </c>
      <c r="C525" t="s">
        <v>1070</v>
      </c>
      <c r="D525" t="s">
        <v>18</v>
      </c>
      <c r="E525">
        <v>44</v>
      </c>
      <c r="F525">
        <v>0</v>
      </c>
      <c r="G525">
        <v>1</v>
      </c>
      <c r="H525" t="s">
        <v>700</v>
      </c>
      <c r="I525">
        <v>57.979199999999999</v>
      </c>
      <c r="J525" t="s">
        <v>701</v>
      </c>
      <c r="K525" t="s">
        <v>21</v>
      </c>
      <c r="L525">
        <v>1</v>
      </c>
      <c r="R525">
        <f t="shared" si="59"/>
        <v>44</v>
      </c>
      <c r="S525" t="str">
        <f t="shared" si="60"/>
        <v>C</v>
      </c>
      <c r="U525">
        <f t="shared" si="61"/>
        <v>1</v>
      </c>
      <c r="V525">
        <f t="shared" si="63"/>
        <v>1</v>
      </c>
      <c r="W525">
        <f t="shared" si="63"/>
        <v>0</v>
      </c>
      <c r="X525">
        <f t="shared" si="63"/>
        <v>0</v>
      </c>
      <c r="Y525">
        <f t="shared" si="62"/>
        <v>0</v>
      </c>
      <c r="Z525">
        <f t="shared" si="62"/>
        <v>0</v>
      </c>
      <c r="AA525">
        <f t="shared" si="62"/>
        <v>1</v>
      </c>
    </row>
    <row r="526" spans="1:27" x14ac:dyDescent="0.4">
      <c r="A526">
        <v>525</v>
      </c>
      <c r="B526">
        <v>3</v>
      </c>
      <c r="C526" t="s">
        <v>1071</v>
      </c>
      <c r="D526" t="s">
        <v>13</v>
      </c>
      <c r="F526">
        <v>0</v>
      </c>
      <c r="G526">
        <v>0</v>
      </c>
      <c r="H526" t="s">
        <v>1072</v>
      </c>
      <c r="I526">
        <v>7.2291999999999996</v>
      </c>
      <c r="J526" t="s">
        <v>15</v>
      </c>
      <c r="K526" t="s">
        <v>21</v>
      </c>
      <c r="L526">
        <v>0</v>
      </c>
      <c r="R526">
        <f t="shared" si="59"/>
        <v>28</v>
      </c>
      <c r="S526" t="str">
        <f t="shared" si="60"/>
        <v>C</v>
      </c>
      <c r="U526">
        <f t="shared" si="61"/>
        <v>0</v>
      </c>
      <c r="V526">
        <f t="shared" si="63"/>
        <v>0</v>
      </c>
      <c r="W526">
        <f t="shared" si="63"/>
        <v>0</v>
      </c>
      <c r="X526">
        <f t="shared" si="63"/>
        <v>1</v>
      </c>
      <c r="Y526">
        <f t="shared" si="62"/>
        <v>0</v>
      </c>
      <c r="Z526">
        <f t="shared" si="62"/>
        <v>0</v>
      </c>
      <c r="AA526">
        <f t="shared" si="62"/>
        <v>1</v>
      </c>
    </row>
    <row r="527" spans="1:27" x14ac:dyDescent="0.4">
      <c r="A527">
        <v>526</v>
      </c>
      <c r="B527">
        <v>3</v>
      </c>
      <c r="C527" t="s">
        <v>1073</v>
      </c>
      <c r="D527" t="s">
        <v>13</v>
      </c>
      <c r="E527">
        <v>40.5</v>
      </c>
      <c r="F527">
        <v>0</v>
      </c>
      <c r="G527">
        <v>0</v>
      </c>
      <c r="H527" t="s">
        <v>1074</v>
      </c>
      <c r="I527">
        <v>7.75</v>
      </c>
      <c r="J527" t="s">
        <v>15</v>
      </c>
      <c r="K527" t="s">
        <v>31</v>
      </c>
      <c r="L527">
        <v>0</v>
      </c>
      <c r="R527">
        <f t="shared" si="59"/>
        <v>40.5</v>
      </c>
      <c r="S527" t="str">
        <f t="shared" si="60"/>
        <v>Q</v>
      </c>
      <c r="U527">
        <f t="shared" si="61"/>
        <v>0</v>
      </c>
      <c r="V527">
        <f t="shared" si="63"/>
        <v>0</v>
      </c>
      <c r="W527">
        <f t="shared" si="63"/>
        <v>0</v>
      </c>
      <c r="X527">
        <f t="shared" si="63"/>
        <v>1</v>
      </c>
      <c r="Y527">
        <f t="shared" si="62"/>
        <v>0</v>
      </c>
      <c r="Z527">
        <f t="shared" si="62"/>
        <v>1</v>
      </c>
      <c r="AA527">
        <f t="shared" si="62"/>
        <v>0</v>
      </c>
    </row>
    <row r="528" spans="1:27" x14ac:dyDescent="0.4">
      <c r="A528">
        <v>527</v>
      </c>
      <c r="B528">
        <v>2</v>
      </c>
      <c r="C528" t="s">
        <v>1075</v>
      </c>
      <c r="D528" t="s">
        <v>18</v>
      </c>
      <c r="E528">
        <v>50</v>
      </c>
      <c r="F528">
        <v>0</v>
      </c>
      <c r="G528">
        <v>0</v>
      </c>
      <c r="H528" t="s">
        <v>1076</v>
      </c>
      <c r="I528">
        <v>10.5</v>
      </c>
      <c r="J528" t="s">
        <v>15</v>
      </c>
      <c r="K528" t="s">
        <v>16</v>
      </c>
      <c r="L528">
        <v>1</v>
      </c>
      <c r="R528">
        <f t="shared" si="59"/>
        <v>50</v>
      </c>
      <c r="S528" t="str">
        <f t="shared" si="60"/>
        <v>S</v>
      </c>
      <c r="U528">
        <f t="shared" si="61"/>
        <v>1</v>
      </c>
      <c r="V528">
        <f t="shared" si="63"/>
        <v>0</v>
      </c>
      <c r="W528">
        <f t="shared" si="63"/>
        <v>1</v>
      </c>
      <c r="X528">
        <f t="shared" si="63"/>
        <v>0</v>
      </c>
      <c r="Y528">
        <f t="shared" si="62"/>
        <v>1</v>
      </c>
      <c r="Z528">
        <f t="shared" si="62"/>
        <v>0</v>
      </c>
      <c r="AA528">
        <f t="shared" si="62"/>
        <v>0</v>
      </c>
    </row>
    <row r="529" spans="1:27" x14ac:dyDescent="0.4">
      <c r="A529">
        <v>528</v>
      </c>
      <c r="B529">
        <v>1</v>
      </c>
      <c r="C529" t="s">
        <v>1077</v>
      </c>
      <c r="D529" t="s">
        <v>13</v>
      </c>
      <c r="F529">
        <v>0</v>
      </c>
      <c r="G529">
        <v>0</v>
      </c>
      <c r="H529" t="s">
        <v>1078</v>
      </c>
      <c r="I529">
        <v>221.7792</v>
      </c>
      <c r="J529" t="s">
        <v>1079</v>
      </c>
      <c r="K529" t="s">
        <v>16</v>
      </c>
      <c r="L529">
        <v>0</v>
      </c>
      <c r="R529">
        <f t="shared" si="59"/>
        <v>28</v>
      </c>
      <c r="S529" t="str">
        <f t="shared" si="60"/>
        <v>S</v>
      </c>
      <c r="U529">
        <f t="shared" si="61"/>
        <v>0</v>
      </c>
      <c r="V529">
        <f t="shared" si="63"/>
        <v>1</v>
      </c>
      <c r="W529">
        <f t="shared" si="63"/>
        <v>0</v>
      </c>
      <c r="X529">
        <f t="shared" si="63"/>
        <v>0</v>
      </c>
      <c r="Y529">
        <f t="shared" si="62"/>
        <v>1</v>
      </c>
      <c r="Z529">
        <f t="shared" si="62"/>
        <v>0</v>
      </c>
      <c r="AA529">
        <f t="shared" si="62"/>
        <v>0</v>
      </c>
    </row>
    <row r="530" spans="1:27" x14ac:dyDescent="0.4">
      <c r="A530">
        <v>529</v>
      </c>
      <c r="B530">
        <v>3</v>
      </c>
      <c r="C530" t="s">
        <v>1080</v>
      </c>
      <c r="D530" t="s">
        <v>13</v>
      </c>
      <c r="E530">
        <v>39</v>
      </c>
      <c r="F530">
        <v>0</v>
      </c>
      <c r="G530">
        <v>0</v>
      </c>
      <c r="H530" t="s">
        <v>1081</v>
      </c>
      <c r="I530">
        <v>7.9249999999999998</v>
      </c>
      <c r="J530" t="s">
        <v>15</v>
      </c>
      <c r="K530" t="s">
        <v>16</v>
      </c>
      <c r="L530">
        <v>0</v>
      </c>
      <c r="R530">
        <f t="shared" si="59"/>
        <v>39</v>
      </c>
      <c r="S530" t="str">
        <f t="shared" si="60"/>
        <v>S</v>
      </c>
      <c r="U530">
        <f t="shared" si="61"/>
        <v>0</v>
      </c>
      <c r="V530">
        <f t="shared" si="63"/>
        <v>0</v>
      </c>
      <c r="W530">
        <f t="shared" si="63"/>
        <v>0</v>
      </c>
      <c r="X530">
        <f t="shared" si="63"/>
        <v>1</v>
      </c>
      <c r="Y530">
        <f t="shared" si="62"/>
        <v>1</v>
      </c>
      <c r="Z530">
        <f t="shared" si="62"/>
        <v>0</v>
      </c>
      <c r="AA530">
        <f t="shared" si="62"/>
        <v>0</v>
      </c>
    </row>
    <row r="531" spans="1:27" x14ac:dyDescent="0.4">
      <c r="A531">
        <v>530</v>
      </c>
      <c r="B531">
        <v>2</v>
      </c>
      <c r="C531" t="s">
        <v>1082</v>
      </c>
      <c r="D531" t="s">
        <v>13</v>
      </c>
      <c r="E531">
        <v>23</v>
      </c>
      <c r="F531">
        <v>2</v>
      </c>
      <c r="G531">
        <v>1</v>
      </c>
      <c r="H531" t="s">
        <v>1083</v>
      </c>
      <c r="I531">
        <v>11.5</v>
      </c>
      <c r="J531" t="s">
        <v>15</v>
      </c>
      <c r="K531" t="s">
        <v>16</v>
      </c>
      <c r="L531">
        <v>0</v>
      </c>
      <c r="R531">
        <f t="shared" si="59"/>
        <v>23</v>
      </c>
      <c r="S531" t="str">
        <f t="shared" si="60"/>
        <v>S</v>
      </c>
      <c r="U531">
        <f t="shared" si="61"/>
        <v>0</v>
      </c>
      <c r="V531">
        <f t="shared" si="63"/>
        <v>0</v>
      </c>
      <c r="W531">
        <f t="shared" si="63"/>
        <v>1</v>
      </c>
      <c r="X531">
        <f t="shared" si="63"/>
        <v>0</v>
      </c>
      <c r="Y531">
        <f t="shared" si="62"/>
        <v>1</v>
      </c>
      <c r="Z531">
        <f t="shared" si="62"/>
        <v>0</v>
      </c>
      <c r="AA531">
        <f t="shared" si="62"/>
        <v>0</v>
      </c>
    </row>
    <row r="532" spans="1:27" x14ac:dyDescent="0.4">
      <c r="A532">
        <v>531</v>
      </c>
      <c r="B532">
        <v>2</v>
      </c>
      <c r="C532" t="s">
        <v>1084</v>
      </c>
      <c r="D532" t="s">
        <v>18</v>
      </c>
      <c r="E532">
        <v>2</v>
      </c>
      <c r="F532">
        <v>1</v>
      </c>
      <c r="G532">
        <v>1</v>
      </c>
      <c r="H532" t="s">
        <v>1036</v>
      </c>
      <c r="I532">
        <v>26</v>
      </c>
      <c r="J532" t="s">
        <v>15</v>
      </c>
      <c r="K532" t="s">
        <v>16</v>
      </c>
      <c r="L532">
        <v>1</v>
      </c>
      <c r="R532">
        <f t="shared" si="59"/>
        <v>2</v>
      </c>
      <c r="S532" t="str">
        <f t="shared" si="60"/>
        <v>S</v>
      </c>
      <c r="U532">
        <f t="shared" si="61"/>
        <v>1</v>
      </c>
      <c r="V532">
        <f t="shared" si="63"/>
        <v>0</v>
      </c>
      <c r="W532">
        <f t="shared" si="63"/>
        <v>1</v>
      </c>
      <c r="X532">
        <f t="shared" si="63"/>
        <v>0</v>
      </c>
      <c r="Y532">
        <f t="shared" si="62"/>
        <v>1</v>
      </c>
      <c r="Z532">
        <f t="shared" si="62"/>
        <v>0</v>
      </c>
      <c r="AA532">
        <f t="shared" si="62"/>
        <v>0</v>
      </c>
    </row>
    <row r="533" spans="1:27" x14ac:dyDescent="0.4">
      <c r="A533">
        <v>532</v>
      </c>
      <c r="B533">
        <v>3</v>
      </c>
      <c r="C533" t="s">
        <v>1085</v>
      </c>
      <c r="D533" t="s">
        <v>13</v>
      </c>
      <c r="F533">
        <v>0</v>
      </c>
      <c r="G533">
        <v>0</v>
      </c>
      <c r="H533" t="s">
        <v>1086</v>
      </c>
      <c r="I533">
        <v>7.2291999999999996</v>
      </c>
      <c r="J533" t="s">
        <v>15</v>
      </c>
      <c r="K533" t="s">
        <v>21</v>
      </c>
      <c r="L533">
        <v>0</v>
      </c>
      <c r="R533">
        <f t="shared" si="59"/>
        <v>28</v>
      </c>
      <c r="S533" t="str">
        <f t="shared" si="60"/>
        <v>C</v>
      </c>
      <c r="U533">
        <f t="shared" si="61"/>
        <v>0</v>
      </c>
      <c r="V533">
        <f t="shared" si="63"/>
        <v>0</v>
      </c>
      <c r="W533">
        <f t="shared" si="63"/>
        <v>0</v>
      </c>
      <c r="X533">
        <f t="shared" si="63"/>
        <v>1</v>
      </c>
      <c r="Y533">
        <f t="shared" si="62"/>
        <v>0</v>
      </c>
      <c r="Z533">
        <f t="shared" si="62"/>
        <v>0</v>
      </c>
      <c r="AA533">
        <f t="shared" si="62"/>
        <v>1</v>
      </c>
    </row>
    <row r="534" spans="1:27" x14ac:dyDescent="0.4">
      <c r="A534">
        <v>533</v>
      </c>
      <c r="B534">
        <v>3</v>
      </c>
      <c r="C534" t="s">
        <v>1087</v>
      </c>
      <c r="D534" t="s">
        <v>13</v>
      </c>
      <c r="E534">
        <v>17</v>
      </c>
      <c r="F534">
        <v>1</v>
      </c>
      <c r="G534">
        <v>1</v>
      </c>
      <c r="H534" t="s">
        <v>1088</v>
      </c>
      <c r="I534">
        <v>7.2291999999999996</v>
      </c>
      <c r="J534" t="s">
        <v>15</v>
      </c>
      <c r="K534" t="s">
        <v>21</v>
      </c>
      <c r="L534">
        <v>0</v>
      </c>
      <c r="R534">
        <f t="shared" si="59"/>
        <v>17</v>
      </c>
      <c r="S534" t="str">
        <f t="shared" si="60"/>
        <v>C</v>
      </c>
      <c r="U534">
        <f t="shared" si="61"/>
        <v>0</v>
      </c>
      <c r="V534">
        <f t="shared" si="63"/>
        <v>0</v>
      </c>
      <c r="W534">
        <f t="shared" si="63"/>
        <v>0</v>
      </c>
      <c r="X534">
        <f t="shared" si="63"/>
        <v>1</v>
      </c>
      <c r="Y534">
        <f t="shared" si="62"/>
        <v>0</v>
      </c>
      <c r="Z534">
        <f t="shared" si="62"/>
        <v>0</v>
      </c>
      <c r="AA534">
        <f t="shared" si="62"/>
        <v>1</v>
      </c>
    </row>
    <row r="535" spans="1:27" x14ac:dyDescent="0.4">
      <c r="A535">
        <v>534</v>
      </c>
      <c r="B535">
        <v>3</v>
      </c>
      <c r="C535" t="s">
        <v>1089</v>
      </c>
      <c r="D535" t="s">
        <v>18</v>
      </c>
      <c r="F535">
        <v>0</v>
      </c>
      <c r="G535">
        <v>2</v>
      </c>
      <c r="H535" t="s">
        <v>289</v>
      </c>
      <c r="I535">
        <v>22.3583</v>
      </c>
      <c r="J535" t="s">
        <v>15</v>
      </c>
      <c r="K535" t="s">
        <v>21</v>
      </c>
      <c r="L535">
        <v>1</v>
      </c>
      <c r="R535">
        <f t="shared" si="59"/>
        <v>28</v>
      </c>
      <c r="S535" t="str">
        <f t="shared" si="60"/>
        <v>C</v>
      </c>
      <c r="U535">
        <f t="shared" si="61"/>
        <v>1</v>
      </c>
      <c r="V535">
        <f t="shared" si="63"/>
        <v>0</v>
      </c>
      <c r="W535">
        <f t="shared" si="63"/>
        <v>0</v>
      </c>
      <c r="X535">
        <f t="shared" si="63"/>
        <v>1</v>
      </c>
      <c r="Y535">
        <f t="shared" si="62"/>
        <v>0</v>
      </c>
      <c r="Z535">
        <f t="shared" si="62"/>
        <v>0</v>
      </c>
      <c r="AA535">
        <f t="shared" si="62"/>
        <v>1</v>
      </c>
    </row>
    <row r="536" spans="1:27" x14ac:dyDescent="0.4">
      <c r="A536">
        <v>535</v>
      </c>
      <c r="B536">
        <v>3</v>
      </c>
      <c r="C536" t="s">
        <v>1090</v>
      </c>
      <c r="D536" t="s">
        <v>18</v>
      </c>
      <c r="E536">
        <v>30</v>
      </c>
      <c r="F536">
        <v>0</v>
      </c>
      <c r="G536">
        <v>0</v>
      </c>
      <c r="H536" t="s">
        <v>1091</v>
      </c>
      <c r="I536">
        <v>8.6624999999999996</v>
      </c>
      <c r="J536" t="s">
        <v>15</v>
      </c>
      <c r="K536" t="s">
        <v>16</v>
      </c>
      <c r="L536">
        <v>0</v>
      </c>
      <c r="R536">
        <f t="shared" si="59"/>
        <v>30</v>
      </c>
      <c r="S536" t="str">
        <f t="shared" si="60"/>
        <v>S</v>
      </c>
      <c r="U536">
        <f t="shared" si="61"/>
        <v>1</v>
      </c>
      <c r="V536">
        <f t="shared" si="63"/>
        <v>0</v>
      </c>
      <c r="W536">
        <f t="shared" si="63"/>
        <v>0</v>
      </c>
      <c r="X536">
        <f t="shared" si="63"/>
        <v>1</v>
      </c>
      <c r="Y536">
        <f t="shared" si="62"/>
        <v>1</v>
      </c>
      <c r="Z536">
        <f t="shared" si="62"/>
        <v>0</v>
      </c>
      <c r="AA536">
        <f t="shared" si="62"/>
        <v>0</v>
      </c>
    </row>
    <row r="537" spans="1:27" x14ac:dyDescent="0.4">
      <c r="A537">
        <v>536</v>
      </c>
      <c r="B537">
        <v>2</v>
      </c>
      <c r="C537" t="s">
        <v>1092</v>
      </c>
      <c r="D537" t="s">
        <v>18</v>
      </c>
      <c r="E537">
        <v>7</v>
      </c>
      <c r="F537">
        <v>0</v>
      </c>
      <c r="G537">
        <v>2</v>
      </c>
      <c r="H537" t="s">
        <v>672</v>
      </c>
      <c r="I537">
        <v>26.25</v>
      </c>
      <c r="J537" t="s">
        <v>15</v>
      </c>
      <c r="K537" t="s">
        <v>16</v>
      </c>
      <c r="L537">
        <v>1</v>
      </c>
      <c r="R537">
        <f t="shared" si="59"/>
        <v>7</v>
      </c>
      <c r="S537" t="str">
        <f t="shared" si="60"/>
        <v>S</v>
      </c>
      <c r="U537">
        <f t="shared" si="61"/>
        <v>1</v>
      </c>
      <c r="V537">
        <f t="shared" si="63"/>
        <v>0</v>
      </c>
      <c r="W537">
        <f t="shared" si="63"/>
        <v>1</v>
      </c>
      <c r="X537">
        <f t="shared" si="63"/>
        <v>0</v>
      </c>
      <c r="Y537">
        <f t="shared" si="62"/>
        <v>1</v>
      </c>
      <c r="Z537">
        <f t="shared" si="62"/>
        <v>0</v>
      </c>
      <c r="AA537">
        <f t="shared" si="62"/>
        <v>0</v>
      </c>
    </row>
    <row r="538" spans="1:27" x14ac:dyDescent="0.4">
      <c r="A538">
        <v>537</v>
      </c>
      <c r="B538">
        <v>1</v>
      </c>
      <c r="C538" t="s">
        <v>1093</v>
      </c>
      <c r="D538" t="s">
        <v>13</v>
      </c>
      <c r="E538">
        <v>45</v>
      </c>
      <c r="F538">
        <v>0</v>
      </c>
      <c r="G538">
        <v>0</v>
      </c>
      <c r="H538" t="s">
        <v>1094</v>
      </c>
      <c r="I538">
        <v>26.55</v>
      </c>
      <c r="J538" t="s">
        <v>1095</v>
      </c>
      <c r="K538" t="s">
        <v>16</v>
      </c>
      <c r="L538">
        <v>0</v>
      </c>
      <c r="R538">
        <f t="shared" si="59"/>
        <v>45</v>
      </c>
      <c r="S538" t="str">
        <f t="shared" si="60"/>
        <v>S</v>
      </c>
      <c r="U538">
        <f t="shared" si="61"/>
        <v>0</v>
      </c>
      <c r="V538">
        <f t="shared" si="63"/>
        <v>1</v>
      </c>
      <c r="W538">
        <f t="shared" si="63"/>
        <v>0</v>
      </c>
      <c r="X538">
        <f t="shared" si="63"/>
        <v>0</v>
      </c>
      <c r="Y538">
        <f t="shared" si="62"/>
        <v>1</v>
      </c>
      <c r="Z538">
        <f t="shared" si="62"/>
        <v>0</v>
      </c>
      <c r="AA538">
        <f t="shared" si="62"/>
        <v>0</v>
      </c>
    </row>
    <row r="539" spans="1:27" x14ac:dyDescent="0.4">
      <c r="A539">
        <v>538</v>
      </c>
      <c r="B539">
        <v>1</v>
      </c>
      <c r="C539" t="s">
        <v>1096</v>
      </c>
      <c r="D539" t="s">
        <v>18</v>
      </c>
      <c r="E539">
        <v>30</v>
      </c>
      <c r="F539">
        <v>0</v>
      </c>
      <c r="G539">
        <v>0</v>
      </c>
      <c r="H539" t="s">
        <v>1097</v>
      </c>
      <c r="I539">
        <v>106.425</v>
      </c>
      <c r="J539" t="s">
        <v>15</v>
      </c>
      <c r="K539" t="s">
        <v>21</v>
      </c>
      <c r="L539">
        <v>1</v>
      </c>
      <c r="R539">
        <f t="shared" si="59"/>
        <v>30</v>
      </c>
      <c r="S539" t="str">
        <f t="shared" si="60"/>
        <v>C</v>
      </c>
      <c r="U539">
        <f t="shared" si="61"/>
        <v>1</v>
      </c>
      <c r="V539">
        <f t="shared" si="63"/>
        <v>1</v>
      </c>
      <c r="W539">
        <f t="shared" si="63"/>
        <v>0</v>
      </c>
      <c r="X539">
        <f t="shared" si="63"/>
        <v>0</v>
      </c>
      <c r="Y539">
        <f t="shared" si="62"/>
        <v>0</v>
      </c>
      <c r="Z539">
        <f t="shared" si="62"/>
        <v>0</v>
      </c>
      <c r="AA539">
        <f t="shared" si="62"/>
        <v>1</v>
      </c>
    </row>
    <row r="540" spans="1:27" x14ac:dyDescent="0.4">
      <c r="A540">
        <v>539</v>
      </c>
      <c r="B540">
        <v>3</v>
      </c>
      <c r="C540" t="s">
        <v>1098</v>
      </c>
      <c r="D540" t="s">
        <v>13</v>
      </c>
      <c r="F540">
        <v>0</v>
      </c>
      <c r="G540">
        <v>0</v>
      </c>
      <c r="H540" t="s">
        <v>1099</v>
      </c>
      <c r="I540">
        <v>14.5</v>
      </c>
      <c r="J540" t="s">
        <v>15</v>
      </c>
      <c r="K540" t="s">
        <v>16</v>
      </c>
      <c r="L540">
        <v>0</v>
      </c>
      <c r="R540">
        <f t="shared" si="59"/>
        <v>28</v>
      </c>
      <c r="S540" t="str">
        <f t="shared" si="60"/>
        <v>S</v>
      </c>
      <c r="U540">
        <f t="shared" si="61"/>
        <v>0</v>
      </c>
      <c r="V540">
        <f t="shared" si="63"/>
        <v>0</v>
      </c>
      <c r="W540">
        <f t="shared" si="63"/>
        <v>0</v>
      </c>
      <c r="X540">
        <f t="shared" si="63"/>
        <v>1</v>
      </c>
      <c r="Y540">
        <f t="shared" si="62"/>
        <v>1</v>
      </c>
      <c r="Z540">
        <f t="shared" si="62"/>
        <v>0</v>
      </c>
      <c r="AA540">
        <f t="shared" si="62"/>
        <v>0</v>
      </c>
    </row>
    <row r="541" spans="1:27" x14ac:dyDescent="0.4">
      <c r="A541">
        <v>540</v>
      </c>
      <c r="B541">
        <v>1</v>
      </c>
      <c r="C541" t="s">
        <v>1100</v>
      </c>
      <c r="D541" t="s">
        <v>18</v>
      </c>
      <c r="E541">
        <v>22</v>
      </c>
      <c r="F541">
        <v>0</v>
      </c>
      <c r="G541">
        <v>2</v>
      </c>
      <c r="H541" t="s">
        <v>1101</v>
      </c>
      <c r="I541">
        <v>49.5</v>
      </c>
      <c r="J541" t="s">
        <v>1102</v>
      </c>
      <c r="K541" t="s">
        <v>21</v>
      </c>
      <c r="L541">
        <v>1</v>
      </c>
      <c r="R541">
        <f t="shared" si="59"/>
        <v>22</v>
      </c>
      <c r="S541" t="str">
        <f t="shared" si="60"/>
        <v>C</v>
      </c>
      <c r="U541">
        <f t="shared" si="61"/>
        <v>1</v>
      </c>
      <c r="V541">
        <f t="shared" si="63"/>
        <v>1</v>
      </c>
      <c r="W541">
        <f t="shared" si="63"/>
        <v>0</v>
      </c>
      <c r="X541">
        <f t="shared" si="63"/>
        <v>0</v>
      </c>
      <c r="Y541">
        <f t="shared" si="62"/>
        <v>0</v>
      </c>
      <c r="Z541">
        <f t="shared" si="62"/>
        <v>0</v>
      </c>
      <c r="AA541">
        <f t="shared" si="62"/>
        <v>1</v>
      </c>
    </row>
    <row r="542" spans="1:27" x14ac:dyDescent="0.4">
      <c r="A542">
        <v>541</v>
      </c>
      <c r="B542">
        <v>1</v>
      </c>
      <c r="C542" t="s">
        <v>1103</v>
      </c>
      <c r="D542" t="s">
        <v>18</v>
      </c>
      <c r="E542">
        <v>36</v>
      </c>
      <c r="F542">
        <v>0</v>
      </c>
      <c r="G542">
        <v>2</v>
      </c>
      <c r="H542" t="s">
        <v>1104</v>
      </c>
      <c r="I542">
        <v>71</v>
      </c>
      <c r="J542" t="s">
        <v>1105</v>
      </c>
      <c r="K542" t="s">
        <v>16</v>
      </c>
      <c r="L542">
        <v>1</v>
      </c>
      <c r="R542">
        <f t="shared" si="59"/>
        <v>36</v>
      </c>
      <c r="S542" t="str">
        <f t="shared" si="60"/>
        <v>S</v>
      </c>
      <c r="U542">
        <f t="shared" si="61"/>
        <v>1</v>
      </c>
      <c r="V542">
        <f t="shared" ref="V542:X561" si="64">IF("Pclass_"&amp;$B542=V$1,1,0)</f>
        <v>1</v>
      </c>
      <c r="W542">
        <f t="shared" si="64"/>
        <v>0</v>
      </c>
      <c r="X542">
        <f t="shared" si="64"/>
        <v>0</v>
      </c>
      <c r="Y542">
        <f t="shared" si="62"/>
        <v>1</v>
      </c>
      <c r="Z542">
        <f t="shared" si="62"/>
        <v>0</v>
      </c>
      <c r="AA542">
        <f t="shared" si="62"/>
        <v>0</v>
      </c>
    </row>
    <row r="543" spans="1:27" x14ac:dyDescent="0.4">
      <c r="A543">
        <v>542</v>
      </c>
      <c r="B543">
        <v>3</v>
      </c>
      <c r="C543" t="s">
        <v>1106</v>
      </c>
      <c r="D543" t="s">
        <v>18</v>
      </c>
      <c r="E543">
        <v>9</v>
      </c>
      <c r="F543">
        <v>4</v>
      </c>
      <c r="G543">
        <v>2</v>
      </c>
      <c r="H543" t="s">
        <v>50</v>
      </c>
      <c r="I543">
        <v>31.274999999999999</v>
      </c>
      <c r="J543" t="s">
        <v>15</v>
      </c>
      <c r="K543" t="s">
        <v>16</v>
      </c>
      <c r="L543">
        <v>0</v>
      </c>
      <c r="R543">
        <f t="shared" si="59"/>
        <v>9</v>
      </c>
      <c r="S543" t="str">
        <f t="shared" si="60"/>
        <v>S</v>
      </c>
      <c r="U543">
        <f t="shared" si="61"/>
        <v>1</v>
      </c>
      <c r="V543">
        <f t="shared" si="64"/>
        <v>0</v>
      </c>
      <c r="W543">
        <f t="shared" si="64"/>
        <v>0</v>
      </c>
      <c r="X543">
        <f t="shared" si="64"/>
        <v>1</v>
      </c>
      <c r="Y543">
        <f t="shared" si="62"/>
        <v>1</v>
      </c>
      <c r="Z543">
        <f t="shared" si="62"/>
        <v>0</v>
      </c>
      <c r="AA543">
        <f t="shared" si="62"/>
        <v>0</v>
      </c>
    </row>
    <row r="544" spans="1:27" x14ac:dyDescent="0.4">
      <c r="A544">
        <v>543</v>
      </c>
      <c r="B544">
        <v>3</v>
      </c>
      <c r="C544" t="s">
        <v>1107</v>
      </c>
      <c r="D544" t="s">
        <v>18</v>
      </c>
      <c r="E544">
        <v>11</v>
      </c>
      <c r="F544">
        <v>4</v>
      </c>
      <c r="G544">
        <v>2</v>
      </c>
      <c r="H544" t="s">
        <v>50</v>
      </c>
      <c r="I544">
        <v>31.274999999999999</v>
      </c>
      <c r="J544" t="s">
        <v>15</v>
      </c>
      <c r="K544" t="s">
        <v>16</v>
      </c>
      <c r="L544">
        <v>0</v>
      </c>
      <c r="R544">
        <f t="shared" si="59"/>
        <v>11</v>
      </c>
      <c r="S544" t="str">
        <f t="shared" si="60"/>
        <v>S</v>
      </c>
      <c r="U544">
        <f t="shared" si="61"/>
        <v>1</v>
      </c>
      <c r="V544">
        <f t="shared" si="64"/>
        <v>0</v>
      </c>
      <c r="W544">
        <f t="shared" si="64"/>
        <v>0</v>
      </c>
      <c r="X544">
        <f t="shared" si="64"/>
        <v>1</v>
      </c>
      <c r="Y544">
        <f t="shared" si="62"/>
        <v>1</v>
      </c>
      <c r="Z544">
        <f t="shared" si="62"/>
        <v>0</v>
      </c>
      <c r="AA544">
        <f t="shared" si="62"/>
        <v>0</v>
      </c>
    </row>
    <row r="545" spans="1:27" x14ac:dyDescent="0.4">
      <c r="A545">
        <v>544</v>
      </c>
      <c r="B545">
        <v>2</v>
      </c>
      <c r="C545" t="s">
        <v>1108</v>
      </c>
      <c r="D545" t="s">
        <v>13</v>
      </c>
      <c r="E545">
        <v>32</v>
      </c>
      <c r="F545">
        <v>1</v>
      </c>
      <c r="G545">
        <v>0</v>
      </c>
      <c r="H545" t="s">
        <v>1109</v>
      </c>
      <c r="I545">
        <v>26</v>
      </c>
      <c r="J545" t="s">
        <v>15</v>
      </c>
      <c r="K545" t="s">
        <v>16</v>
      </c>
      <c r="L545">
        <v>1</v>
      </c>
      <c r="R545">
        <f t="shared" si="59"/>
        <v>32</v>
      </c>
      <c r="S545" t="str">
        <f t="shared" si="60"/>
        <v>S</v>
      </c>
      <c r="U545">
        <f t="shared" si="61"/>
        <v>0</v>
      </c>
      <c r="V545">
        <f t="shared" si="64"/>
        <v>0</v>
      </c>
      <c r="W545">
        <f t="shared" si="64"/>
        <v>1</v>
      </c>
      <c r="X545">
        <f t="shared" si="64"/>
        <v>0</v>
      </c>
      <c r="Y545">
        <f t="shared" si="62"/>
        <v>1</v>
      </c>
      <c r="Z545">
        <f t="shared" si="62"/>
        <v>0</v>
      </c>
      <c r="AA545">
        <f t="shared" si="62"/>
        <v>0</v>
      </c>
    </row>
    <row r="546" spans="1:27" x14ac:dyDescent="0.4">
      <c r="A546">
        <v>545</v>
      </c>
      <c r="B546">
        <v>1</v>
      </c>
      <c r="C546" t="s">
        <v>1110</v>
      </c>
      <c r="D546" t="s">
        <v>13</v>
      </c>
      <c r="E546">
        <v>50</v>
      </c>
      <c r="F546">
        <v>1</v>
      </c>
      <c r="G546">
        <v>0</v>
      </c>
      <c r="H546" t="s">
        <v>1097</v>
      </c>
      <c r="I546">
        <v>106.425</v>
      </c>
      <c r="J546" t="s">
        <v>1111</v>
      </c>
      <c r="K546" t="s">
        <v>21</v>
      </c>
      <c r="L546">
        <v>0</v>
      </c>
      <c r="R546">
        <f t="shared" si="59"/>
        <v>50</v>
      </c>
      <c r="S546" t="str">
        <f t="shared" si="60"/>
        <v>C</v>
      </c>
      <c r="U546">
        <f t="shared" si="61"/>
        <v>0</v>
      </c>
      <c r="V546">
        <f t="shared" si="64"/>
        <v>1</v>
      </c>
      <c r="W546">
        <f t="shared" si="64"/>
        <v>0</v>
      </c>
      <c r="X546">
        <f t="shared" si="64"/>
        <v>0</v>
      </c>
      <c r="Y546">
        <f t="shared" si="62"/>
        <v>0</v>
      </c>
      <c r="Z546">
        <f t="shared" si="62"/>
        <v>0</v>
      </c>
      <c r="AA546">
        <f t="shared" si="62"/>
        <v>1</v>
      </c>
    </row>
    <row r="547" spans="1:27" x14ac:dyDescent="0.4">
      <c r="A547">
        <v>546</v>
      </c>
      <c r="B547">
        <v>1</v>
      </c>
      <c r="C547" t="s">
        <v>1112</v>
      </c>
      <c r="D547" t="s">
        <v>13</v>
      </c>
      <c r="E547">
        <v>64</v>
      </c>
      <c r="F547">
        <v>0</v>
      </c>
      <c r="G547">
        <v>0</v>
      </c>
      <c r="H547" t="s">
        <v>1113</v>
      </c>
      <c r="I547">
        <v>26</v>
      </c>
      <c r="J547" t="s">
        <v>15</v>
      </c>
      <c r="K547" t="s">
        <v>16</v>
      </c>
      <c r="L547">
        <v>0</v>
      </c>
      <c r="R547">
        <f t="shared" si="59"/>
        <v>64</v>
      </c>
      <c r="S547" t="str">
        <f t="shared" si="60"/>
        <v>S</v>
      </c>
      <c r="U547">
        <f t="shared" si="61"/>
        <v>0</v>
      </c>
      <c r="V547">
        <f t="shared" si="64"/>
        <v>1</v>
      </c>
      <c r="W547">
        <f t="shared" si="64"/>
        <v>0</v>
      </c>
      <c r="X547">
        <f t="shared" si="64"/>
        <v>0</v>
      </c>
      <c r="Y547">
        <f t="shared" si="62"/>
        <v>1</v>
      </c>
      <c r="Z547">
        <f t="shared" si="62"/>
        <v>0</v>
      </c>
      <c r="AA547">
        <f t="shared" si="62"/>
        <v>0</v>
      </c>
    </row>
    <row r="548" spans="1:27" x14ac:dyDescent="0.4">
      <c r="A548">
        <v>547</v>
      </c>
      <c r="B548">
        <v>2</v>
      </c>
      <c r="C548" t="s">
        <v>1114</v>
      </c>
      <c r="D548" t="s">
        <v>18</v>
      </c>
      <c r="E548">
        <v>19</v>
      </c>
      <c r="F548">
        <v>1</v>
      </c>
      <c r="G548">
        <v>0</v>
      </c>
      <c r="H548" t="s">
        <v>1109</v>
      </c>
      <c r="I548">
        <v>26</v>
      </c>
      <c r="J548" t="s">
        <v>15</v>
      </c>
      <c r="K548" t="s">
        <v>16</v>
      </c>
      <c r="L548">
        <v>1</v>
      </c>
      <c r="R548">
        <f t="shared" si="59"/>
        <v>19</v>
      </c>
      <c r="S548" t="str">
        <f t="shared" si="60"/>
        <v>S</v>
      </c>
      <c r="U548">
        <f t="shared" si="61"/>
        <v>1</v>
      </c>
      <c r="V548">
        <f t="shared" si="64"/>
        <v>0</v>
      </c>
      <c r="W548">
        <f t="shared" si="64"/>
        <v>1</v>
      </c>
      <c r="X548">
        <f t="shared" si="64"/>
        <v>0</v>
      </c>
      <c r="Y548">
        <f t="shared" si="62"/>
        <v>1</v>
      </c>
      <c r="Z548">
        <f t="shared" si="62"/>
        <v>0</v>
      </c>
      <c r="AA548">
        <f t="shared" si="62"/>
        <v>0</v>
      </c>
    </row>
    <row r="549" spans="1:27" x14ac:dyDescent="0.4">
      <c r="A549">
        <v>548</v>
      </c>
      <c r="B549">
        <v>2</v>
      </c>
      <c r="C549" t="s">
        <v>1115</v>
      </c>
      <c r="D549" t="s">
        <v>13</v>
      </c>
      <c r="F549">
        <v>0</v>
      </c>
      <c r="G549">
        <v>0</v>
      </c>
      <c r="H549" t="s">
        <v>1116</v>
      </c>
      <c r="I549">
        <v>13.862500000000001</v>
      </c>
      <c r="J549" t="s">
        <v>15</v>
      </c>
      <c r="K549" t="s">
        <v>21</v>
      </c>
      <c r="L549">
        <v>1</v>
      </c>
      <c r="R549">
        <f t="shared" si="59"/>
        <v>28</v>
      </c>
      <c r="S549" t="str">
        <f t="shared" si="60"/>
        <v>C</v>
      </c>
      <c r="U549">
        <f t="shared" si="61"/>
        <v>0</v>
      </c>
      <c r="V549">
        <f t="shared" si="64"/>
        <v>0</v>
      </c>
      <c r="W549">
        <f t="shared" si="64"/>
        <v>1</v>
      </c>
      <c r="X549">
        <f t="shared" si="64"/>
        <v>0</v>
      </c>
      <c r="Y549">
        <f t="shared" si="62"/>
        <v>0</v>
      </c>
      <c r="Z549">
        <f t="shared" si="62"/>
        <v>0</v>
      </c>
      <c r="AA549">
        <f t="shared" si="62"/>
        <v>1</v>
      </c>
    </row>
    <row r="550" spans="1:27" x14ac:dyDescent="0.4">
      <c r="A550">
        <v>549</v>
      </c>
      <c r="B550">
        <v>3</v>
      </c>
      <c r="C550" t="s">
        <v>1117</v>
      </c>
      <c r="D550" t="s">
        <v>13</v>
      </c>
      <c r="E550">
        <v>33</v>
      </c>
      <c r="F550">
        <v>1</v>
      </c>
      <c r="G550">
        <v>1</v>
      </c>
      <c r="H550" t="s">
        <v>365</v>
      </c>
      <c r="I550">
        <v>20.524999999999999</v>
      </c>
      <c r="J550" t="s">
        <v>15</v>
      </c>
      <c r="K550" t="s">
        <v>16</v>
      </c>
      <c r="L550">
        <v>0</v>
      </c>
      <c r="R550">
        <f t="shared" si="59"/>
        <v>33</v>
      </c>
      <c r="S550" t="str">
        <f t="shared" si="60"/>
        <v>S</v>
      </c>
      <c r="U550">
        <f t="shared" si="61"/>
        <v>0</v>
      </c>
      <c r="V550">
        <f t="shared" si="64"/>
        <v>0</v>
      </c>
      <c r="W550">
        <f t="shared" si="64"/>
        <v>0</v>
      </c>
      <c r="X550">
        <f t="shared" si="64"/>
        <v>1</v>
      </c>
      <c r="Y550">
        <f t="shared" si="62"/>
        <v>1</v>
      </c>
      <c r="Z550">
        <f t="shared" si="62"/>
        <v>0</v>
      </c>
      <c r="AA550">
        <f t="shared" si="62"/>
        <v>0</v>
      </c>
    </row>
    <row r="551" spans="1:27" x14ac:dyDescent="0.4">
      <c r="A551">
        <v>550</v>
      </c>
      <c r="B551">
        <v>2</v>
      </c>
      <c r="C551" t="s">
        <v>1118</v>
      </c>
      <c r="D551" t="s">
        <v>13</v>
      </c>
      <c r="E551">
        <v>8</v>
      </c>
      <c r="F551">
        <v>1</v>
      </c>
      <c r="G551">
        <v>1</v>
      </c>
      <c r="H551" t="s">
        <v>325</v>
      </c>
      <c r="I551">
        <v>36.75</v>
      </c>
      <c r="J551" t="s">
        <v>15</v>
      </c>
      <c r="K551" t="s">
        <v>16</v>
      </c>
      <c r="L551">
        <v>1</v>
      </c>
      <c r="R551">
        <f t="shared" si="59"/>
        <v>8</v>
      </c>
      <c r="S551" t="str">
        <f t="shared" si="60"/>
        <v>S</v>
      </c>
      <c r="U551">
        <f t="shared" si="61"/>
        <v>0</v>
      </c>
      <c r="V551">
        <f t="shared" si="64"/>
        <v>0</v>
      </c>
      <c r="W551">
        <f t="shared" si="64"/>
        <v>1</v>
      </c>
      <c r="X551">
        <f t="shared" si="64"/>
        <v>0</v>
      </c>
      <c r="Y551">
        <f t="shared" si="62"/>
        <v>1</v>
      </c>
      <c r="Z551">
        <f t="shared" si="62"/>
        <v>0</v>
      </c>
      <c r="AA551">
        <f t="shared" si="62"/>
        <v>0</v>
      </c>
    </row>
    <row r="552" spans="1:27" x14ac:dyDescent="0.4">
      <c r="A552">
        <v>551</v>
      </c>
      <c r="B552">
        <v>1</v>
      </c>
      <c r="C552" t="s">
        <v>1119</v>
      </c>
      <c r="D552" t="s">
        <v>13</v>
      </c>
      <c r="E552">
        <v>17</v>
      </c>
      <c r="F552">
        <v>0</v>
      </c>
      <c r="G552">
        <v>2</v>
      </c>
      <c r="H552" t="s">
        <v>652</v>
      </c>
      <c r="I552">
        <v>110.88330000000001</v>
      </c>
      <c r="J552" t="s">
        <v>1120</v>
      </c>
      <c r="K552" t="s">
        <v>21</v>
      </c>
      <c r="L552">
        <v>1</v>
      </c>
      <c r="R552">
        <f t="shared" si="59"/>
        <v>17</v>
      </c>
      <c r="S552" t="str">
        <f t="shared" si="60"/>
        <v>C</v>
      </c>
      <c r="U552">
        <f t="shared" si="61"/>
        <v>0</v>
      </c>
      <c r="V552">
        <f t="shared" si="64"/>
        <v>1</v>
      </c>
      <c r="W552">
        <f t="shared" si="64"/>
        <v>0</v>
      </c>
      <c r="X552">
        <f t="shared" si="64"/>
        <v>0</v>
      </c>
      <c r="Y552">
        <f t="shared" si="62"/>
        <v>0</v>
      </c>
      <c r="Z552">
        <f t="shared" si="62"/>
        <v>0</v>
      </c>
      <c r="AA552">
        <f t="shared" si="62"/>
        <v>1</v>
      </c>
    </row>
    <row r="553" spans="1:27" x14ac:dyDescent="0.4">
      <c r="A553">
        <v>552</v>
      </c>
      <c r="B553">
        <v>2</v>
      </c>
      <c r="C553" t="s">
        <v>1121</v>
      </c>
      <c r="D553" t="s">
        <v>13</v>
      </c>
      <c r="E553">
        <v>27</v>
      </c>
      <c r="F553">
        <v>0</v>
      </c>
      <c r="G553">
        <v>0</v>
      </c>
      <c r="H553" t="s">
        <v>1122</v>
      </c>
      <c r="I553">
        <v>26</v>
      </c>
      <c r="J553" t="s">
        <v>15</v>
      </c>
      <c r="K553" t="s">
        <v>16</v>
      </c>
      <c r="L553">
        <v>0</v>
      </c>
      <c r="R553">
        <f t="shared" si="59"/>
        <v>27</v>
      </c>
      <c r="S553" t="str">
        <f t="shared" si="60"/>
        <v>S</v>
      </c>
      <c r="U553">
        <f t="shared" si="61"/>
        <v>0</v>
      </c>
      <c r="V553">
        <f t="shared" si="64"/>
        <v>0</v>
      </c>
      <c r="W553">
        <f t="shared" si="64"/>
        <v>1</v>
      </c>
      <c r="X553">
        <f t="shared" si="64"/>
        <v>0</v>
      </c>
      <c r="Y553">
        <f t="shared" si="62"/>
        <v>1</v>
      </c>
      <c r="Z553">
        <f t="shared" si="62"/>
        <v>0</v>
      </c>
      <c r="AA553">
        <f t="shared" si="62"/>
        <v>0</v>
      </c>
    </row>
    <row r="554" spans="1:27" x14ac:dyDescent="0.4">
      <c r="A554">
        <v>553</v>
      </c>
      <c r="B554">
        <v>3</v>
      </c>
      <c r="C554" t="s">
        <v>1123</v>
      </c>
      <c r="D554" t="s">
        <v>13</v>
      </c>
      <c r="F554">
        <v>0</v>
      </c>
      <c r="G554">
        <v>0</v>
      </c>
      <c r="H554" t="s">
        <v>1124</v>
      </c>
      <c r="I554">
        <v>7.8292000000000002</v>
      </c>
      <c r="J554" t="s">
        <v>15</v>
      </c>
      <c r="K554" t="s">
        <v>31</v>
      </c>
      <c r="L554">
        <v>0</v>
      </c>
      <c r="R554">
        <f t="shared" si="59"/>
        <v>28</v>
      </c>
      <c r="S554" t="str">
        <f t="shared" si="60"/>
        <v>Q</v>
      </c>
      <c r="U554">
        <f t="shared" si="61"/>
        <v>0</v>
      </c>
      <c r="V554">
        <f t="shared" si="64"/>
        <v>0</v>
      </c>
      <c r="W554">
        <f t="shared" si="64"/>
        <v>0</v>
      </c>
      <c r="X554">
        <f t="shared" si="64"/>
        <v>1</v>
      </c>
      <c r="Y554">
        <f t="shared" si="62"/>
        <v>0</v>
      </c>
      <c r="Z554">
        <f t="shared" si="62"/>
        <v>1</v>
      </c>
      <c r="AA554">
        <f t="shared" si="62"/>
        <v>0</v>
      </c>
    </row>
    <row r="555" spans="1:27" x14ac:dyDescent="0.4">
      <c r="A555">
        <v>554</v>
      </c>
      <c r="B555">
        <v>3</v>
      </c>
      <c r="C555" t="s">
        <v>1125</v>
      </c>
      <c r="D555" t="s">
        <v>13</v>
      </c>
      <c r="E555">
        <v>22</v>
      </c>
      <c r="F555">
        <v>0</v>
      </c>
      <c r="G555">
        <v>0</v>
      </c>
      <c r="H555" t="s">
        <v>1126</v>
      </c>
      <c r="I555">
        <v>7.2249999999999996</v>
      </c>
      <c r="J555" t="s">
        <v>15</v>
      </c>
      <c r="K555" t="s">
        <v>21</v>
      </c>
      <c r="L555">
        <v>1</v>
      </c>
      <c r="R555">
        <f t="shared" si="59"/>
        <v>22</v>
      </c>
      <c r="S555" t="str">
        <f t="shared" si="60"/>
        <v>C</v>
      </c>
      <c r="U555">
        <f t="shared" si="61"/>
        <v>0</v>
      </c>
      <c r="V555">
        <f t="shared" si="64"/>
        <v>0</v>
      </c>
      <c r="W555">
        <f t="shared" si="64"/>
        <v>0</v>
      </c>
      <c r="X555">
        <f t="shared" si="64"/>
        <v>1</v>
      </c>
      <c r="Y555">
        <f t="shared" si="62"/>
        <v>0</v>
      </c>
      <c r="Z555">
        <f t="shared" si="62"/>
        <v>0</v>
      </c>
      <c r="AA555">
        <f t="shared" si="62"/>
        <v>1</v>
      </c>
    </row>
    <row r="556" spans="1:27" x14ac:dyDescent="0.4">
      <c r="A556">
        <v>555</v>
      </c>
      <c r="B556">
        <v>3</v>
      </c>
      <c r="C556" t="s">
        <v>1127</v>
      </c>
      <c r="D556" t="s">
        <v>18</v>
      </c>
      <c r="E556">
        <v>22</v>
      </c>
      <c r="F556">
        <v>0</v>
      </c>
      <c r="G556">
        <v>0</v>
      </c>
      <c r="H556" t="s">
        <v>1128</v>
      </c>
      <c r="I556">
        <v>7.7750000000000004</v>
      </c>
      <c r="J556" t="s">
        <v>15</v>
      </c>
      <c r="K556" t="s">
        <v>16</v>
      </c>
      <c r="L556">
        <v>1</v>
      </c>
      <c r="R556">
        <f t="shared" si="59"/>
        <v>22</v>
      </c>
      <c r="S556" t="str">
        <f t="shared" si="60"/>
        <v>S</v>
      </c>
      <c r="U556">
        <f t="shared" si="61"/>
        <v>1</v>
      </c>
      <c r="V556">
        <f t="shared" si="64"/>
        <v>0</v>
      </c>
      <c r="W556">
        <f t="shared" si="64"/>
        <v>0</v>
      </c>
      <c r="X556">
        <f t="shared" si="64"/>
        <v>1</v>
      </c>
      <c r="Y556">
        <f t="shared" si="62"/>
        <v>1</v>
      </c>
      <c r="Z556">
        <f t="shared" si="62"/>
        <v>0</v>
      </c>
      <c r="AA556">
        <f t="shared" si="62"/>
        <v>0</v>
      </c>
    </row>
    <row r="557" spans="1:27" x14ac:dyDescent="0.4">
      <c r="A557">
        <v>556</v>
      </c>
      <c r="B557">
        <v>1</v>
      </c>
      <c r="C557" t="s">
        <v>1129</v>
      </c>
      <c r="D557" t="s">
        <v>13</v>
      </c>
      <c r="E557">
        <v>62</v>
      </c>
      <c r="F557">
        <v>0</v>
      </c>
      <c r="G557">
        <v>0</v>
      </c>
      <c r="H557" t="s">
        <v>1130</v>
      </c>
      <c r="I557">
        <v>26.55</v>
      </c>
      <c r="J557" t="s">
        <v>15</v>
      </c>
      <c r="K557" t="s">
        <v>16</v>
      </c>
      <c r="L557">
        <v>0</v>
      </c>
      <c r="R557">
        <f t="shared" si="59"/>
        <v>62</v>
      </c>
      <c r="S557" t="str">
        <f t="shared" si="60"/>
        <v>S</v>
      </c>
      <c r="U557">
        <f t="shared" si="61"/>
        <v>0</v>
      </c>
      <c r="V557">
        <f t="shared" si="64"/>
        <v>1</v>
      </c>
      <c r="W557">
        <f t="shared" si="64"/>
        <v>0</v>
      </c>
      <c r="X557">
        <f t="shared" si="64"/>
        <v>0</v>
      </c>
      <c r="Y557">
        <f t="shared" si="62"/>
        <v>1</v>
      </c>
      <c r="Z557">
        <f t="shared" si="62"/>
        <v>0</v>
      </c>
      <c r="AA557">
        <f t="shared" si="62"/>
        <v>0</v>
      </c>
    </row>
    <row r="558" spans="1:27" x14ac:dyDescent="0.4">
      <c r="A558">
        <v>557</v>
      </c>
      <c r="B558">
        <v>1</v>
      </c>
      <c r="C558" t="s">
        <v>1131</v>
      </c>
      <c r="D558" t="s">
        <v>18</v>
      </c>
      <c r="E558">
        <v>48</v>
      </c>
      <c r="F558">
        <v>1</v>
      </c>
      <c r="G558">
        <v>0</v>
      </c>
      <c r="H558" t="s">
        <v>1132</v>
      </c>
      <c r="I558">
        <v>39.6</v>
      </c>
      <c r="J558" t="s">
        <v>1133</v>
      </c>
      <c r="K558" t="s">
        <v>21</v>
      </c>
      <c r="L558">
        <v>1</v>
      </c>
      <c r="R558">
        <f t="shared" si="59"/>
        <v>48</v>
      </c>
      <c r="S558" t="str">
        <f t="shared" si="60"/>
        <v>C</v>
      </c>
      <c r="U558">
        <f t="shared" si="61"/>
        <v>1</v>
      </c>
      <c r="V558">
        <f t="shared" si="64"/>
        <v>1</v>
      </c>
      <c r="W558">
        <f t="shared" si="64"/>
        <v>0</v>
      </c>
      <c r="X558">
        <f t="shared" si="64"/>
        <v>0</v>
      </c>
      <c r="Y558">
        <f t="shared" si="62"/>
        <v>0</v>
      </c>
      <c r="Z558">
        <f t="shared" si="62"/>
        <v>0</v>
      </c>
      <c r="AA558">
        <f t="shared" si="62"/>
        <v>1</v>
      </c>
    </row>
    <row r="559" spans="1:27" x14ac:dyDescent="0.4">
      <c r="A559">
        <v>558</v>
      </c>
      <c r="B559">
        <v>1</v>
      </c>
      <c r="C559" t="s">
        <v>1134</v>
      </c>
      <c r="D559" t="s">
        <v>13</v>
      </c>
      <c r="F559">
        <v>0</v>
      </c>
      <c r="G559">
        <v>0</v>
      </c>
      <c r="H559" t="s">
        <v>798</v>
      </c>
      <c r="I559">
        <v>227.52500000000001</v>
      </c>
      <c r="J559" t="s">
        <v>15</v>
      </c>
      <c r="K559" t="s">
        <v>21</v>
      </c>
      <c r="L559">
        <v>0</v>
      </c>
      <c r="R559">
        <f t="shared" si="59"/>
        <v>28</v>
      </c>
      <c r="S559" t="str">
        <f t="shared" si="60"/>
        <v>C</v>
      </c>
      <c r="U559">
        <f t="shared" si="61"/>
        <v>0</v>
      </c>
      <c r="V559">
        <f t="shared" si="64"/>
        <v>1</v>
      </c>
      <c r="W559">
        <f t="shared" si="64"/>
        <v>0</v>
      </c>
      <c r="X559">
        <f t="shared" si="64"/>
        <v>0</v>
      </c>
      <c r="Y559">
        <f t="shared" si="62"/>
        <v>0</v>
      </c>
      <c r="Z559">
        <f t="shared" si="62"/>
        <v>0</v>
      </c>
      <c r="AA559">
        <f t="shared" si="62"/>
        <v>1</v>
      </c>
    </row>
    <row r="560" spans="1:27" x14ac:dyDescent="0.4">
      <c r="A560">
        <v>559</v>
      </c>
      <c r="B560">
        <v>1</v>
      </c>
      <c r="C560" t="s">
        <v>1135</v>
      </c>
      <c r="D560" t="s">
        <v>18</v>
      </c>
      <c r="E560">
        <v>39</v>
      </c>
      <c r="F560">
        <v>1</v>
      </c>
      <c r="G560">
        <v>1</v>
      </c>
      <c r="H560" t="s">
        <v>559</v>
      </c>
      <c r="I560">
        <v>79.650000000000006</v>
      </c>
      <c r="J560" t="s">
        <v>560</v>
      </c>
      <c r="K560" t="s">
        <v>16</v>
      </c>
      <c r="L560">
        <v>1</v>
      </c>
      <c r="R560">
        <f t="shared" si="59"/>
        <v>39</v>
      </c>
      <c r="S560" t="str">
        <f t="shared" si="60"/>
        <v>S</v>
      </c>
      <c r="U560">
        <f t="shared" si="61"/>
        <v>1</v>
      </c>
      <c r="V560">
        <f t="shared" si="64"/>
        <v>1</v>
      </c>
      <c r="W560">
        <f t="shared" si="64"/>
        <v>0</v>
      </c>
      <c r="X560">
        <f t="shared" si="64"/>
        <v>0</v>
      </c>
      <c r="Y560">
        <f t="shared" si="62"/>
        <v>1</v>
      </c>
      <c r="Z560">
        <f t="shared" si="62"/>
        <v>0</v>
      </c>
      <c r="AA560">
        <f t="shared" si="62"/>
        <v>0</v>
      </c>
    </row>
    <row r="561" spans="1:27" x14ac:dyDescent="0.4">
      <c r="A561">
        <v>560</v>
      </c>
      <c r="B561">
        <v>3</v>
      </c>
      <c r="C561" t="s">
        <v>1136</v>
      </c>
      <c r="D561" t="s">
        <v>18</v>
      </c>
      <c r="E561">
        <v>36</v>
      </c>
      <c r="F561">
        <v>1</v>
      </c>
      <c r="G561">
        <v>0</v>
      </c>
      <c r="H561" t="s">
        <v>1137</v>
      </c>
      <c r="I561">
        <v>17.399999999999999</v>
      </c>
      <c r="J561" t="s">
        <v>15</v>
      </c>
      <c r="K561" t="s">
        <v>16</v>
      </c>
      <c r="L561">
        <v>1</v>
      </c>
      <c r="R561">
        <f t="shared" si="59"/>
        <v>36</v>
      </c>
      <c r="S561" t="str">
        <f t="shared" si="60"/>
        <v>S</v>
      </c>
      <c r="U561">
        <f t="shared" si="61"/>
        <v>1</v>
      </c>
      <c r="V561">
        <f t="shared" si="64"/>
        <v>0</v>
      </c>
      <c r="W561">
        <f t="shared" si="64"/>
        <v>0</v>
      </c>
      <c r="X561">
        <f t="shared" si="64"/>
        <v>1</v>
      </c>
      <c r="Y561">
        <f t="shared" si="62"/>
        <v>1</v>
      </c>
      <c r="Z561">
        <f t="shared" si="62"/>
        <v>0</v>
      </c>
      <c r="AA561">
        <f t="shared" si="62"/>
        <v>0</v>
      </c>
    </row>
    <row r="562" spans="1:27" x14ac:dyDescent="0.4">
      <c r="A562">
        <v>561</v>
      </c>
      <c r="B562">
        <v>3</v>
      </c>
      <c r="C562" t="s">
        <v>1138</v>
      </c>
      <c r="D562" t="s">
        <v>13</v>
      </c>
      <c r="F562">
        <v>0</v>
      </c>
      <c r="G562">
        <v>0</v>
      </c>
      <c r="H562" t="s">
        <v>1139</v>
      </c>
      <c r="I562">
        <v>7.75</v>
      </c>
      <c r="J562" t="s">
        <v>15</v>
      </c>
      <c r="K562" t="s">
        <v>31</v>
      </c>
      <c r="L562">
        <v>0</v>
      </c>
      <c r="R562">
        <f t="shared" si="59"/>
        <v>28</v>
      </c>
      <c r="S562" t="str">
        <f t="shared" si="60"/>
        <v>Q</v>
      </c>
      <c r="U562">
        <f t="shared" si="61"/>
        <v>0</v>
      </c>
      <c r="V562">
        <f t="shared" ref="V562:X581" si="65">IF("Pclass_"&amp;$B562=V$1,1,0)</f>
        <v>0</v>
      </c>
      <c r="W562">
        <f t="shared" si="65"/>
        <v>0</v>
      </c>
      <c r="X562">
        <f t="shared" si="65"/>
        <v>1</v>
      </c>
      <c r="Y562">
        <f t="shared" si="62"/>
        <v>0</v>
      </c>
      <c r="Z562">
        <f t="shared" si="62"/>
        <v>1</v>
      </c>
      <c r="AA562">
        <f t="shared" si="62"/>
        <v>0</v>
      </c>
    </row>
    <row r="563" spans="1:27" x14ac:dyDescent="0.4">
      <c r="A563">
        <v>562</v>
      </c>
      <c r="B563">
        <v>3</v>
      </c>
      <c r="C563" t="s">
        <v>1140</v>
      </c>
      <c r="D563" t="s">
        <v>13</v>
      </c>
      <c r="E563">
        <v>40</v>
      </c>
      <c r="F563">
        <v>0</v>
      </c>
      <c r="G563">
        <v>0</v>
      </c>
      <c r="H563" t="s">
        <v>1141</v>
      </c>
      <c r="I563">
        <v>7.8958000000000004</v>
      </c>
      <c r="J563" t="s">
        <v>15</v>
      </c>
      <c r="K563" t="s">
        <v>16</v>
      </c>
      <c r="L563">
        <v>0</v>
      </c>
      <c r="R563">
        <f t="shared" si="59"/>
        <v>40</v>
      </c>
      <c r="S563" t="str">
        <f t="shared" si="60"/>
        <v>S</v>
      </c>
      <c r="U563">
        <f t="shared" si="61"/>
        <v>0</v>
      </c>
      <c r="V563">
        <f t="shared" si="65"/>
        <v>0</v>
      </c>
      <c r="W563">
        <f t="shared" si="65"/>
        <v>0</v>
      </c>
      <c r="X563">
        <f t="shared" si="65"/>
        <v>1</v>
      </c>
      <c r="Y563">
        <f t="shared" si="62"/>
        <v>1</v>
      </c>
      <c r="Z563">
        <f t="shared" si="62"/>
        <v>0</v>
      </c>
      <c r="AA563">
        <f t="shared" si="62"/>
        <v>0</v>
      </c>
    </row>
    <row r="564" spans="1:27" x14ac:dyDescent="0.4">
      <c r="A564">
        <v>563</v>
      </c>
      <c r="B564">
        <v>2</v>
      </c>
      <c r="C564" t="s">
        <v>1142</v>
      </c>
      <c r="D564" t="s">
        <v>13</v>
      </c>
      <c r="E564">
        <v>28</v>
      </c>
      <c r="F564">
        <v>0</v>
      </c>
      <c r="G564">
        <v>0</v>
      </c>
      <c r="H564" t="s">
        <v>1143</v>
      </c>
      <c r="I564">
        <v>13.5</v>
      </c>
      <c r="J564" t="s">
        <v>15</v>
      </c>
      <c r="K564" t="s">
        <v>16</v>
      </c>
      <c r="L564">
        <v>0</v>
      </c>
      <c r="R564">
        <f t="shared" si="59"/>
        <v>28</v>
      </c>
      <c r="S564" t="str">
        <f t="shared" si="60"/>
        <v>S</v>
      </c>
      <c r="U564">
        <f t="shared" si="61"/>
        <v>0</v>
      </c>
      <c r="V564">
        <f t="shared" si="65"/>
        <v>0</v>
      </c>
      <c r="W564">
        <f t="shared" si="65"/>
        <v>1</v>
      </c>
      <c r="X564">
        <f t="shared" si="65"/>
        <v>0</v>
      </c>
      <c r="Y564">
        <f t="shared" si="62"/>
        <v>1</v>
      </c>
      <c r="Z564">
        <f t="shared" si="62"/>
        <v>0</v>
      </c>
      <c r="AA564">
        <f t="shared" si="62"/>
        <v>0</v>
      </c>
    </row>
    <row r="565" spans="1:27" x14ac:dyDescent="0.4">
      <c r="A565">
        <v>564</v>
      </c>
      <c r="B565">
        <v>3</v>
      </c>
      <c r="C565" t="s">
        <v>1144</v>
      </c>
      <c r="D565" t="s">
        <v>13</v>
      </c>
      <c r="F565">
        <v>0</v>
      </c>
      <c r="G565">
        <v>0</v>
      </c>
      <c r="H565" t="s">
        <v>1145</v>
      </c>
      <c r="I565">
        <v>8.0500000000000007</v>
      </c>
      <c r="J565" t="s">
        <v>15</v>
      </c>
      <c r="K565" t="s">
        <v>16</v>
      </c>
      <c r="L565">
        <v>0</v>
      </c>
      <c r="R565">
        <f t="shared" si="59"/>
        <v>28</v>
      </c>
      <c r="S565" t="str">
        <f t="shared" si="60"/>
        <v>S</v>
      </c>
      <c r="U565">
        <f t="shared" si="61"/>
        <v>0</v>
      </c>
      <c r="V565">
        <f t="shared" si="65"/>
        <v>0</v>
      </c>
      <c r="W565">
        <f t="shared" si="65"/>
        <v>0</v>
      </c>
      <c r="X565">
        <f t="shared" si="65"/>
        <v>1</v>
      </c>
      <c r="Y565">
        <f t="shared" si="62"/>
        <v>1</v>
      </c>
      <c r="Z565">
        <f t="shared" si="62"/>
        <v>0</v>
      </c>
      <c r="AA565">
        <f t="shared" si="62"/>
        <v>0</v>
      </c>
    </row>
    <row r="566" spans="1:27" x14ac:dyDescent="0.4">
      <c r="A566">
        <v>565</v>
      </c>
      <c r="B566">
        <v>3</v>
      </c>
      <c r="C566" t="s">
        <v>1146</v>
      </c>
      <c r="D566" t="s">
        <v>18</v>
      </c>
      <c r="F566">
        <v>0</v>
      </c>
      <c r="G566">
        <v>0</v>
      </c>
      <c r="H566" t="s">
        <v>1147</v>
      </c>
      <c r="I566">
        <v>8.0500000000000007</v>
      </c>
      <c r="J566" t="s">
        <v>15</v>
      </c>
      <c r="K566" t="s">
        <v>16</v>
      </c>
      <c r="L566">
        <v>0</v>
      </c>
      <c r="R566">
        <f t="shared" si="59"/>
        <v>28</v>
      </c>
      <c r="S566" t="str">
        <f t="shared" si="60"/>
        <v>S</v>
      </c>
      <c r="U566">
        <f t="shared" si="61"/>
        <v>1</v>
      </c>
      <c r="V566">
        <f t="shared" si="65"/>
        <v>0</v>
      </c>
      <c r="W566">
        <f t="shared" si="65"/>
        <v>0</v>
      </c>
      <c r="X566">
        <f t="shared" si="65"/>
        <v>1</v>
      </c>
      <c r="Y566">
        <f t="shared" si="62"/>
        <v>1</v>
      </c>
      <c r="Z566">
        <f t="shared" si="62"/>
        <v>0</v>
      </c>
      <c r="AA566">
        <f t="shared" si="62"/>
        <v>0</v>
      </c>
    </row>
    <row r="567" spans="1:27" x14ac:dyDescent="0.4">
      <c r="A567">
        <v>566</v>
      </c>
      <c r="B567">
        <v>3</v>
      </c>
      <c r="C567" t="s">
        <v>1148</v>
      </c>
      <c r="D567" t="s">
        <v>13</v>
      </c>
      <c r="E567">
        <v>24</v>
      </c>
      <c r="F567">
        <v>2</v>
      </c>
      <c r="G567">
        <v>0</v>
      </c>
      <c r="H567" t="s">
        <v>1149</v>
      </c>
      <c r="I567">
        <v>24.15</v>
      </c>
      <c r="J567" t="s">
        <v>15</v>
      </c>
      <c r="K567" t="s">
        <v>16</v>
      </c>
      <c r="L567">
        <v>0</v>
      </c>
      <c r="R567">
        <f t="shared" si="59"/>
        <v>24</v>
      </c>
      <c r="S567" t="str">
        <f t="shared" si="60"/>
        <v>S</v>
      </c>
      <c r="U567">
        <f t="shared" si="61"/>
        <v>0</v>
      </c>
      <c r="V567">
        <f t="shared" si="65"/>
        <v>0</v>
      </c>
      <c r="W567">
        <f t="shared" si="65"/>
        <v>0</v>
      </c>
      <c r="X567">
        <f t="shared" si="65"/>
        <v>1</v>
      </c>
      <c r="Y567">
        <f t="shared" si="62"/>
        <v>1</v>
      </c>
      <c r="Z567">
        <f t="shared" si="62"/>
        <v>0</v>
      </c>
      <c r="AA567">
        <f t="shared" si="62"/>
        <v>0</v>
      </c>
    </row>
    <row r="568" spans="1:27" x14ac:dyDescent="0.4">
      <c r="A568">
        <v>567</v>
      </c>
      <c r="B568">
        <v>3</v>
      </c>
      <c r="C568" t="s">
        <v>1150</v>
      </c>
      <c r="D568" t="s">
        <v>13</v>
      </c>
      <c r="E568">
        <v>19</v>
      </c>
      <c r="F568">
        <v>0</v>
      </c>
      <c r="G568">
        <v>0</v>
      </c>
      <c r="H568" t="s">
        <v>1151</v>
      </c>
      <c r="I568">
        <v>7.8958000000000004</v>
      </c>
      <c r="J568" t="s">
        <v>15</v>
      </c>
      <c r="K568" t="s">
        <v>16</v>
      </c>
      <c r="L568">
        <v>0</v>
      </c>
      <c r="R568">
        <f t="shared" si="59"/>
        <v>19</v>
      </c>
      <c r="S568" t="str">
        <f t="shared" si="60"/>
        <v>S</v>
      </c>
      <c r="U568">
        <f t="shared" si="61"/>
        <v>0</v>
      </c>
      <c r="V568">
        <f t="shared" si="65"/>
        <v>0</v>
      </c>
      <c r="W568">
        <f t="shared" si="65"/>
        <v>0</v>
      </c>
      <c r="X568">
        <f t="shared" si="65"/>
        <v>1</v>
      </c>
      <c r="Y568">
        <f t="shared" si="62"/>
        <v>1</v>
      </c>
      <c r="Z568">
        <f t="shared" si="62"/>
        <v>0</v>
      </c>
      <c r="AA568">
        <f t="shared" si="62"/>
        <v>0</v>
      </c>
    </row>
    <row r="569" spans="1:27" x14ac:dyDescent="0.4">
      <c r="A569">
        <v>568</v>
      </c>
      <c r="B569">
        <v>3</v>
      </c>
      <c r="C569" t="s">
        <v>1152</v>
      </c>
      <c r="D569" t="s">
        <v>18</v>
      </c>
      <c r="E569">
        <v>29</v>
      </c>
      <c r="F569">
        <v>0</v>
      </c>
      <c r="G569">
        <v>4</v>
      </c>
      <c r="H569" t="s">
        <v>36</v>
      </c>
      <c r="I569">
        <v>21.074999999999999</v>
      </c>
      <c r="J569" t="s">
        <v>15</v>
      </c>
      <c r="K569" t="s">
        <v>16</v>
      </c>
      <c r="L569">
        <v>0</v>
      </c>
      <c r="R569">
        <f t="shared" si="59"/>
        <v>29</v>
      </c>
      <c r="S569" t="str">
        <f t="shared" si="60"/>
        <v>S</v>
      </c>
      <c r="U569">
        <f t="shared" si="61"/>
        <v>1</v>
      </c>
      <c r="V569">
        <f t="shared" si="65"/>
        <v>0</v>
      </c>
      <c r="W569">
        <f t="shared" si="65"/>
        <v>0</v>
      </c>
      <c r="X569">
        <f t="shared" si="65"/>
        <v>1</v>
      </c>
      <c r="Y569">
        <f t="shared" si="62"/>
        <v>1</v>
      </c>
      <c r="Z569">
        <f t="shared" si="62"/>
        <v>0</v>
      </c>
      <c r="AA569">
        <f t="shared" si="62"/>
        <v>0</v>
      </c>
    </row>
    <row r="570" spans="1:27" x14ac:dyDescent="0.4">
      <c r="A570">
        <v>569</v>
      </c>
      <c r="B570">
        <v>3</v>
      </c>
      <c r="C570" t="s">
        <v>1153</v>
      </c>
      <c r="D570" t="s">
        <v>13</v>
      </c>
      <c r="F570">
        <v>0</v>
      </c>
      <c r="G570">
        <v>0</v>
      </c>
      <c r="H570" t="s">
        <v>1154</v>
      </c>
      <c r="I570">
        <v>7.2291999999999996</v>
      </c>
      <c r="J570" t="s">
        <v>15</v>
      </c>
      <c r="K570" t="s">
        <v>21</v>
      </c>
      <c r="L570">
        <v>0</v>
      </c>
      <c r="R570">
        <f t="shared" si="59"/>
        <v>28</v>
      </c>
      <c r="S570" t="str">
        <f t="shared" si="60"/>
        <v>C</v>
      </c>
      <c r="U570">
        <f t="shared" si="61"/>
        <v>0</v>
      </c>
      <c r="V570">
        <f t="shared" si="65"/>
        <v>0</v>
      </c>
      <c r="W570">
        <f t="shared" si="65"/>
        <v>0</v>
      </c>
      <c r="X570">
        <f t="shared" si="65"/>
        <v>1</v>
      </c>
      <c r="Y570">
        <f t="shared" si="62"/>
        <v>0</v>
      </c>
      <c r="Z570">
        <f t="shared" si="62"/>
        <v>0</v>
      </c>
      <c r="AA570">
        <f t="shared" si="62"/>
        <v>1</v>
      </c>
    </row>
    <row r="571" spans="1:27" x14ac:dyDescent="0.4">
      <c r="A571">
        <v>570</v>
      </c>
      <c r="B571">
        <v>3</v>
      </c>
      <c r="C571" t="s">
        <v>1155</v>
      </c>
      <c r="D571" t="s">
        <v>13</v>
      </c>
      <c r="E571">
        <v>32</v>
      </c>
      <c r="F571">
        <v>0</v>
      </c>
      <c r="G571">
        <v>0</v>
      </c>
      <c r="H571" t="s">
        <v>1156</v>
      </c>
      <c r="I571">
        <v>7.8541999999999996</v>
      </c>
      <c r="J571" t="s">
        <v>15</v>
      </c>
      <c r="K571" t="s">
        <v>16</v>
      </c>
      <c r="L571">
        <v>1</v>
      </c>
      <c r="R571">
        <f t="shared" si="59"/>
        <v>32</v>
      </c>
      <c r="S571" t="str">
        <f t="shared" si="60"/>
        <v>S</v>
      </c>
      <c r="U571">
        <f t="shared" si="61"/>
        <v>0</v>
      </c>
      <c r="V571">
        <f t="shared" si="65"/>
        <v>0</v>
      </c>
      <c r="W571">
        <f t="shared" si="65"/>
        <v>0</v>
      </c>
      <c r="X571">
        <f t="shared" si="65"/>
        <v>1</v>
      </c>
      <c r="Y571">
        <f t="shared" si="62"/>
        <v>1</v>
      </c>
      <c r="Z571">
        <f t="shared" si="62"/>
        <v>0</v>
      </c>
      <c r="AA571">
        <f t="shared" si="62"/>
        <v>0</v>
      </c>
    </row>
    <row r="572" spans="1:27" x14ac:dyDescent="0.4">
      <c r="A572">
        <v>571</v>
      </c>
      <c r="B572">
        <v>2</v>
      </c>
      <c r="C572" t="s">
        <v>1157</v>
      </c>
      <c r="D572" t="s">
        <v>13</v>
      </c>
      <c r="E572">
        <v>62</v>
      </c>
      <c r="F572">
        <v>0</v>
      </c>
      <c r="G572">
        <v>0</v>
      </c>
      <c r="H572" t="s">
        <v>1158</v>
      </c>
      <c r="I572">
        <v>10.5</v>
      </c>
      <c r="J572" t="s">
        <v>15</v>
      </c>
      <c r="K572" t="s">
        <v>16</v>
      </c>
      <c r="L572">
        <v>1</v>
      </c>
      <c r="R572">
        <f t="shared" si="59"/>
        <v>62</v>
      </c>
      <c r="S572" t="str">
        <f t="shared" si="60"/>
        <v>S</v>
      </c>
      <c r="U572">
        <f t="shared" si="61"/>
        <v>0</v>
      </c>
      <c r="V572">
        <f t="shared" si="65"/>
        <v>0</v>
      </c>
      <c r="W572">
        <f t="shared" si="65"/>
        <v>1</v>
      </c>
      <c r="X572">
        <f t="shared" si="65"/>
        <v>0</v>
      </c>
      <c r="Y572">
        <f t="shared" si="62"/>
        <v>1</v>
      </c>
      <c r="Z572">
        <f t="shared" si="62"/>
        <v>0</v>
      </c>
      <c r="AA572">
        <f t="shared" si="62"/>
        <v>0</v>
      </c>
    </row>
    <row r="573" spans="1:27" x14ac:dyDescent="0.4">
      <c r="A573">
        <v>572</v>
      </c>
      <c r="B573">
        <v>1</v>
      </c>
      <c r="C573" t="s">
        <v>1159</v>
      </c>
      <c r="D573" t="s">
        <v>18</v>
      </c>
      <c r="E573">
        <v>53</v>
      </c>
      <c r="F573">
        <v>2</v>
      </c>
      <c r="G573">
        <v>0</v>
      </c>
      <c r="H573" t="s">
        <v>1160</v>
      </c>
      <c r="I573">
        <v>51.479199999999999</v>
      </c>
      <c r="J573" t="s">
        <v>1161</v>
      </c>
      <c r="K573" t="s">
        <v>16</v>
      </c>
      <c r="L573">
        <v>1</v>
      </c>
      <c r="R573">
        <f t="shared" si="59"/>
        <v>53</v>
      </c>
      <c r="S573" t="str">
        <f t="shared" si="60"/>
        <v>S</v>
      </c>
      <c r="U573">
        <f t="shared" si="61"/>
        <v>1</v>
      </c>
      <c r="V573">
        <f t="shared" si="65"/>
        <v>1</v>
      </c>
      <c r="W573">
        <f t="shared" si="65"/>
        <v>0</v>
      </c>
      <c r="X573">
        <f t="shared" si="65"/>
        <v>0</v>
      </c>
      <c r="Y573">
        <f t="shared" si="62"/>
        <v>1</v>
      </c>
      <c r="Z573">
        <f t="shared" si="62"/>
        <v>0</v>
      </c>
      <c r="AA573">
        <f t="shared" si="62"/>
        <v>0</v>
      </c>
    </row>
    <row r="574" spans="1:27" x14ac:dyDescent="0.4">
      <c r="A574">
        <v>573</v>
      </c>
      <c r="B574">
        <v>1</v>
      </c>
      <c r="C574" t="s">
        <v>1162</v>
      </c>
      <c r="D574" t="s">
        <v>13</v>
      </c>
      <c r="E574">
        <v>36</v>
      </c>
      <c r="F574">
        <v>0</v>
      </c>
      <c r="G574">
        <v>0</v>
      </c>
      <c r="H574" t="s">
        <v>1163</v>
      </c>
      <c r="I574">
        <v>26.387499999999999</v>
      </c>
      <c r="J574" t="s">
        <v>1048</v>
      </c>
      <c r="K574" t="s">
        <v>16</v>
      </c>
      <c r="L574">
        <v>1</v>
      </c>
      <c r="R574">
        <f t="shared" si="59"/>
        <v>36</v>
      </c>
      <c r="S574" t="str">
        <f t="shared" si="60"/>
        <v>S</v>
      </c>
      <c r="U574">
        <f t="shared" si="61"/>
        <v>0</v>
      </c>
      <c r="V574">
        <f t="shared" si="65"/>
        <v>1</v>
      </c>
      <c r="W574">
        <f t="shared" si="65"/>
        <v>0</v>
      </c>
      <c r="X574">
        <f t="shared" si="65"/>
        <v>0</v>
      </c>
      <c r="Y574">
        <f t="shared" si="62"/>
        <v>1</v>
      </c>
      <c r="Z574">
        <f t="shared" si="62"/>
        <v>0</v>
      </c>
      <c r="AA574">
        <f t="shared" si="62"/>
        <v>0</v>
      </c>
    </row>
    <row r="575" spans="1:27" x14ac:dyDescent="0.4">
      <c r="A575">
        <v>574</v>
      </c>
      <c r="B575">
        <v>3</v>
      </c>
      <c r="C575" t="s">
        <v>1164</v>
      </c>
      <c r="D575" t="s">
        <v>18</v>
      </c>
      <c r="F575">
        <v>0</v>
      </c>
      <c r="G575">
        <v>0</v>
      </c>
      <c r="H575" t="s">
        <v>1165</v>
      </c>
      <c r="I575">
        <v>7.75</v>
      </c>
      <c r="J575" t="s">
        <v>15</v>
      </c>
      <c r="K575" t="s">
        <v>31</v>
      </c>
      <c r="L575">
        <v>1</v>
      </c>
      <c r="R575">
        <f t="shared" si="59"/>
        <v>28</v>
      </c>
      <c r="S575" t="str">
        <f t="shared" si="60"/>
        <v>Q</v>
      </c>
      <c r="U575">
        <f t="shared" si="61"/>
        <v>1</v>
      </c>
      <c r="V575">
        <f t="shared" si="65"/>
        <v>0</v>
      </c>
      <c r="W575">
        <f t="shared" si="65"/>
        <v>0</v>
      </c>
      <c r="X575">
        <f t="shared" si="65"/>
        <v>1</v>
      </c>
      <c r="Y575">
        <f t="shared" si="62"/>
        <v>0</v>
      </c>
      <c r="Z575">
        <f t="shared" si="62"/>
        <v>1</v>
      </c>
      <c r="AA575">
        <f t="shared" si="62"/>
        <v>0</v>
      </c>
    </row>
    <row r="576" spans="1:27" x14ac:dyDescent="0.4">
      <c r="A576">
        <v>575</v>
      </c>
      <c r="B576">
        <v>3</v>
      </c>
      <c r="C576" t="s">
        <v>1166</v>
      </c>
      <c r="D576" t="s">
        <v>13</v>
      </c>
      <c r="E576">
        <v>16</v>
      </c>
      <c r="F576">
        <v>0</v>
      </c>
      <c r="G576">
        <v>0</v>
      </c>
      <c r="H576" t="s">
        <v>1167</v>
      </c>
      <c r="I576">
        <v>8.0500000000000007</v>
      </c>
      <c r="J576" t="s">
        <v>15</v>
      </c>
      <c r="K576" t="s">
        <v>16</v>
      </c>
      <c r="L576">
        <v>0</v>
      </c>
      <c r="R576">
        <f t="shared" si="59"/>
        <v>16</v>
      </c>
      <c r="S576" t="str">
        <f t="shared" si="60"/>
        <v>S</v>
      </c>
      <c r="U576">
        <f t="shared" si="61"/>
        <v>0</v>
      </c>
      <c r="V576">
        <f t="shared" si="65"/>
        <v>0</v>
      </c>
      <c r="W576">
        <f t="shared" si="65"/>
        <v>0</v>
      </c>
      <c r="X576">
        <f t="shared" si="65"/>
        <v>1</v>
      </c>
      <c r="Y576">
        <f t="shared" si="62"/>
        <v>1</v>
      </c>
      <c r="Z576">
        <f t="shared" si="62"/>
        <v>0</v>
      </c>
      <c r="AA576">
        <f t="shared" si="62"/>
        <v>0</v>
      </c>
    </row>
    <row r="577" spans="1:27" x14ac:dyDescent="0.4">
      <c r="A577">
        <v>576</v>
      </c>
      <c r="B577">
        <v>3</v>
      </c>
      <c r="C577" t="s">
        <v>1168</v>
      </c>
      <c r="D577" t="s">
        <v>13</v>
      </c>
      <c r="E577">
        <v>19</v>
      </c>
      <c r="F577">
        <v>0</v>
      </c>
      <c r="G577">
        <v>0</v>
      </c>
      <c r="H577" t="s">
        <v>1169</v>
      </c>
      <c r="I577">
        <v>14.5</v>
      </c>
      <c r="J577" t="s">
        <v>15</v>
      </c>
      <c r="K577" t="s">
        <v>16</v>
      </c>
      <c r="L577">
        <v>0</v>
      </c>
      <c r="R577">
        <f t="shared" si="59"/>
        <v>19</v>
      </c>
      <c r="S577" t="str">
        <f t="shared" si="60"/>
        <v>S</v>
      </c>
      <c r="U577">
        <f t="shared" si="61"/>
        <v>0</v>
      </c>
      <c r="V577">
        <f t="shared" si="65"/>
        <v>0</v>
      </c>
      <c r="W577">
        <f t="shared" si="65"/>
        <v>0</v>
      </c>
      <c r="X577">
        <f t="shared" si="65"/>
        <v>1</v>
      </c>
      <c r="Y577">
        <f t="shared" si="62"/>
        <v>1</v>
      </c>
      <c r="Z577">
        <f t="shared" si="62"/>
        <v>0</v>
      </c>
      <c r="AA577">
        <f t="shared" si="62"/>
        <v>0</v>
      </c>
    </row>
    <row r="578" spans="1:27" x14ac:dyDescent="0.4">
      <c r="A578">
        <v>577</v>
      </c>
      <c r="B578">
        <v>2</v>
      </c>
      <c r="C578" t="s">
        <v>1170</v>
      </c>
      <c r="D578" t="s">
        <v>18</v>
      </c>
      <c r="E578">
        <v>34</v>
      </c>
      <c r="F578">
        <v>0</v>
      </c>
      <c r="G578">
        <v>0</v>
      </c>
      <c r="H578" t="s">
        <v>1171</v>
      </c>
      <c r="I578">
        <v>13</v>
      </c>
      <c r="J578" t="s">
        <v>15</v>
      </c>
      <c r="K578" t="s">
        <v>16</v>
      </c>
      <c r="L578">
        <v>1</v>
      </c>
      <c r="R578">
        <f t="shared" si="59"/>
        <v>34</v>
      </c>
      <c r="S578" t="str">
        <f t="shared" si="60"/>
        <v>S</v>
      </c>
      <c r="U578">
        <f t="shared" si="61"/>
        <v>1</v>
      </c>
      <c r="V578">
        <f t="shared" si="65"/>
        <v>0</v>
      </c>
      <c r="W578">
        <f t="shared" si="65"/>
        <v>1</v>
      </c>
      <c r="X578">
        <f t="shared" si="65"/>
        <v>0</v>
      </c>
      <c r="Y578">
        <f t="shared" si="62"/>
        <v>1</v>
      </c>
      <c r="Z578">
        <f t="shared" si="62"/>
        <v>0</v>
      </c>
      <c r="AA578">
        <f t="shared" si="62"/>
        <v>0</v>
      </c>
    </row>
    <row r="579" spans="1:27" x14ac:dyDescent="0.4">
      <c r="A579">
        <v>578</v>
      </c>
      <c r="B579">
        <v>1</v>
      </c>
      <c r="C579" t="s">
        <v>1172</v>
      </c>
      <c r="D579" t="s">
        <v>18</v>
      </c>
      <c r="E579">
        <v>39</v>
      </c>
      <c r="F579">
        <v>1</v>
      </c>
      <c r="G579">
        <v>0</v>
      </c>
      <c r="H579" t="s">
        <v>898</v>
      </c>
      <c r="I579">
        <v>55.9</v>
      </c>
      <c r="J579" t="s">
        <v>899</v>
      </c>
      <c r="K579" t="s">
        <v>16</v>
      </c>
      <c r="L579">
        <v>1</v>
      </c>
      <c r="R579">
        <f t="shared" ref="R579:R642" si="66">IF(E579&lt;&gt;"",E579,$O$18)</f>
        <v>39</v>
      </c>
      <c r="S579" t="str">
        <f t="shared" ref="S579:S642" si="67">IF(K579&lt;&gt;"",K579,$N$9)</f>
        <v>S</v>
      </c>
      <c r="U579">
        <f t="shared" ref="U579:U642" si="68">IF(D579="male",0,1)</f>
        <v>1</v>
      </c>
      <c r="V579">
        <f t="shared" si="65"/>
        <v>1</v>
      </c>
      <c r="W579">
        <f t="shared" si="65"/>
        <v>0</v>
      </c>
      <c r="X579">
        <f t="shared" si="65"/>
        <v>0</v>
      </c>
      <c r="Y579">
        <f t="shared" ref="Y579:AA642" si="69">IF($S579=RIGHT(Y$1,1),1,0)</f>
        <v>1</v>
      </c>
      <c r="Z579">
        <f t="shared" si="69"/>
        <v>0</v>
      </c>
      <c r="AA579">
        <f t="shared" si="69"/>
        <v>0</v>
      </c>
    </row>
    <row r="580" spans="1:27" x14ac:dyDescent="0.4">
      <c r="A580">
        <v>579</v>
      </c>
      <c r="B580">
        <v>3</v>
      </c>
      <c r="C580" t="s">
        <v>1173</v>
      </c>
      <c r="D580" t="s">
        <v>18</v>
      </c>
      <c r="F580">
        <v>1</v>
      </c>
      <c r="G580">
        <v>0</v>
      </c>
      <c r="H580" t="s">
        <v>1174</v>
      </c>
      <c r="I580">
        <v>14.458299999999999</v>
      </c>
      <c r="J580" t="s">
        <v>15</v>
      </c>
      <c r="K580" t="s">
        <v>21</v>
      </c>
      <c r="L580">
        <v>0</v>
      </c>
      <c r="R580">
        <f t="shared" si="66"/>
        <v>28</v>
      </c>
      <c r="S580" t="str">
        <f t="shared" si="67"/>
        <v>C</v>
      </c>
      <c r="U580">
        <f t="shared" si="68"/>
        <v>1</v>
      </c>
      <c r="V580">
        <f t="shared" si="65"/>
        <v>0</v>
      </c>
      <c r="W580">
        <f t="shared" si="65"/>
        <v>0</v>
      </c>
      <c r="X580">
        <f t="shared" si="65"/>
        <v>1</v>
      </c>
      <c r="Y580">
        <f t="shared" si="69"/>
        <v>0</v>
      </c>
      <c r="Z580">
        <f t="shared" si="69"/>
        <v>0</v>
      </c>
      <c r="AA580">
        <f t="shared" si="69"/>
        <v>1</v>
      </c>
    </row>
    <row r="581" spans="1:27" x14ac:dyDescent="0.4">
      <c r="A581">
        <v>580</v>
      </c>
      <c r="B581">
        <v>3</v>
      </c>
      <c r="C581" t="s">
        <v>1175</v>
      </c>
      <c r="D581" t="s">
        <v>13</v>
      </c>
      <c r="E581">
        <v>32</v>
      </c>
      <c r="F581">
        <v>0</v>
      </c>
      <c r="G581">
        <v>0</v>
      </c>
      <c r="H581" t="s">
        <v>1176</v>
      </c>
      <c r="I581">
        <v>7.9249999999999998</v>
      </c>
      <c r="J581" t="s">
        <v>15</v>
      </c>
      <c r="K581" t="s">
        <v>16</v>
      </c>
      <c r="L581">
        <v>1</v>
      </c>
      <c r="R581">
        <f t="shared" si="66"/>
        <v>32</v>
      </c>
      <c r="S581" t="str">
        <f t="shared" si="67"/>
        <v>S</v>
      </c>
      <c r="U581">
        <f t="shared" si="68"/>
        <v>0</v>
      </c>
      <c r="V581">
        <f t="shared" si="65"/>
        <v>0</v>
      </c>
      <c r="W581">
        <f t="shared" si="65"/>
        <v>0</v>
      </c>
      <c r="X581">
        <f t="shared" si="65"/>
        <v>1</v>
      </c>
      <c r="Y581">
        <f t="shared" si="69"/>
        <v>1</v>
      </c>
      <c r="Z581">
        <f t="shared" si="69"/>
        <v>0</v>
      </c>
      <c r="AA581">
        <f t="shared" si="69"/>
        <v>0</v>
      </c>
    </row>
    <row r="582" spans="1:27" x14ac:dyDescent="0.4">
      <c r="A582">
        <v>581</v>
      </c>
      <c r="B582">
        <v>2</v>
      </c>
      <c r="C582" t="s">
        <v>1177</v>
      </c>
      <c r="D582" t="s">
        <v>18</v>
      </c>
      <c r="E582">
        <v>25</v>
      </c>
      <c r="F582">
        <v>1</v>
      </c>
      <c r="G582">
        <v>1</v>
      </c>
      <c r="H582" t="s">
        <v>1178</v>
      </c>
      <c r="I582">
        <v>30</v>
      </c>
      <c r="J582" t="s">
        <v>15</v>
      </c>
      <c r="K582" t="s">
        <v>16</v>
      </c>
      <c r="L582">
        <v>1</v>
      </c>
      <c r="R582">
        <f t="shared" si="66"/>
        <v>25</v>
      </c>
      <c r="S582" t="str">
        <f t="shared" si="67"/>
        <v>S</v>
      </c>
      <c r="U582">
        <f t="shared" si="68"/>
        <v>1</v>
      </c>
      <c r="V582">
        <f t="shared" ref="V582:X601" si="70">IF("Pclass_"&amp;$B582=V$1,1,0)</f>
        <v>0</v>
      </c>
      <c r="W582">
        <f t="shared" si="70"/>
        <v>1</v>
      </c>
      <c r="X582">
        <f t="shared" si="70"/>
        <v>0</v>
      </c>
      <c r="Y582">
        <f t="shared" si="69"/>
        <v>1</v>
      </c>
      <c r="Z582">
        <f t="shared" si="69"/>
        <v>0</v>
      </c>
      <c r="AA582">
        <f t="shared" si="69"/>
        <v>0</v>
      </c>
    </row>
    <row r="583" spans="1:27" x14ac:dyDescent="0.4">
      <c r="A583">
        <v>582</v>
      </c>
      <c r="B583">
        <v>1</v>
      </c>
      <c r="C583" t="s">
        <v>1179</v>
      </c>
      <c r="D583" t="s">
        <v>18</v>
      </c>
      <c r="E583">
        <v>39</v>
      </c>
      <c r="F583">
        <v>1</v>
      </c>
      <c r="G583">
        <v>1</v>
      </c>
      <c r="H583" t="s">
        <v>652</v>
      </c>
      <c r="I583">
        <v>110.88330000000001</v>
      </c>
      <c r="J583" t="s">
        <v>1180</v>
      </c>
      <c r="K583" t="s">
        <v>21</v>
      </c>
      <c r="L583">
        <v>1</v>
      </c>
      <c r="R583">
        <f t="shared" si="66"/>
        <v>39</v>
      </c>
      <c r="S583" t="str">
        <f t="shared" si="67"/>
        <v>C</v>
      </c>
      <c r="U583">
        <f t="shared" si="68"/>
        <v>1</v>
      </c>
      <c r="V583">
        <f t="shared" si="70"/>
        <v>1</v>
      </c>
      <c r="W583">
        <f t="shared" si="70"/>
        <v>0</v>
      </c>
      <c r="X583">
        <f t="shared" si="70"/>
        <v>0</v>
      </c>
      <c r="Y583">
        <f t="shared" si="69"/>
        <v>0</v>
      </c>
      <c r="Z583">
        <f t="shared" si="69"/>
        <v>0</v>
      </c>
      <c r="AA583">
        <f t="shared" si="69"/>
        <v>1</v>
      </c>
    </row>
    <row r="584" spans="1:27" x14ac:dyDescent="0.4">
      <c r="A584">
        <v>583</v>
      </c>
      <c r="B584">
        <v>2</v>
      </c>
      <c r="C584" t="s">
        <v>1181</v>
      </c>
      <c r="D584" t="s">
        <v>13</v>
      </c>
      <c r="E584">
        <v>54</v>
      </c>
      <c r="F584">
        <v>0</v>
      </c>
      <c r="G584">
        <v>0</v>
      </c>
      <c r="H584" t="s">
        <v>828</v>
      </c>
      <c r="I584">
        <v>26</v>
      </c>
      <c r="J584" t="s">
        <v>15</v>
      </c>
      <c r="K584" t="s">
        <v>16</v>
      </c>
      <c r="L584">
        <v>0</v>
      </c>
      <c r="R584">
        <f t="shared" si="66"/>
        <v>54</v>
      </c>
      <c r="S584" t="str">
        <f t="shared" si="67"/>
        <v>S</v>
      </c>
      <c r="U584">
        <f t="shared" si="68"/>
        <v>0</v>
      </c>
      <c r="V584">
        <f t="shared" si="70"/>
        <v>0</v>
      </c>
      <c r="W584">
        <f t="shared" si="70"/>
        <v>1</v>
      </c>
      <c r="X584">
        <f t="shared" si="70"/>
        <v>0</v>
      </c>
      <c r="Y584">
        <f t="shared" si="69"/>
        <v>1</v>
      </c>
      <c r="Z584">
        <f t="shared" si="69"/>
        <v>0</v>
      </c>
      <c r="AA584">
        <f t="shared" si="69"/>
        <v>0</v>
      </c>
    </row>
    <row r="585" spans="1:27" x14ac:dyDescent="0.4">
      <c r="A585">
        <v>584</v>
      </c>
      <c r="B585">
        <v>1</v>
      </c>
      <c r="C585" t="s">
        <v>1182</v>
      </c>
      <c r="D585" t="s">
        <v>13</v>
      </c>
      <c r="E585">
        <v>36</v>
      </c>
      <c r="F585">
        <v>0</v>
      </c>
      <c r="G585">
        <v>0</v>
      </c>
      <c r="H585" t="s">
        <v>1183</v>
      </c>
      <c r="I585">
        <v>40.125</v>
      </c>
      <c r="J585" t="s">
        <v>1184</v>
      </c>
      <c r="K585" t="s">
        <v>21</v>
      </c>
      <c r="L585">
        <v>0</v>
      </c>
      <c r="R585">
        <f t="shared" si="66"/>
        <v>36</v>
      </c>
      <c r="S585" t="str">
        <f t="shared" si="67"/>
        <v>C</v>
      </c>
      <c r="U585">
        <f t="shared" si="68"/>
        <v>0</v>
      </c>
      <c r="V585">
        <f t="shared" si="70"/>
        <v>1</v>
      </c>
      <c r="W585">
        <f t="shared" si="70"/>
        <v>0</v>
      </c>
      <c r="X585">
        <f t="shared" si="70"/>
        <v>0</v>
      </c>
      <c r="Y585">
        <f t="shared" si="69"/>
        <v>0</v>
      </c>
      <c r="Z585">
        <f t="shared" si="69"/>
        <v>0</v>
      </c>
      <c r="AA585">
        <f t="shared" si="69"/>
        <v>1</v>
      </c>
    </row>
    <row r="586" spans="1:27" x14ac:dyDescent="0.4">
      <c r="A586">
        <v>585</v>
      </c>
      <c r="B586">
        <v>3</v>
      </c>
      <c r="C586" t="s">
        <v>1185</v>
      </c>
      <c r="D586" t="s">
        <v>13</v>
      </c>
      <c r="F586">
        <v>0</v>
      </c>
      <c r="G586">
        <v>0</v>
      </c>
      <c r="H586" t="s">
        <v>1186</v>
      </c>
      <c r="I586">
        <v>8.7125000000000004</v>
      </c>
      <c r="J586" t="s">
        <v>15</v>
      </c>
      <c r="K586" t="s">
        <v>21</v>
      </c>
      <c r="L586">
        <v>0</v>
      </c>
      <c r="R586">
        <f t="shared" si="66"/>
        <v>28</v>
      </c>
      <c r="S586" t="str">
        <f t="shared" si="67"/>
        <v>C</v>
      </c>
      <c r="U586">
        <f t="shared" si="68"/>
        <v>0</v>
      </c>
      <c r="V586">
        <f t="shared" si="70"/>
        <v>0</v>
      </c>
      <c r="W586">
        <f t="shared" si="70"/>
        <v>0</v>
      </c>
      <c r="X586">
        <f t="shared" si="70"/>
        <v>1</v>
      </c>
      <c r="Y586">
        <f t="shared" si="69"/>
        <v>0</v>
      </c>
      <c r="Z586">
        <f t="shared" si="69"/>
        <v>0</v>
      </c>
      <c r="AA586">
        <f t="shared" si="69"/>
        <v>1</v>
      </c>
    </row>
    <row r="587" spans="1:27" x14ac:dyDescent="0.4">
      <c r="A587">
        <v>586</v>
      </c>
      <c r="B587">
        <v>1</v>
      </c>
      <c r="C587" t="s">
        <v>1187</v>
      </c>
      <c r="D587" t="s">
        <v>18</v>
      </c>
      <c r="E587">
        <v>18</v>
      </c>
      <c r="F587">
        <v>0</v>
      </c>
      <c r="G587">
        <v>2</v>
      </c>
      <c r="H587" t="s">
        <v>559</v>
      </c>
      <c r="I587">
        <v>79.650000000000006</v>
      </c>
      <c r="J587" t="s">
        <v>1188</v>
      </c>
      <c r="K587" t="s">
        <v>16</v>
      </c>
      <c r="L587">
        <v>1</v>
      </c>
      <c r="R587">
        <f t="shared" si="66"/>
        <v>18</v>
      </c>
      <c r="S587" t="str">
        <f t="shared" si="67"/>
        <v>S</v>
      </c>
      <c r="U587">
        <f t="shared" si="68"/>
        <v>1</v>
      </c>
      <c r="V587">
        <f t="shared" si="70"/>
        <v>1</v>
      </c>
      <c r="W587">
        <f t="shared" si="70"/>
        <v>0</v>
      </c>
      <c r="X587">
        <f t="shared" si="70"/>
        <v>0</v>
      </c>
      <c r="Y587">
        <f t="shared" si="69"/>
        <v>1</v>
      </c>
      <c r="Z587">
        <f t="shared" si="69"/>
        <v>0</v>
      </c>
      <c r="AA587">
        <f t="shared" si="69"/>
        <v>0</v>
      </c>
    </row>
    <row r="588" spans="1:27" x14ac:dyDescent="0.4">
      <c r="A588">
        <v>587</v>
      </c>
      <c r="B588">
        <v>2</v>
      </c>
      <c r="C588" t="s">
        <v>1189</v>
      </c>
      <c r="D588" t="s">
        <v>13</v>
      </c>
      <c r="E588">
        <v>47</v>
      </c>
      <c r="F588">
        <v>0</v>
      </c>
      <c r="G588">
        <v>0</v>
      </c>
      <c r="H588" t="s">
        <v>1190</v>
      </c>
      <c r="I588">
        <v>15</v>
      </c>
      <c r="J588" t="s">
        <v>15</v>
      </c>
      <c r="K588" t="s">
        <v>16</v>
      </c>
      <c r="L588">
        <v>0</v>
      </c>
      <c r="R588">
        <f t="shared" si="66"/>
        <v>47</v>
      </c>
      <c r="S588" t="str">
        <f t="shared" si="67"/>
        <v>S</v>
      </c>
      <c r="U588">
        <f t="shared" si="68"/>
        <v>0</v>
      </c>
      <c r="V588">
        <f t="shared" si="70"/>
        <v>0</v>
      </c>
      <c r="W588">
        <f t="shared" si="70"/>
        <v>1</v>
      </c>
      <c r="X588">
        <f t="shared" si="70"/>
        <v>0</v>
      </c>
      <c r="Y588">
        <f t="shared" si="69"/>
        <v>1</v>
      </c>
      <c r="Z588">
        <f t="shared" si="69"/>
        <v>0</v>
      </c>
      <c r="AA588">
        <f t="shared" si="69"/>
        <v>0</v>
      </c>
    </row>
    <row r="589" spans="1:27" x14ac:dyDescent="0.4">
      <c r="A589">
        <v>588</v>
      </c>
      <c r="B589">
        <v>1</v>
      </c>
      <c r="C589" t="s">
        <v>1191</v>
      </c>
      <c r="D589" t="s">
        <v>13</v>
      </c>
      <c r="E589">
        <v>60</v>
      </c>
      <c r="F589">
        <v>1</v>
      </c>
      <c r="G589">
        <v>1</v>
      </c>
      <c r="H589" t="s">
        <v>1192</v>
      </c>
      <c r="I589">
        <v>79.2</v>
      </c>
      <c r="J589" t="s">
        <v>1193</v>
      </c>
      <c r="K589" t="s">
        <v>21</v>
      </c>
      <c r="L589">
        <v>1</v>
      </c>
      <c r="R589">
        <f t="shared" si="66"/>
        <v>60</v>
      </c>
      <c r="S589" t="str">
        <f t="shared" si="67"/>
        <v>C</v>
      </c>
      <c r="U589">
        <f t="shared" si="68"/>
        <v>0</v>
      </c>
      <c r="V589">
        <f t="shared" si="70"/>
        <v>1</v>
      </c>
      <c r="W589">
        <f t="shared" si="70"/>
        <v>0</v>
      </c>
      <c r="X589">
        <f t="shared" si="70"/>
        <v>0</v>
      </c>
      <c r="Y589">
        <f t="shared" si="69"/>
        <v>0</v>
      </c>
      <c r="Z589">
        <f t="shared" si="69"/>
        <v>0</v>
      </c>
      <c r="AA589">
        <f t="shared" si="69"/>
        <v>1</v>
      </c>
    </row>
    <row r="590" spans="1:27" x14ac:dyDescent="0.4">
      <c r="A590">
        <v>589</v>
      </c>
      <c r="B590">
        <v>3</v>
      </c>
      <c r="C590" t="s">
        <v>1194</v>
      </c>
      <c r="D590" t="s">
        <v>13</v>
      </c>
      <c r="E590">
        <v>22</v>
      </c>
      <c r="F590">
        <v>0</v>
      </c>
      <c r="G590">
        <v>0</v>
      </c>
      <c r="H590" t="s">
        <v>1195</v>
      </c>
      <c r="I590">
        <v>8.0500000000000007</v>
      </c>
      <c r="J590" t="s">
        <v>15</v>
      </c>
      <c r="K590" t="s">
        <v>16</v>
      </c>
      <c r="L590">
        <v>0</v>
      </c>
      <c r="R590">
        <f t="shared" si="66"/>
        <v>22</v>
      </c>
      <c r="S590" t="str">
        <f t="shared" si="67"/>
        <v>S</v>
      </c>
      <c r="U590">
        <f t="shared" si="68"/>
        <v>0</v>
      </c>
      <c r="V590">
        <f t="shared" si="70"/>
        <v>0</v>
      </c>
      <c r="W590">
        <f t="shared" si="70"/>
        <v>0</v>
      </c>
      <c r="X590">
        <f t="shared" si="70"/>
        <v>1</v>
      </c>
      <c r="Y590">
        <f t="shared" si="69"/>
        <v>1</v>
      </c>
      <c r="Z590">
        <f t="shared" si="69"/>
        <v>0</v>
      </c>
      <c r="AA590">
        <f t="shared" si="69"/>
        <v>0</v>
      </c>
    </row>
    <row r="591" spans="1:27" x14ac:dyDescent="0.4">
      <c r="A591">
        <v>590</v>
      </c>
      <c r="B591">
        <v>3</v>
      </c>
      <c r="C591" t="s">
        <v>1196</v>
      </c>
      <c r="D591" t="s">
        <v>13</v>
      </c>
      <c r="F591">
        <v>0</v>
      </c>
      <c r="G591">
        <v>0</v>
      </c>
      <c r="H591" t="s">
        <v>1197</v>
      </c>
      <c r="I591">
        <v>8.0500000000000007</v>
      </c>
      <c r="J591" t="s">
        <v>15</v>
      </c>
      <c r="K591" t="s">
        <v>16</v>
      </c>
      <c r="L591">
        <v>0</v>
      </c>
      <c r="R591">
        <f t="shared" si="66"/>
        <v>28</v>
      </c>
      <c r="S591" t="str">
        <f t="shared" si="67"/>
        <v>S</v>
      </c>
      <c r="U591">
        <f t="shared" si="68"/>
        <v>0</v>
      </c>
      <c r="V591">
        <f t="shared" si="70"/>
        <v>0</v>
      </c>
      <c r="W591">
        <f t="shared" si="70"/>
        <v>0</v>
      </c>
      <c r="X591">
        <f t="shared" si="70"/>
        <v>1</v>
      </c>
      <c r="Y591">
        <f t="shared" si="69"/>
        <v>1</v>
      </c>
      <c r="Z591">
        <f t="shared" si="69"/>
        <v>0</v>
      </c>
      <c r="AA591">
        <f t="shared" si="69"/>
        <v>0</v>
      </c>
    </row>
    <row r="592" spans="1:27" x14ac:dyDescent="0.4">
      <c r="A592">
        <v>591</v>
      </c>
      <c r="B592">
        <v>3</v>
      </c>
      <c r="C592" t="s">
        <v>1198</v>
      </c>
      <c r="D592" t="s">
        <v>13</v>
      </c>
      <c r="E592">
        <v>35</v>
      </c>
      <c r="F592">
        <v>0</v>
      </c>
      <c r="G592">
        <v>0</v>
      </c>
      <c r="H592" t="s">
        <v>1199</v>
      </c>
      <c r="I592">
        <v>7.125</v>
      </c>
      <c r="J592" t="s">
        <v>15</v>
      </c>
      <c r="K592" t="s">
        <v>16</v>
      </c>
      <c r="L592">
        <v>0</v>
      </c>
      <c r="R592">
        <f t="shared" si="66"/>
        <v>35</v>
      </c>
      <c r="S592" t="str">
        <f t="shared" si="67"/>
        <v>S</v>
      </c>
      <c r="U592">
        <f t="shared" si="68"/>
        <v>0</v>
      </c>
      <c r="V592">
        <f t="shared" si="70"/>
        <v>0</v>
      </c>
      <c r="W592">
        <f t="shared" si="70"/>
        <v>0</v>
      </c>
      <c r="X592">
        <f t="shared" si="70"/>
        <v>1</v>
      </c>
      <c r="Y592">
        <f t="shared" si="69"/>
        <v>1</v>
      </c>
      <c r="Z592">
        <f t="shared" si="69"/>
        <v>0</v>
      </c>
      <c r="AA592">
        <f t="shared" si="69"/>
        <v>0</v>
      </c>
    </row>
    <row r="593" spans="1:27" x14ac:dyDescent="0.4">
      <c r="A593">
        <v>592</v>
      </c>
      <c r="B593">
        <v>1</v>
      </c>
      <c r="C593" t="s">
        <v>1200</v>
      </c>
      <c r="D593" t="s">
        <v>18</v>
      </c>
      <c r="E593">
        <v>52</v>
      </c>
      <c r="F593">
        <v>1</v>
      </c>
      <c r="G593">
        <v>0</v>
      </c>
      <c r="H593" t="s">
        <v>1017</v>
      </c>
      <c r="I593">
        <v>78.2667</v>
      </c>
      <c r="J593" t="s">
        <v>1018</v>
      </c>
      <c r="K593" t="s">
        <v>21</v>
      </c>
      <c r="L593">
        <v>1</v>
      </c>
      <c r="R593">
        <f t="shared" si="66"/>
        <v>52</v>
      </c>
      <c r="S593" t="str">
        <f t="shared" si="67"/>
        <v>C</v>
      </c>
      <c r="U593">
        <f t="shared" si="68"/>
        <v>1</v>
      </c>
      <c r="V593">
        <f t="shared" si="70"/>
        <v>1</v>
      </c>
      <c r="W593">
        <f t="shared" si="70"/>
        <v>0</v>
      </c>
      <c r="X593">
        <f t="shared" si="70"/>
        <v>0</v>
      </c>
      <c r="Y593">
        <f t="shared" si="69"/>
        <v>0</v>
      </c>
      <c r="Z593">
        <f t="shared" si="69"/>
        <v>0</v>
      </c>
      <c r="AA593">
        <f t="shared" si="69"/>
        <v>1</v>
      </c>
    </row>
    <row r="594" spans="1:27" x14ac:dyDescent="0.4">
      <c r="A594">
        <v>593</v>
      </c>
      <c r="B594">
        <v>3</v>
      </c>
      <c r="C594" t="s">
        <v>1201</v>
      </c>
      <c r="D594" t="s">
        <v>13</v>
      </c>
      <c r="E594">
        <v>47</v>
      </c>
      <c r="F594">
        <v>0</v>
      </c>
      <c r="G594">
        <v>0</v>
      </c>
      <c r="H594" t="s">
        <v>1202</v>
      </c>
      <c r="I594">
        <v>7.25</v>
      </c>
      <c r="J594" t="s">
        <v>15</v>
      </c>
      <c r="K594" t="s">
        <v>16</v>
      </c>
      <c r="L594">
        <v>0</v>
      </c>
      <c r="R594">
        <f t="shared" si="66"/>
        <v>47</v>
      </c>
      <c r="S594" t="str">
        <f t="shared" si="67"/>
        <v>S</v>
      </c>
      <c r="U594">
        <f t="shared" si="68"/>
        <v>0</v>
      </c>
      <c r="V594">
        <f t="shared" si="70"/>
        <v>0</v>
      </c>
      <c r="W594">
        <f t="shared" si="70"/>
        <v>0</v>
      </c>
      <c r="X594">
        <f t="shared" si="70"/>
        <v>1</v>
      </c>
      <c r="Y594">
        <f t="shared" si="69"/>
        <v>1</v>
      </c>
      <c r="Z594">
        <f t="shared" si="69"/>
        <v>0</v>
      </c>
      <c r="AA594">
        <f t="shared" si="69"/>
        <v>0</v>
      </c>
    </row>
    <row r="595" spans="1:27" x14ac:dyDescent="0.4">
      <c r="A595">
        <v>594</v>
      </c>
      <c r="B595">
        <v>3</v>
      </c>
      <c r="C595" t="s">
        <v>1203</v>
      </c>
      <c r="D595" t="s">
        <v>18</v>
      </c>
      <c r="F595">
        <v>0</v>
      </c>
      <c r="G595">
        <v>2</v>
      </c>
      <c r="H595" t="s">
        <v>1204</v>
      </c>
      <c r="I595">
        <v>7.75</v>
      </c>
      <c r="J595" t="s">
        <v>15</v>
      </c>
      <c r="K595" t="s">
        <v>31</v>
      </c>
      <c r="L595">
        <v>0</v>
      </c>
      <c r="R595">
        <f t="shared" si="66"/>
        <v>28</v>
      </c>
      <c r="S595" t="str">
        <f t="shared" si="67"/>
        <v>Q</v>
      </c>
      <c r="U595">
        <f t="shared" si="68"/>
        <v>1</v>
      </c>
      <c r="V595">
        <f t="shared" si="70"/>
        <v>0</v>
      </c>
      <c r="W595">
        <f t="shared" si="70"/>
        <v>0</v>
      </c>
      <c r="X595">
        <f t="shared" si="70"/>
        <v>1</v>
      </c>
      <c r="Y595">
        <f t="shared" si="69"/>
        <v>0</v>
      </c>
      <c r="Z595">
        <f t="shared" si="69"/>
        <v>1</v>
      </c>
      <c r="AA595">
        <f t="shared" si="69"/>
        <v>0</v>
      </c>
    </row>
    <row r="596" spans="1:27" x14ac:dyDescent="0.4">
      <c r="A596">
        <v>595</v>
      </c>
      <c r="B596">
        <v>2</v>
      </c>
      <c r="C596" t="s">
        <v>1205</v>
      </c>
      <c r="D596" t="s">
        <v>13</v>
      </c>
      <c r="E596">
        <v>37</v>
      </c>
      <c r="F596">
        <v>1</v>
      </c>
      <c r="G596">
        <v>0</v>
      </c>
      <c r="H596" t="s">
        <v>1206</v>
      </c>
      <c r="I596">
        <v>26</v>
      </c>
      <c r="J596" t="s">
        <v>15</v>
      </c>
      <c r="K596" t="s">
        <v>16</v>
      </c>
      <c r="L596">
        <v>0</v>
      </c>
      <c r="R596">
        <f t="shared" si="66"/>
        <v>37</v>
      </c>
      <c r="S596" t="str">
        <f t="shared" si="67"/>
        <v>S</v>
      </c>
      <c r="U596">
        <f t="shared" si="68"/>
        <v>0</v>
      </c>
      <c r="V596">
        <f t="shared" si="70"/>
        <v>0</v>
      </c>
      <c r="W596">
        <f t="shared" si="70"/>
        <v>1</v>
      </c>
      <c r="X596">
        <f t="shared" si="70"/>
        <v>0</v>
      </c>
      <c r="Y596">
        <f t="shared" si="69"/>
        <v>1</v>
      </c>
      <c r="Z596">
        <f t="shared" si="69"/>
        <v>0</v>
      </c>
      <c r="AA596">
        <f t="shared" si="69"/>
        <v>0</v>
      </c>
    </row>
    <row r="597" spans="1:27" x14ac:dyDescent="0.4">
      <c r="A597">
        <v>596</v>
      </c>
      <c r="B597">
        <v>3</v>
      </c>
      <c r="C597" t="s">
        <v>1207</v>
      </c>
      <c r="D597" t="s">
        <v>13</v>
      </c>
      <c r="E597">
        <v>36</v>
      </c>
      <c r="F597">
        <v>1</v>
      </c>
      <c r="G597">
        <v>1</v>
      </c>
      <c r="H597" t="s">
        <v>868</v>
      </c>
      <c r="I597">
        <v>24.15</v>
      </c>
      <c r="J597" t="s">
        <v>15</v>
      </c>
      <c r="K597" t="s">
        <v>16</v>
      </c>
      <c r="L597">
        <v>0</v>
      </c>
      <c r="R597">
        <f t="shared" si="66"/>
        <v>36</v>
      </c>
      <c r="S597" t="str">
        <f t="shared" si="67"/>
        <v>S</v>
      </c>
      <c r="U597">
        <f t="shared" si="68"/>
        <v>0</v>
      </c>
      <c r="V597">
        <f t="shared" si="70"/>
        <v>0</v>
      </c>
      <c r="W597">
        <f t="shared" si="70"/>
        <v>0</v>
      </c>
      <c r="X597">
        <f t="shared" si="70"/>
        <v>1</v>
      </c>
      <c r="Y597">
        <f t="shared" si="69"/>
        <v>1</v>
      </c>
      <c r="Z597">
        <f t="shared" si="69"/>
        <v>0</v>
      </c>
      <c r="AA597">
        <f t="shared" si="69"/>
        <v>0</v>
      </c>
    </row>
    <row r="598" spans="1:27" x14ac:dyDescent="0.4">
      <c r="A598">
        <v>597</v>
      </c>
      <c r="B598">
        <v>2</v>
      </c>
      <c r="C598" t="s">
        <v>1208</v>
      </c>
      <c r="D598" t="s">
        <v>18</v>
      </c>
      <c r="F598">
        <v>0</v>
      </c>
      <c r="G598">
        <v>0</v>
      </c>
      <c r="H598" t="s">
        <v>1209</v>
      </c>
      <c r="I598">
        <v>33</v>
      </c>
      <c r="J598" t="s">
        <v>15</v>
      </c>
      <c r="K598" t="s">
        <v>16</v>
      </c>
      <c r="L598">
        <v>1</v>
      </c>
      <c r="R598">
        <f t="shared" si="66"/>
        <v>28</v>
      </c>
      <c r="S598" t="str">
        <f t="shared" si="67"/>
        <v>S</v>
      </c>
      <c r="U598">
        <f t="shared" si="68"/>
        <v>1</v>
      </c>
      <c r="V598">
        <f t="shared" si="70"/>
        <v>0</v>
      </c>
      <c r="W598">
        <f t="shared" si="70"/>
        <v>1</v>
      </c>
      <c r="X598">
        <f t="shared" si="70"/>
        <v>0</v>
      </c>
      <c r="Y598">
        <f t="shared" si="69"/>
        <v>1</v>
      </c>
      <c r="Z598">
        <f t="shared" si="69"/>
        <v>0</v>
      </c>
      <c r="AA598">
        <f t="shared" si="69"/>
        <v>0</v>
      </c>
    </row>
    <row r="599" spans="1:27" x14ac:dyDescent="0.4">
      <c r="A599">
        <v>598</v>
      </c>
      <c r="B599">
        <v>3</v>
      </c>
      <c r="C599" t="s">
        <v>1210</v>
      </c>
      <c r="D599" t="s">
        <v>13</v>
      </c>
      <c r="E599">
        <v>49</v>
      </c>
      <c r="F599">
        <v>0</v>
      </c>
      <c r="G599">
        <v>0</v>
      </c>
      <c r="H599" t="s">
        <v>393</v>
      </c>
      <c r="I599">
        <v>0</v>
      </c>
      <c r="J599" t="s">
        <v>15</v>
      </c>
      <c r="K599" t="s">
        <v>16</v>
      </c>
      <c r="L599">
        <v>0</v>
      </c>
      <c r="R599">
        <f t="shared" si="66"/>
        <v>49</v>
      </c>
      <c r="S599" t="str">
        <f t="shared" si="67"/>
        <v>S</v>
      </c>
      <c r="U599">
        <f t="shared" si="68"/>
        <v>0</v>
      </c>
      <c r="V599">
        <f t="shared" si="70"/>
        <v>0</v>
      </c>
      <c r="W599">
        <f t="shared" si="70"/>
        <v>0</v>
      </c>
      <c r="X599">
        <f t="shared" si="70"/>
        <v>1</v>
      </c>
      <c r="Y599">
        <f t="shared" si="69"/>
        <v>1</v>
      </c>
      <c r="Z599">
        <f t="shared" si="69"/>
        <v>0</v>
      </c>
      <c r="AA599">
        <f t="shared" si="69"/>
        <v>0</v>
      </c>
    </row>
    <row r="600" spans="1:27" x14ac:dyDescent="0.4">
      <c r="A600">
        <v>599</v>
      </c>
      <c r="B600">
        <v>3</v>
      </c>
      <c r="C600" t="s">
        <v>1211</v>
      </c>
      <c r="D600" t="s">
        <v>13</v>
      </c>
      <c r="F600">
        <v>0</v>
      </c>
      <c r="G600">
        <v>0</v>
      </c>
      <c r="H600" t="s">
        <v>1212</v>
      </c>
      <c r="I600">
        <v>7.2249999999999996</v>
      </c>
      <c r="J600" t="s">
        <v>15</v>
      </c>
      <c r="K600" t="s">
        <v>21</v>
      </c>
      <c r="L600">
        <v>0</v>
      </c>
      <c r="R600">
        <f t="shared" si="66"/>
        <v>28</v>
      </c>
      <c r="S600" t="str">
        <f t="shared" si="67"/>
        <v>C</v>
      </c>
      <c r="U600">
        <f t="shared" si="68"/>
        <v>0</v>
      </c>
      <c r="V600">
        <f t="shared" si="70"/>
        <v>0</v>
      </c>
      <c r="W600">
        <f t="shared" si="70"/>
        <v>0</v>
      </c>
      <c r="X600">
        <f t="shared" si="70"/>
        <v>1</v>
      </c>
      <c r="Y600">
        <f t="shared" si="69"/>
        <v>0</v>
      </c>
      <c r="Z600">
        <f t="shared" si="69"/>
        <v>0</v>
      </c>
      <c r="AA600">
        <f t="shared" si="69"/>
        <v>1</v>
      </c>
    </row>
    <row r="601" spans="1:27" x14ac:dyDescent="0.4">
      <c r="A601">
        <v>600</v>
      </c>
      <c r="B601">
        <v>1</v>
      </c>
      <c r="C601" t="s">
        <v>1213</v>
      </c>
      <c r="D601" t="s">
        <v>13</v>
      </c>
      <c r="E601">
        <v>49</v>
      </c>
      <c r="F601">
        <v>1</v>
      </c>
      <c r="G601">
        <v>0</v>
      </c>
      <c r="H601" t="s">
        <v>659</v>
      </c>
      <c r="I601">
        <v>56.929200000000002</v>
      </c>
      <c r="J601" t="s">
        <v>1214</v>
      </c>
      <c r="K601" t="s">
        <v>21</v>
      </c>
      <c r="L601">
        <v>1</v>
      </c>
      <c r="R601">
        <f t="shared" si="66"/>
        <v>49</v>
      </c>
      <c r="S601" t="str">
        <f t="shared" si="67"/>
        <v>C</v>
      </c>
      <c r="U601">
        <f t="shared" si="68"/>
        <v>0</v>
      </c>
      <c r="V601">
        <f t="shared" si="70"/>
        <v>1</v>
      </c>
      <c r="W601">
        <f t="shared" si="70"/>
        <v>0</v>
      </c>
      <c r="X601">
        <f t="shared" si="70"/>
        <v>0</v>
      </c>
      <c r="Y601">
        <f t="shared" si="69"/>
        <v>0</v>
      </c>
      <c r="Z601">
        <f t="shared" si="69"/>
        <v>0</v>
      </c>
      <c r="AA601">
        <f t="shared" si="69"/>
        <v>1</v>
      </c>
    </row>
    <row r="602" spans="1:27" x14ac:dyDescent="0.4">
      <c r="A602">
        <v>601</v>
      </c>
      <c r="B602">
        <v>2</v>
      </c>
      <c r="C602" t="s">
        <v>1215</v>
      </c>
      <c r="D602" t="s">
        <v>18</v>
      </c>
      <c r="E602">
        <v>24</v>
      </c>
      <c r="F602">
        <v>2</v>
      </c>
      <c r="G602">
        <v>1</v>
      </c>
      <c r="H602" t="s">
        <v>469</v>
      </c>
      <c r="I602">
        <v>27</v>
      </c>
      <c r="J602" t="s">
        <v>15</v>
      </c>
      <c r="K602" t="s">
        <v>16</v>
      </c>
      <c r="L602">
        <v>1</v>
      </c>
      <c r="R602">
        <f t="shared" si="66"/>
        <v>24</v>
      </c>
      <c r="S602" t="str">
        <f t="shared" si="67"/>
        <v>S</v>
      </c>
      <c r="U602">
        <f t="shared" si="68"/>
        <v>1</v>
      </c>
      <c r="V602">
        <f t="shared" ref="V602:X621" si="71">IF("Pclass_"&amp;$B602=V$1,1,0)</f>
        <v>0</v>
      </c>
      <c r="W602">
        <f t="shared" si="71"/>
        <v>1</v>
      </c>
      <c r="X602">
        <f t="shared" si="71"/>
        <v>0</v>
      </c>
      <c r="Y602">
        <f t="shared" si="69"/>
        <v>1</v>
      </c>
      <c r="Z602">
        <f t="shared" si="69"/>
        <v>0</v>
      </c>
      <c r="AA602">
        <f t="shared" si="69"/>
        <v>0</v>
      </c>
    </row>
    <row r="603" spans="1:27" x14ac:dyDescent="0.4">
      <c r="A603">
        <v>602</v>
      </c>
      <c r="B603">
        <v>3</v>
      </c>
      <c r="C603" t="s">
        <v>1216</v>
      </c>
      <c r="D603" t="s">
        <v>13</v>
      </c>
      <c r="F603">
        <v>0</v>
      </c>
      <c r="G603">
        <v>0</v>
      </c>
      <c r="H603" t="s">
        <v>1217</v>
      </c>
      <c r="I603">
        <v>7.8958000000000004</v>
      </c>
      <c r="J603" t="s">
        <v>15</v>
      </c>
      <c r="K603" t="s">
        <v>16</v>
      </c>
      <c r="L603">
        <v>0</v>
      </c>
      <c r="R603">
        <f t="shared" si="66"/>
        <v>28</v>
      </c>
      <c r="S603" t="str">
        <f t="shared" si="67"/>
        <v>S</v>
      </c>
      <c r="U603">
        <f t="shared" si="68"/>
        <v>0</v>
      </c>
      <c r="V603">
        <f t="shared" si="71"/>
        <v>0</v>
      </c>
      <c r="W603">
        <f t="shared" si="71"/>
        <v>0</v>
      </c>
      <c r="X603">
        <f t="shared" si="71"/>
        <v>1</v>
      </c>
      <c r="Y603">
        <f t="shared" si="69"/>
        <v>1</v>
      </c>
      <c r="Z603">
        <f t="shared" si="69"/>
        <v>0</v>
      </c>
      <c r="AA603">
        <f t="shared" si="69"/>
        <v>0</v>
      </c>
    </row>
    <row r="604" spans="1:27" x14ac:dyDescent="0.4">
      <c r="A604">
        <v>603</v>
      </c>
      <c r="B604">
        <v>1</v>
      </c>
      <c r="C604" t="s">
        <v>1218</v>
      </c>
      <c r="D604" t="s">
        <v>13</v>
      </c>
      <c r="F604">
        <v>0</v>
      </c>
      <c r="G604">
        <v>0</v>
      </c>
      <c r="H604" t="s">
        <v>1219</v>
      </c>
      <c r="I604">
        <v>42.4</v>
      </c>
      <c r="J604" t="s">
        <v>15</v>
      </c>
      <c r="K604" t="s">
        <v>16</v>
      </c>
      <c r="L604">
        <v>0</v>
      </c>
      <c r="R604">
        <f t="shared" si="66"/>
        <v>28</v>
      </c>
      <c r="S604" t="str">
        <f t="shared" si="67"/>
        <v>S</v>
      </c>
      <c r="U604">
        <f t="shared" si="68"/>
        <v>0</v>
      </c>
      <c r="V604">
        <f t="shared" si="71"/>
        <v>1</v>
      </c>
      <c r="W604">
        <f t="shared" si="71"/>
        <v>0</v>
      </c>
      <c r="X604">
        <f t="shared" si="71"/>
        <v>0</v>
      </c>
      <c r="Y604">
        <f t="shared" si="69"/>
        <v>1</v>
      </c>
      <c r="Z604">
        <f t="shared" si="69"/>
        <v>0</v>
      </c>
      <c r="AA604">
        <f t="shared" si="69"/>
        <v>0</v>
      </c>
    </row>
    <row r="605" spans="1:27" x14ac:dyDescent="0.4">
      <c r="A605">
        <v>604</v>
      </c>
      <c r="B605">
        <v>3</v>
      </c>
      <c r="C605" t="s">
        <v>1220</v>
      </c>
      <c r="D605" t="s">
        <v>13</v>
      </c>
      <c r="E605">
        <v>44</v>
      </c>
      <c r="F605">
        <v>0</v>
      </c>
      <c r="G605">
        <v>0</v>
      </c>
      <c r="H605" t="s">
        <v>1221</v>
      </c>
      <c r="I605">
        <v>8.0500000000000007</v>
      </c>
      <c r="J605" t="s">
        <v>15</v>
      </c>
      <c r="K605" t="s">
        <v>16</v>
      </c>
      <c r="L605">
        <v>0</v>
      </c>
      <c r="R605">
        <f t="shared" si="66"/>
        <v>44</v>
      </c>
      <c r="S605" t="str">
        <f t="shared" si="67"/>
        <v>S</v>
      </c>
      <c r="U605">
        <f t="shared" si="68"/>
        <v>0</v>
      </c>
      <c r="V605">
        <f t="shared" si="71"/>
        <v>0</v>
      </c>
      <c r="W605">
        <f t="shared" si="71"/>
        <v>0</v>
      </c>
      <c r="X605">
        <f t="shared" si="71"/>
        <v>1</v>
      </c>
      <c r="Y605">
        <f t="shared" si="69"/>
        <v>1</v>
      </c>
      <c r="Z605">
        <f t="shared" si="69"/>
        <v>0</v>
      </c>
      <c r="AA605">
        <f t="shared" si="69"/>
        <v>0</v>
      </c>
    </row>
    <row r="606" spans="1:27" x14ac:dyDescent="0.4">
      <c r="A606">
        <v>605</v>
      </c>
      <c r="B606">
        <v>1</v>
      </c>
      <c r="C606" t="s">
        <v>1222</v>
      </c>
      <c r="D606" t="s">
        <v>13</v>
      </c>
      <c r="E606">
        <v>35</v>
      </c>
      <c r="F606">
        <v>0</v>
      </c>
      <c r="G606">
        <v>0</v>
      </c>
      <c r="H606" t="s">
        <v>1223</v>
      </c>
      <c r="I606">
        <v>26.55</v>
      </c>
      <c r="J606" t="s">
        <v>15</v>
      </c>
      <c r="K606" t="s">
        <v>21</v>
      </c>
      <c r="L606">
        <v>1</v>
      </c>
      <c r="R606">
        <f t="shared" si="66"/>
        <v>35</v>
      </c>
      <c r="S606" t="str">
        <f t="shared" si="67"/>
        <v>C</v>
      </c>
      <c r="U606">
        <f t="shared" si="68"/>
        <v>0</v>
      </c>
      <c r="V606">
        <f t="shared" si="71"/>
        <v>1</v>
      </c>
      <c r="W606">
        <f t="shared" si="71"/>
        <v>0</v>
      </c>
      <c r="X606">
        <f t="shared" si="71"/>
        <v>0</v>
      </c>
      <c r="Y606">
        <f t="shared" si="69"/>
        <v>0</v>
      </c>
      <c r="Z606">
        <f t="shared" si="69"/>
        <v>0</v>
      </c>
      <c r="AA606">
        <f t="shared" si="69"/>
        <v>1</v>
      </c>
    </row>
    <row r="607" spans="1:27" x14ac:dyDescent="0.4">
      <c r="A607">
        <v>606</v>
      </c>
      <c r="B607">
        <v>3</v>
      </c>
      <c r="C607" t="s">
        <v>1224</v>
      </c>
      <c r="D607" t="s">
        <v>13</v>
      </c>
      <c r="E607">
        <v>36</v>
      </c>
      <c r="F607">
        <v>1</v>
      </c>
      <c r="G607">
        <v>0</v>
      </c>
      <c r="H607" t="s">
        <v>1225</v>
      </c>
      <c r="I607">
        <v>15.55</v>
      </c>
      <c r="J607" t="s">
        <v>15</v>
      </c>
      <c r="K607" t="s">
        <v>16</v>
      </c>
      <c r="L607">
        <v>0</v>
      </c>
      <c r="R607">
        <f t="shared" si="66"/>
        <v>36</v>
      </c>
      <c r="S607" t="str">
        <f t="shared" si="67"/>
        <v>S</v>
      </c>
      <c r="U607">
        <f t="shared" si="68"/>
        <v>0</v>
      </c>
      <c r="V607">
        <f t="shared" si="71"/>
        <v>0</v>
      </c>
      <c r="W607">
        <f t="shared" si="71"/>
        <v>0</v>
      </c>
      <c r="X607">
        <f t="shared" si="71"/>
        <v>1</v>
      </c>
      <c r="Y607">
        <f t="shared" si="69"/>
        <v>1</v>
      </c>
      <c r="Z607">
        <f t="shared" si="69"/>
        <v>0</v>
      </c>
      <c r="AA607">
        <f t="shared" si="69"/>
        <v>0</v>
      </c>
    </row>
    <row r="608" spans="1:27" x14ac:dyDescent="0.4">
      <c r="A608">
        <v>607</v>
      </c>
      <c r="B608">
        <v>3</v>
      </c>
      <c r="C608" t="s">
        <v>1226</v>
      </c>
      <c r="D608" t="s">
        <v>13</v>
      </c>
      <c r="E608">
        <v>30</v>
      </c>
      <c r="F608">
        <v>0</v>
      </c>
      <c r="G608">
        <v>0</v>
      </c>
      <c r="H608" t="s">
        <v>1227</v>
      </c>
      <c r="I608">
        <v>7.8958000000000004</v>
      </c>
      <c r="J608" t="s">
        <v>15</v>
      </c>
      <c r="K608" t="s">
        <v>16</v>
      </c>
      <c r="L608">
        <v>0</v>
      </c>
      <c r="R608">
        <f t="shared" si="66"/>
        <v>30</v>
      </c>
      <c r="S608" t="str">
        <f t="shared" si="67"/>
        <v>S</v>
      </c>
      <c r="U608">
        <f t="shared" si="68"/>
        <v>0</v>
      </c>
      <c r="V608">
        <f t="shared" si="71"/>
        <v>0</v>
      </c>
      <c r="W608">
        <f t="shared" si="71"/>
        <v>0</v>
      </c>
      <c r="X608">
        <f t="shared" si="71"/>
        <v>1</v>
      </c>
      <c r="Y608">
        <f t="shared" si="69"/>
        <v>1</v>
      </c>
      <c r="Z608">
        <f t="shared" si="69"/>
        <v>0</v>
      </c>
      <c r="AA608">
        <f t="shared" si="69"/>
        <v>0</v>
      </c>
    </row>
    <row r="609" spans="1:27" x14ac:dyDescent="0.4">
      <c r="A609">
        <v>608</v>
      </c>
      <c r="B609">
        <v>1</v>
      </c>
      <c r="C609" t="s">
        <v>1228</v>
      </c>
      <c r="D609" t="s">
        <v>13</v>
      </c>
      <c r="E609">
        <v>27</v>
      </c>
      <c r="F609">
        <v>0</v>
      </c>
      <c r="G609">
        <v>0</v>
      </c>
      <c r="H609" t="s">
        <v>1229</v>
      </c>
      <c r="I609">
        <v>30.5</v>
      </c>
      <c r="J609" t="s">
        <v>15</v>
      </c>
      <c r="K609" t="s">
        <v>16</v>
      </c>
      <c r="L609">
        <v>1</v>
      </c>
      <c r="R609">
        <f t="shared" si="66"/>
        <v>27</v>
      </c>
      <c r="S609" t="str">
        <f t="shared" si="67"/>
        <v>S</v>
      </c>
      <c r="U609">
        <f t="shared" si="68"/>
        <v>0</v>
      </c>
      <c r="V609">
        <f t="shared" si="71"/>
        <v>1</v>
      </c>
      <c r="W609">
        <f t="shared" si="71"/>
        <v>0</v>
      </c>
      <c r="X609">
        <f t="shared" si="71"/>
        <v>0</v>
      </c>
      <c r="Y609">
        <f t="shared" si="69"/>
        <v>1</v>
      </c>
      <c r="Z609">
        <f t="shared" si="69"/>
        <v>0</v>
      </c>
      <c r="AA609">
        <f t="shared" si="69"/>
        <v>0</v>
      </c>
    </row>
    <row r="610" spans="1:27" x14ac:dyDescent="0.4">
      <c r="A610">
        <v>609</v>
      </c>
      <c r="B610">
        <v>2</v>
      </c>
      <c r="C610" t="s">
        <v>1230</v>
      </c>
      <c r="D610" t="s">
        <v>18</v>
      </c>
      <c r="E610">
        <v>22</v>
      </c>
      <c r="F610">
        <v>1</v>
      </c>
      <c r="G610">
        <v>2</v>
      </c>
      <c r="H610" t="s">
        <v>113</v>
      </c>
      <c r="I610">
        <v>41.5792</v>
      </c>
      <c r="J610" t="s">
        <v>15</v>
      </c>
      <c r="K610" t="s">
        <v>21</v>
      </c>
      <c r="L610">
        <v>1</v>
      </c>
      <c r="R610">
        <f t="shared" si="66"/>
        <v>22</v>
      </c>
      <c r="S610" t="str">
        <f t="shared" si="67"/>
        <v>C</v>
      </c>
      <c r="U610">
        <f t="shared" si="68"/>
        <v>1</v>
      </c>
      <c r="V610">
        <f t="shared" si="71"/>
        <v>0</v>
      </c>
      <c r="W610">
        <f t="shared" si="71"/>
        <v>1</v>
      </c>
      <c r="X610">
        <f t="shared" si="71"/>
        <v>0</v>
      </c>
      <c r="Y610">
        <f t="shared" si="69"/>
        <v>0</v>
      </c>
      <c r="Z610">
        <f t="shared" si="69"/>
        <v>0</v>
      </c>
      <c r="AA610">
        <f t="shared" si="69"/>
        <v>1</v>
      </c>
    </row>
    <row r="611" spans="1:27" x14ac:dyDescent="0.4">
      <c r="A611">
        <v>610</v>
      </c>
      <c r="B611">
        <v>1</v>
      </c>
      <c r="C611" t="s">
        <v>1231</v>
      </c>
      <c r="D611" t="s">
        <v>18</v>
      </c>
      <c r="E611">
        <v>40</v>
      </c>
      <c r="F611">
        <v>0</v>
      </c>
      <c r="G611">
        <v>0</v>
      </c>
      <c r="H611" t="s">
        <v>572</v>
      </c>
      <c r="I611">
        <v>153.46250000000001</v>
      </c>
      <c r="J611" t="s">
        <v>573</v>
      </c>
      <c r="K611" t="s">
        <v>16</v>
      </c>
      <c r="L611">
        <v>1</v>
      </c>
      <c r="R611">
        <f t="shared" si="66"/>
        <v>40</v>
      </c>
      <c r="S611" t="str">
        <f t="shared" si="67"/>
        <v>S</v>
      </c>
      <c r="U611">
        <f t="shared" si="68"/>
        <v>1</v>
      </c>
      <c r="V611">
        <f t="shared" si="71"/>
        <v>1</v>
      </c>
      <c r="W611">
        <f t="shared" si="71"/>
        <v>0</v>
      </c>
      <c r="X611">
        <f t="shared" si="71"/>
        <v>0</v>
      </c>
      <c r="Y611">
        <f t="shared" si="69"/>
        <v>1</v>
      </c>
      <c r="Z611">
        <f t="shared" si="69"/>
        <v>0</v>
      </c>
      <c r="AA611">
        <f t="shared" si="69"/>
        <v>0</v>
      </c>
    </row>
    <row r="612" spans="1:27" x14ac:dyDescent="0.4">
      <c r="A612">
        <v>611</v>
      </c>
      <c r="B612">
        <v>3</v>
      </c>
      <c r="C612" t="s">
        <v>1232</v>
      </c>
      <c r="D612" t="s">
        <v>18</v>
      </c>
      <c r="E612">
        <v>39</v>
      </c>
      <c r="F612">
        <v>1</v>
      </c>
      <c r="G612">
        <v>5</v>
      </c>
      <c r="H612" t="s">
        <v>50</v>
      </c>
      <c r="I612">
        <v>31.274999999999999</v>
      </c>
      <c r="J612" t="s">
        <v>15</v>
      </c>
      <c r="K612" t="s">
        <v>16</v>
      </c>
      <c r="L612">
        <v>0</v>
      </c>
      <c r="R612">
        <f t="shared" si="66"/>
        <v>39</v>
      </c>
      <c r="S612" t="str">
        <f t="shared" si="67"/>
        <v>S</v>
      </c>
      <c r="U612">
        <f t="shared" si="68"/>
        <v>1</v>
      </c>
      <c r="V612">
        <f t="shared" si="71"/>
        <v>0</v>
      </c>
      <c r="W612">
        <f t="shared" si="71"/>
        <v>0</v>
      </c>
      <c r="X612">
        <f t="shared" si="71"/>
        <v>1</v>
      </c>
      <c r="Y612">
        <f t="shared" si="69"/>
        <v>1</v>
      </c>
      <c r="Z612">
        <f t="shared" si="69"/>
        <v>0</v>
      </c>
      <c r="AA612">
        <f t="shared" si="69"/>
        <v>0</v>
      </c>
    </row>
    <row r="613" spans="1:27" x14ac:dyDescent="0.4">
      <c r="A613">
        <v>612</v>
      </c>
      <c r="B613">
        <v>3</v>
      </c>
      <c r="C613" t="s">
        <v>1233</v>
      </c>
      <c r="D613" t="s">
        <v>13</v>
      </c>
      <c r="F613">
        <v>0</v>
      </c>
      <c r="G613">
        <v>0</v>
      </c>
      <c r="H613" t="s">
        <v>1234</v>
      </c>
      <c r="I613">
        <v>7.05</v>
      </c>
      <c r="J613" t="s">
        <v>15</v>
      </c>
      <c r="K613" t="s">
        <v>16</v>
      </c>
      <c r="L613">
        <v>0</v>
      </c>
      <c r="R613">
        <f t="shared" si="66"/>
        <v>28</v>
      </c>
      <c r="S613" t="str">
        <f t="shared" si="67"/>
        <v>S</v>
      </c>
      <c r="U613">
        <f t="shared" si="68"/>
        <v>0</v>
      </c>
      <c r="V613">
        <f t="shared" si="71"/>
        <v>0</v>
      </c>
      <c r="W613">
        <f t="shared" si="71"/>
        <v>0</v>
      </c>
      <c r="X613">
        <f t="shared" si="71"/>
        <v>1</v>
      </c>
      <c r="Y613">
        <f t="shared" si="69"/>
        <v>1</v>
      </c>
      <c r="Z613">
        <f t="shared" si="69"/>
        <v>0</v>
      </c>
      <c r="AA613">
        <f t="shared" si="69"/>
        <v>0</v>
      </c>
    </row>
    <row r="614" spans="1:27" x14ac:dyDescent="0.4">
      <c r="A614">
        <v>613</v>
      </c>
      <c r="B614">
        <v>3</v>
      </c>
      <c r="C614" t="s">
        <v>1235</v>
      </c>
      <c r="D614" t="s">
        <v>18</v>
      </c>
      <c r="F614">
        <v>1</v>
      </c>
      <c r="G614">
        <v>0</v>
      </c>
      <c r="H614" t="s">
        <v>515</v>
      </c>
      <c r="I614">
        <v>15.5</v>
      </c>
      <c r="J614" t="s">
        <v>15</v>
      </c>
      <c r="K614" t="s">
        <v>31</v>
      </c>
      <c r="L614">
        <v>1</v>
      </c>
      <c r="R614">
        <f t="shared" si="66"/>
        <v>28</v>
      </c>
      <c r="S614" t="str">
        <f t="shared" si="67"/>
        <v>Q</v>
      </c>
      <c r="U614">
        <f t="shared" si="68"/>
        <v>1</v>
      </c>
      <c r="V614">
        <f t="shared" si="71"/>
        <v>0</v>
      </c>
      <c r="W614">
        <f t="shared" si="71"/>
        <v>0</v>
      </c>
      <c r="X614">
        <f t="shared" si="71"/>
        <v>1</v>
      </c>
      <c r="Y614">
        <f t="shared" si="69"/>
        <v>0</v>
      </c>
      <c r="Z614">
        <f t="shared" si="69"/>
        <v>1</v>
      </c>
      <c r="AA614">
        <f t="shared" si="69"/>
        <v>0</v>
      </c>
    </row>
    <row r="615" spans="1:27" x14ac:dyDescent="0.4">
      <c r="A615">
        <v>614</v>
      </c>
      <c r="B615">
        <v>3</v>
      </c>
      <c r="C615" t="s">
        <v>1236</v>
      </c>
      <c r="D615" t="s">
        <v>13</v>
      </c>
      <c r="F615">
        <v>0</v>
      </c>
      <c r="G615">
        <v>0</v>
      </c>
      <c r="H615" t="s">
        <v>1237</v>
      </c>
      <c r="I615">
        <v>7.75</v>
      </c>
      <c r="J615" t="s">
        <v>15</v>
      </c>
      <c r="K615" t="s">
        <v>31</v>
      </c>
      <c r="L615">
        <v>0</v>
      </c>
      <c r="R615">
        <f t="shared" si="66"/>
        <v>28</v>
      </c>
      <c r="S615" t="str">
        <f t="shared" si="67"/>
        <v>Q</v>
      </c>
      <c r="U615">
        <f t="shared" si="68"/>
        <v>0</v>
      </c>
      <c r="V615">
        <f t="shared" si="71"/>
        <v>0</v>
      </c>
      <c r="W615">
        <f t="shared" si="71"/>
        <v>0</v>
      </c>
      <c r="X615">
        <f t="shared" si="71"/>
        <v>1</v>
      </c>
      <c r="Y615">
        <f t="shared" si="69"/>
        <v>0</v>
      </c>
      <c r="Z615">
        <f t="shared" si="69"/>
        <v>1</v>
      </c>
      <c r="AA615">
        <f t="shared" si="69"/>
        <v>0</v>
      </c>
    </row>
    <row r="616" spans="1:27" x14ac:dyDescent="0.4">
      <c r="A616">
        <v>615</v>
      </c>
      <c r="B616">
        <v>3</v>
      </c>
      <c r="C616" t="s">
        <v>1238</v>
      </c>
      <c r="D616" t="s">
        <v>13</v>
      </c>
      <c r="E616">
        <v>35</v>
      </c>
      <c r="F616">
        <v>0</v>
      </c>
      <c r="G616">
        <v>0</v>
      </c>
      <c r="H616" t="s">
        <v>1239</v>
      </c>
      <c r="I616">
        <v>8.0500000000000007</v>
      </c>
      <c r="J616" t="s">
        <v>15</v>
      </c>
      <c r="K616" t="s">
        <v>16</v>
      </c>
      <c r="L616">
        <v>0</v>
      </c>
      <c r="R616">
        <f t="shared" si="66"/>
        <v>35</v>
      </c>
      <c r="S616" t="str">
        <f t="shared" si="67"/>
        <v>S</v>
      </c>
      <c r="U616">
        <f t="shared" si="68"/>
        <v>0</v>
      </c>
      <c r="V616">
        <f t="shared" si="71"/>
        <v>0</v>
      </c>
      <c r="W616">
        <f t="shared" si="71"/>
        <v>0</v>
      </c>
      <c r="X616">
        <f t="shared" si="71"/>
        <v>1</v>
      </c>
      <c r="Y616">
        <f t="shared" si="69"/>
        <v>1</v>
      </c>
      <c r="Z616">
        <f t="shared" si="69"/>
        <v>0</v>
      </c>
      <c r="AA616">
        <f t="shared" si="69"/>
        <v>0</v>
      </c>
    </row>
    <row r="617" spans="1:27" x14ac:dyDescent="0.4">
      <c r="A617">
        <v>616</v>
      </c>
      <c r="B617">
        <v>2</v>
      </c>
      <c r="C617" t="s">
        <v>1240</v>
      </c>
      <c r="D617" t="s">
        <v>18</v>
      </c>
      <c r="E617">
        <v>24</v>
      </c>
      <c r="F617">
        <v>1</v>
      </c>
      <c r="G617">
        <v>2</v>
      </c>
      <c r="H617" t="s">
        <v>1241</v>
      </c>
      <c r="I617">
        <v>65</v>
      </c>
      <c r="J617" t="s">
        <v>15</v>
      </c>
      <c r="K617" t="s">
        <v>16</v>
      </c>
      <c r="L617">
        <v>1</v>
      </c>
      <c r="R617">
        <f t="shared" si="66"/>
        <v>24</v>
      </c>
      <c r="S617" t="str">
        <f t="shared" si="67"/>
        <v>S</v>
      </c>
      <c r="U617">
        <f t="shared" si="68"/>
        <v>1</v>
      </c>
      <c r="V617">
        <f t="shared" si="71"/>
        <v>0</v>
      </c>
      <c r="W617">
        <f t="shared" si="71"/>
        <v>1</v>
      </c>
      <c r="X617">
        <f t="shared" si="71"/>
        <v>0</v>
      </c>
      <c r="Y617">
        <f t="shared" si="69"/>
        <v>1</v>
      </c>
      <c r="Z617">
        <f t="shared" si="69"/>
        <v>0</v>
      </c>
      <c r="AA617">
        <f t="shared" si="69"/>
        <v>0</v>
      </c>
    </row>
    <row r="618" spans="1:27" x14ac:dyDescent="0.4">
      <c r="A618">
        <v>617</v>
      </c>
      <c r="B618">
        <v>3</v>
      </c>
      <c r="C618" t="s">
        <v>1242</v>
      </c>
      <c r="D618" t="s">
        <v>13</v>
      </c>
      <c r="E618">
        <v>34</v>
      </c>
      <c r="F618">
        <v>1</v>
      </c>
      <c r="G618">
        <v>1</v>
      </c>
      <c r="H618" t="s">
        <v>876</v>
      </c>
      <c r="I618">
        <v>14.4</v>
      </c>
      <c r="J618" t="s">
        <v>15</v>
      </c>
      <c r="K618" t="s">
        <v>16</v>
      </c>
      <c r="L618">
        <v>0</v>
      </c>
      <c r="R618">
        <f t="shared" si="66"/>
        <v>34</v>
      </c>
      <c r="S618" t="str">
        <f t="shared" si="67"/>
        <v>S</v>
      </c>
      <c r="U618">
        <f t="shared" si="68"/>
        <v>0</v>
      </c>
      <c r="V618">
        <f t="shared" si="71"/>
        <v>0</v>
      </c>
      <c r="W618">
        <f t="shared" si="71"/>
        <v>0</v>
      </c>
      <c r="X618">
        <f t="shared" si="71"/>
        <v>1</v>
      </c>
      <c r="Y618">
        <f t="shared" si="69"/>
        <v>1</v>
      </c>
      <c r="Z618">
        <f t="shared" si="69"/>
        <v>0</v>
      </c>
      <c r="AA618">
        <f t="shared" si="69"/>
        <v>0</v>
      </c>
    </row>
    <row r="619" spans="1:27" x14ac:dyDescent="0.4">
      <c r="A619">
        <v>618</v>
      </c>
      <c r="B619">
        <v>3</v>
      </c>
      <c r="C619" t="s">
        <v>1243</v>
      </c>
      <c r="D619" t="s">
        <v>18</v>
      </c>
      <c r="E619">
        <v>26</v>
      </c>
      <c r="F619">
        <v>1</v>
      </c>
      <c r="G619">
        <v>0</v>
      </c>
      <c r="H619" t="s">
        <v>541</v>
      </c>
      <c r="I619">
        <v>16.100000000000001</v>
      </c>
      <c r="J619" t="s">
        <v>15</v>
      </c>
      <c r="K619" t="s">
        <v>16</v>
      </c>
      <c r="L619">
        <v>0</v>
      </c>
      <c r="R619">
        <f t="shared" si="66"/>
        <v>26</v>
      </c>
      <c r="S619" t="str">
        <f t="shared" si="67"/>
        <v>S</v>
      </c>
      <c r="U619">
        <f t="shared" si="68"/>
        <v>1</v>
      </c>
      <c r="V619">
        <f t="shared" si="71"/>
        <v>0</v>
      </c>
      <c r="W619">
        <f t="shared" si="71"/>
        <v>0</v>
      </c>
      <c r="X619">
        <f t="shared" si="71"/>
        <v>1</v>
      </c>
      <c r="Y619">
        <f t="shared" si="69"/>
        <v>1</v>
      </c>
      <c r="Z619">
        <f t="shared" si="69"/>
        <v>0</v>
      </c>
      <c r="AA619">
        <f t="shared" si="69"/>
        <v>0</v>
      </c>
    </row>
    <row r="620" spans="1:27" x14ac:dyDescent="0.4">
      <c r="A620">
        <v>619</v>
      </c>
      <c r="B620">
        <v>2</v>
      </c>
      <c r="C620" t="s">
        <v>1244</v>
      </c>
      <c r="D620" t="s">
        <v>18</v>
      </c>
      <c r="E620">
        <v>4</v>
      </c>
      <c r="F620">
        <v>2</v>
      </c>
      <c r="G620">
        <v>1</v>
      </c>
      <c r="H620" t="s">
        <v>399</v>
      </c>
      <c r="I620">
        <v>39</v>
      </c>
      <c r="J620" t="s">
        <v>400</v>
      </c>
      <c r="K620" t="s">
        <v>16</v>
      </c>
      <c r="L620">
        <v>1</v>
      </c>
      <c r="R620">
        <f t="shared" si="66"/>
        <v>4</v>
      </c>
      <c r="S620" t="str">
        <f t="shared" si="67"/>
        <v>S</v>
      </c>
      <c r="U620">
        <f t="shared" si="68"/>
        <v>1</v>
      </c>
      <c r="V620">
        <f t="shared" si="71"/>
        <v>0</v>
      </c>
      <c r="W620">
        <f t="shared" si="71"/>
        <v>1</v>
      </c>
      <c r="X620">
        <f t="shared" si="71"/>
        <v>0</v>
      </c>
      <c r="Y620">
        <f t="shared" si="69"/>
        <v>1</v>
      </c>
      <c r="Z620">
        <f t="shared" si="69"/>
        <v>0</v>
      </c>
      <c r="AA620">
        <f t="shared" si="69"/>
        <v>0</v>
      </c>
    </row>
    <row r="621" spans="1:27" x14ac:dyDescent="0.4">
      <c r="A621">
        <v>620</v>
      </c>
      <c r="B621">
        <v>2</v>
      </c>
      <c r="C621" t="s">
        <v>1245</v>
      </c>
      <c r="D621" t="s">
        <v>13</v>
      </c>
      <c r="E621">
        <v>26</v>
      </c>
      <c r="F621">
        <v>0</v>
      </c>
      <c r="G621">
        <v>0</v>
      </c>
      <c r="H621" t="s">
        <v>1246</v>
      </c>
      <c r="I621">
        <v>10.5</v>
      </c>
      <c r="J621" t="s">
        <v>15</v>
      </c>
      <c r="K621" t="s">
        <v>16</v>
      </c>
      <c r="L621">
        <v>0</v>
      </c>
      <c r="R621">
        <f t="shared" si="66"/>
        <v>26</v>
      </c>
      <c r="S621" t="str">
        <f t="shared" si="67"/>
        <v>S</v>
      </c>
      <c r="U621">
        <f t="shared" si="68"/>
        <v>0</v>
      </c>
      <c r="V621">
        <f t="shared" si="71"/>
        <v>0</v>
      </c>
      <c r="W621">
        <f t="shared" si="71"/>
        <v>1</v>
      </c>
      <c r="X621">
        <f t="shared" si="71"/>
        <v>0</v>
      </c>
      <c r="Y621">
        <f t="shared" si="69"/>
        <v>1</v>
      </c>
      <c r="Z621">
        <f t="shared" si="69"/>
        <v>0</v>
      </c>
      <c r="AA621">
        <f t="shared" si="69"/>
        <v>0</v>
      </c>
    </row>
    <row r="622" spans="1:27" x14ac:dyDescent="0.4">
      <c r="A622">
        <v>621</v>
      </c>
      <c r="B622">
        <v>3</v>
      </c>
      <c r="C622" t="s">
        <v>1247</v>
      </c>
      <c r="D622" t="s">
        <v>13</v>
      </c>
      <c r="E622">
        <v>27</v>
      </c>
      <c r="F622">
        <v>1</v>
      </c>
      <c r="G622">
        <v>0</v>
      </c>
      <c r="H622" t="s">
        <v>1248</v>
      </c>
      <c r="I622">
        <v>14.4542</v>
      </c>
      <c r="J622" t="s">
        <v>15</v>
      </c>
      <c r="K622" t="s">
        <v>21</v>
      </c>
      <c r="L622">
        <v>0</v>
      </c>
      <c r="R622">
        <f t="shared" si="66"/>
        <v>27</v>
      </c>
      <c r="S622" t="str">
        <f t="shared" si="67"/>
        <v>C</v>
      </c>
      <c r="U622">
        <f t="shared" si="68"/>
        <v>0</v>
      </c>
      <c r="V622">
        <f t="shared" ref="V622:X641" si="72">IF("Pclass_"&amp;$B622=V$1,1,0)</f>
        <v>0</v>
      </c>
      <c r="W622">
        <f t="shared" si="72"/>
        <v>0</v>
      </c>
      <c r="X622">
        <f t="shared" si="72"/>
        <v>1</v>
      </c>
      <c r="Y622">
        <f t="shared" si="69"/>
        <v>0</v>
      </c>
      <c r="Z622">
        <f t="shared" si="69"/>
        <v>0</v>
      </c>
      <c r="AA622">
        <f t="shared" si="69"/>
        <v>1</v>
      </c>
    </row>
    <row r="623" spans="1:27" x14ac:dyDescent="0.4">
      <c r="A623">
        <v>622</v>
      </c>
      <c r="B623">
        <v>1</v>
      </c>
      <c r="C623" t="s">
        <v>1249</v>
      </c>
      <c r="D623" t="s">
        <v>13</v>
      </c>
      <c r="E623">
        <v>42</v>
      </c>
      <c r="F623">
        <v>1</v>
      </c>
      <c r="G623">
        <v>0</v>
      </c>
      <c r="H623" t="s">
        <v>1250</v>
      </c>
      <c r="I623">
        <v>52.554200000000002</v>
      </c>
      <c r="J623" t="s">
        <v>1251</v>
      </c>
      <c r="K623" t="s">
        <v>16</v>
      </c>
      <c r="L623">
        <v>1</v>
      </c>
      <c r="R623">
        <f t="shared" si="66"/>
        <v>42</v>
      </c>
      <c r="S623" t="str">
        <f t="shared" si="67"/>
        <v>S</v>
      </c>
      <c r="U623">
        <f t="shared" si="68"/>
        <v>0</v>
      </c>
      <c r="V623">
        <f t="shared" si="72"/>
        <v>1</v>
      </c>
      <c r="W623">
        <f t="shared" si="72"/>
        <v>0</v>
      </c>
      <c r="X623">
        <f t="shared" si="72"/>
        <v>0</v>
      </c>
      <c r="Y623">
        <f t="shared" si="69"/>
        <v>1</v>
      </c>
      <c r="Z623">
        <f t="shared" si="69"/>
        <v>0</v>
      </c>
      <c r="AA623">
        <f t="shared" si="69"/>
        <v>0</v>
      </c>
    </row>
    <row r="624" spans="1:27" x14ac:dyDescent="0.4">
      <c r="A624">
        <v>623</v>
      </c>
      <c r="B624">
        <v>3</v>
      </c>
      <c r="C624" t="s">
        <v>1252</v>
      </c>
      <c r="D624" t="s">
        <v>13</v>
      </c>
      <c r="E624">
        <v>20</v>
      </c>
      <c r="F624">
        <v>1</v>
      </c>
      <c r="G624">
        <v>1</v>
      </c>
      <c r="H624" t="s">
        <v>800</v>
      </c>
      <c r="I624">
        <v>15.7417</v>
      </c>
      <c r="J624" t="s">
        <v>15</v>
      </c>
      <c r="K624" t="s">
        <v>21</v>
      </c>
      <c r="L624">
        <v>1</v>
      </c>
      <c r="R624">
        <f t="shared" si="66"/>
        <v>20</v>
      </c>
      <c r="S624" t="str">
        <f t="shared" si="67"/>
        <v>C</v>
      </c>
      <c r="U624">
        <f t="shared" si="68"/>
        <v>0</v>
      </c>
      <c r="V624">
        <f t="shared" si="72"/>
        <v>0</v>
      </c>
      <c r="W624">
        <f t="shared" si="72"/>
        <v>0</v>
      </c>
      <c r="X624">
        <f t="shared" si="72"/>
        <v>1</v>
      </c>
      <c r="Y624">
        <f t="shared" si="69"/>
        <v>0</v>
      </c>
      <c r="Z624">
        <f t="shared" si="69"/>
        <v>0</v>
      </c>
      <c r="AA624">
        <f t="shared" si="69"/>
        <v>1</v>
      </c>
    </row>
    <row r="625" spans="1:27" x14ac:dyDescent="0.4">
      <c r="A625">
        <v>624</v>
      </c>
      <c r="B625">
        <v>3</v>
      </c>
      <c r="C625" t="s">
        <v>1253</v>
      </c>
      <c r="D625" t="s">
        <v>13</v>
      </c>
      <c r="E625">
        <v>21</v>
      </c>
      <c r="F625">
        <v>0</v>
      </c>
      <c r="G625">
        <v>0</v>
      </c>
      <c r="H625" t="s">
        <v>1254</v>
      </c>
      <c r="I625">
        <v>7.8541999999999996</v>
      </c>
      <c r="J625" t="s">
        <v>15</v>
      </c>
      <c r="K625" t="s">
        <v>16</v>
      </c>
      <c r="L625">
        <v>0</v>
      </c>
      <c r="R625">
        <f t="shared" si="66"/>
        <v>21</v>
      </c>
      <c r="S625" t="str">
        <f t="shared" si="67"/>
        <v>S</v>
      </c>
      <c r="U625">
        <f t="shared" si="68"/>
        <v>0</v>
      </c>
      <c r="V625">
        <f t="shared" si="72"/>
        <v>0</v>
      </c>
      <c r="W625">
        <f t="shared" si="72"/>
        <v>0</v>
      </c>
      <c r="X625">
        <f t="shared" si="72"/>
        <v>1</v>
      </c>
      <c r="Y625">
        <f t="shared" si="69"/>
        <v>1</v>
      </c>
      <c r="Z625">
        <f t="shared" si="69"/>
        <v>0</v>
      </c>
      <c r="AA625">
        <f t="shared" si="69"/>
        <v>0</v>
      </c>
    </row>
    <row r="626" spans="1:27" x14ac:dyDescent="0.4">
      <c r="A626">
        <v>625</v>
      </c>
      <c r="B626">
        <v>3</v>
      </c>
      <c r="C626" t="s">
        <v>1255</v>
      </c>
      <c r="D626" t="s">
        <v>13</v>
      </c>
      <c r="E626">
        <v>21</v>
      </c>
      <c r="F626">
        <v>0</v>
      </c>
      <c r="G626">
        <v>0</v>
      </c>
      <c r="H626" t="s">
        <v>1256</v>
      </c>
      <c r="I626">
        <v>16.100000000000001</v>
      </c>
      <c r="J626" t="s">
        <v>15</v>
      </c>
      <c r="K626" t="s">
        <v>16</v>
      </c>
      <c r="L626">
        <v>0</v>
      </c>
      <c r="R626">
        <f t="shared" si="66"/>
        <v>21</v>
      </c>
      <c r="S626" t="str">
        <f t="shared" si="67"/>
        <v>S</v>
      </c>
      <c r="U626">
        <f t="shared" si="68"/>
        <v>0</v>
      </c>
      <c r="V626">
        <f t="shared" si="72"/>
        <v>0</v>
      </c>
      <c r="W626">
        <f t="shared" si="72"/>
        <v>0</v>
      </c>
      <c r="X626">
        <f t="shared" si="72"/>
        <v>1</v>
      </c>
      <c r="Y626">
        <f t="shared" si="69"/>
        <v>1</v>
      </c>
      <c r="Z626">
        <f t="shared" si="69"/>
        <v>0</v>
      </c>
      <c r="AA626">
        <f t="shared" si="69"/>
        <v>0</v>
      </c>
    </row>
    <row r="627" spans="1:27" x14ac:dyDescent="0.4">
      <c r="A627">
        <v>626</v>
      </c>
      <c r="B627">
        <v>1</v>
      </c>
      <c r="C627" t="s">
        <v>1257</v>
      </c>
      <c r="D627" t="s">
        <v>13</v>
      </c>
      <c r="E627">
        <v>61</v>
      </c>
      <c r="F627">
        <v>0</v>
      </c>
      <c r="G627">
        <v>0</v>
      </c>
      <c r="H627" t="s">
        <v>1258</v>
      </c>
      <c r="I627">
        <v>32.320799999999998</v>
      </c>
      <c r="J627" t="s">
        <v>1259</v>
      </c>
      <c r="K627" t="s">
        <v>16</v>
      </c>
      <c r="L627">
        <v>0</v>
      </c>
      <c r="R627">
        <f t="shared" si="66"/>
        <v>61</v>
      </c>
      <c r="S627" t="str">
        <f t="shared" si="67"/>
        <v>S</v>
      </c>
      <c r="U627">
        <f t="shared" si="68"/>
        <v>0</v>
      </c>
      <c r="V627">
        <f t="shared" si="72"/>
        <v>1</v>
      </c>
      <c r="W627">
        <f t="shared" si="72"/>
        <v>0</v>
      </c>
      <c r="X627">
        <f t="shared" si="72"/>
        <v>0</v>
      </c>
      <c r="Y627">
        <f t="shared" si="69"/>
        <v>1</v>
      </c>
      <c r="Z627">
        <f t="shared" si="69"/>
        <v>0</v>
      </c>
      <c r="AA627">
        <f t="shared" si="69"/>
        <v>0</v>
      </c>
    </row>
    <row r="628" spans="1:27" x14ac:dyDescent="0.4">
      <c r="A628">
        <v>627</v>
      </c>
      <c r="B628">
        <v>2</v>
      </c>
      <c r="C628" t="s">
        <v>1260</v>
      </c>
      <c r="D628" t="s">
        <v>13</v>
      </c>
      <c r="E628">
        <v>57</v>
      </c>
      <c r="F628">
        <v>0</v>
      </c>
      <c r="G628">
        <v>0</v>
      </c>
      <c r="H628" t="s">
        <v>1261</v>
      </c>
      <c r="I628">
        <v>12.35</v>
      </c>
      <c r="J628" t="s">
        <v>15</v>
      </c>
      <c r="K628" t="s">
        <v>31</v>
      </c>
      <c r="L628">
        <v>0</v>
      </c>
      <c r="R628">
        <f t="shared" si="66"/>
        <v>57</v>
      </c>
      <c r="S628" t="str">
        <f t="shared" si="67"/>
        <v>Q</v>
      </c>
      <c r="U628">
        <f t="shared" si="68"/>
        <v>0</v>
      </c>
      <c r="V628">
        <f t="shared" si="72"/>
        <v>0</v>
      </c>
      <c r="W628">
        <f t="shared" si="72"/>
        <v>1</v>
      </c>
      <c r="X628">
        <f t="shared" si="72"/>
        <v>0</v>
      </c>
      <c r="Y628">
        <f t="shared" si="69"/>
        <v>0</v>
      </c>
      <c r="Z628">
        <f t="shared" si="69"/>
        <v>1</v>
      </c>
      <c r="AA628">
        <f t="shared" si="69"/>
        <v>0</v>
      </c>
    </row>
    <row r="629" spans="1:27" x14ac:dyDescent="0.4">
      <c r="A629">
        <v>628</v>
      </c>
      <c r="B629">
        <v>1</v>
      </c>
      <c r="C629" t="s">
        <v>1262</v>
      </c>
      <c r="D629" t="s">
        <v>18</v>
      </c>
      <c r="E629">
        <v>21</v>
      </c>
      <c r="F629">
        <v>0</v>
      </c>
      <c r="G629">
        <v>0</v>
      </c>
      <c r="H629" t="s">
        <v>588</v>
      </c>
      <c r="I629">
        <v>77.958299999999994</v>
      </c>
      <c r="J629" t="s">
        <v>1263</v>
      </c>
      <c r="K629" t="s">
        <v>16</v>
      </c>
      <c r="L629">
        <v>1</v>
      </c>
      <c r="R629">
        <f t="shared" si="66"/>
        <v>21</v>
      </c>
      <c r="S629" t="str">
        <f t="shared" si="67"/>
        <v>S</v>
      </c>
      <c r="U629">
        <f t="shared" si="68"/>
        <v>1</v>
      </c>
      <c r="V629">
        <f t="shared" si="72"/>
        <v>1</v>
      </c>
      <c r="W629">
        <f t="shared" si="72"/>
        <v>0</v>
      </c>
      <c r="X629">
        <f t="shared" si="72"/>
        <v>0</v>
      </c>
      <c r="Y629">
        <f t="shared" si="69"/>
        <v>1</v>
      </c>
      <c r="Z629">
        <f t="shared" si="69"/>
        <v>0</v>
      </c>
      <c r="AA629">
        <f t="shared" si="69"/>
        <v>0</v>
      </c>
    </row>
    <row r="630" spans="1:27" x14ac:dyDescent="0.4">
      <c r="A630">
        <v>629</v>
      </c>
      <c r="B630">
        <v>3</v>
      </c>
      <c r="C630" t="s">
        <v>1264</v>
      </c>
      <c r="D630" t="s">
        <v>13</v>
      </c>
      <c r="E630">
        <v>26</v>
      </c>
      <c r="F630">
        <v>0</v>
      </c>
      <c r="G630">
        <v>0</v>
      </c>
      <c r="H630" t="s">
        <v>1265</v>
      </c>
      <c r="I630">
        <v>7.8958000000000004</v>
      </c>
      <c r="J630" t="s">
        <v>15</v>
      </c>
      <c r="K630" t="s">
        <v>16</v>
      </c>
      <c r="L630">
        <v>0</v>
      </c>
      <c r="R630">
        <f t="shared" si="66"/>
        <v>26</v>
      </c>
      <c r="S630" t="str">
        <f t="shared" si="67"/>
        <v>S</v>
      </c>
      <c r="U630">
        <f t="shared" si="68"/>
        <v>0</v>
      </c>
      <c r="V630">
        <f t="shared" si="72"/>
        <v>0</v>
      </c>
      <c r="W630">
        <f t="shared" si="72"/>
        <v>0</v>
      </c>
      <c r="X630">
        <f t="shared" si="72"/>
        <v>1</v>
      </c>
      <c r="Y630">
        <f t="shared" si="69"/>
        <v>1</v>
      </c>
      <c r="Z630">
        <f t="shared" si="69"/>
        <v>0</v>
      </c>
      <c r="AA630">
        <f t="shared" si="69"/>
        <v>0</v>
      </c>
    </row>
    <row r="631" spans="1:27" x14ac:dyDescent="0.4">
      <c r="A631">
        <v>630</v>
      </c>
      <c r="B631">
        <v>3</v>
      </c>
      <c r="C631" t="s">
        <v>1266</v>
      </c>
      <c r="D631" t="s">
        <v>13</v>
      </c>
      <c r="F631">
        <v>0</v>
      </c>
      <c r="G631">
        <v>0</v>
      </c>
      <c r="H631" t="s">
        <v>1267</v>
      </c>
      <c r="I631">
        <v>7.7332999999999998</v>
      </c>
      <c r="J631" t="s">
        <v>15</v>
      </c>
      <c r="K631" t="s">
        <v>31</v>
      </c>
      <c r="L631">
        <v>0</v>
      </c>
      <c r="R631">
        <f t="shared" si="66"/>
        <v>28</v>
      </c>
      <c r="S631" t="str">
        <f t="shared" si="67"/>
        <v>Q</v>
      </c>
      <c r="U631">
        <f t="shared" si="68"/>
        <v>0</v>
      </c>
      <c r="V631">
        <f t="shared" si="72"/>
        <v>0</v>
      </c>
      <c r="W631">
        <f t="shared" si="72"/>
        <v>0</v>
      </c>
      <c r="X631">
        <f t="shared" si="72"/>
        <v>1</v>
      </c>
      <c r="Y631">
        <f t="shared" si="69"/>
        <v>0</v>
      </c>
      <c r="Z631">
        <f t="shared" si="69"/>
        <v>1</v>
      </c>
      <c r="AA631">
        <f t="shared" si="69"/>
        <v>0</v>
      </c>
    </row>
    <row r="632" spans="1:27" x14ac:dyDescent="0.4">
      <c r="A632">
        <v>631</v>
      </c>
      <c r="B632">
        <v>1</v>
      </c>
      <c r="C632" t="s">
        <v>1268</v>
      </c>
      <c r="D632" t="s">
        <v>13</v>
      </c>
      <c r="E632">
        <v>80</v>
      </c>
      <c r="F632">
        <v>0</v>
      </c>
      <c r="G632">
        <v>0</v>
      </c>
      <c r="H632" t="s">
        <v>1269</v>
      </c>
      <c r="I632">
        <v>30</v>
      </c>
      <c r="J632" t="s">
        <v>1270</v>
      </c>
      <c r="K632" t="s">
        <v>16</v>
      </c>
      <c r="L632">
        <v>1</v>
      </c>
      <c r="R632">
        <f t="shared" si="66"/>
        <v>80</v>
      </c>
      <c r="S632" t="str">
        <f t="shared" si="67"/>
        <v>S</v>
      </c>
      <c r="U632">
        <f t="shared" si="68"/>
        <v>0</v>
      </c>
      <c r="V632">
        <f t="shared" si="72"/>
        <v>1</v>
      </c>
      <c r="W632">
        <f t="shared" si="72"/>
        <v>0</v>
      </c>
      <c r="X632">
        <f t="shared" si="72"/>
        <v>0</v>
      </c>
      <c r="Y632">
        <f t="shared" si="69"/>
        <v>1</v>
      </c>
      <c r="Z632">
        <f t="shared" si="69"/>
        <v>0</v>
      </c>
      <c r="AA632">
        <f t="shared" si="69"/>
        <v>0</v>
      </c>
    </row>
    <row r="633" spans="1:27" x14ac:dyDescent="0.4">
      <c r="A633">
        <v>632</v>
      </c>
      <c r="B633">
        <v>3</v>
      </c>
      <c r="C633" t="s">
        <v>1271</v>
      </c>
      <c r="D633" t="s">
        <v>13</v>
      </c>
      <c r="E633">
        <v>51</v>
      </c>
      <c r="F633">
        <v>0</v>
      </c>
      <c r="G633">
        <v>0</v>
      </c>
      <c r="H633" t="s">
        <v>1272</v>
      </c>
      <c r="I633">
        <v>7.0541999999999998</v>
      </c>
      <c r="J633" t="s">
        <v>15</v>
      </c>
      <c r="K633" t="s">
        <v>16</v>
      </c>
      <c r="L633">
        <v>0</v>
      </c>
      <c r="R633">
        <f t="shared" si="66"/>
        <v>51</v>
      </c>
      <c r="S633" t="str">
        <f t="shared" si="67"/>
        <v>S</v>
      </c>
      <c r="U633">
        <f t="shared" si="68"/>
        <v>0</v>
      </c>
      <c r="V633">
        <f t="shared" si="72"/>
        <v>0</v>
      </c>
      <c r="W633">
        <f t="shared" si="72"/>
        <v>0</v>
      </c>
      <c r="X633">
        <f t="shared" si="72"/>
        <v>1</v>
      </c>
      <c r="Y633">
        <f t="shared" si="69"/>
        <v>1</v>
      </c>
      <c r="Z633">
        <f t="shared" si="69"/>
        <v>0</v>
      </c>
      <c r="AA633">
        <f t="shared" si="69"/>
        <v>0</v>
      </c>
    </row>
    <row r="634" spans="1:27" x14ac:dyDescent="0.4">
      <c r="A634">
        <v>633</v>
      </c>
      <c r="B634">
        <v>1</v>
      </c>
      <c r="C634" t="s">
        <v>1273</v>
      </c>
      <c r="D634" t="s">
        <v>13</v>
      </c>
      <c r="E634">
        <v>32</v>
      </c>
      <c r="F634">
        <v>0</v>
      </c>
      <c r="G634">
        <v>0</v>
      </c>
      <c r="H634" t="s">
        <v>1274</v>
      </c>
      <c r="I634">
        <v>30.5</v>
      </c>
      <c r="J634" t="s">
        <v>1275</v>
      </c>
      <c r="K634" t="s">
        <v>21</v>
      </c>
      <c r="L634">
        <v>1</v>
      </c>
      <c r="R634">
        <f t="shared" si="66"/>
        <v>32</v>
      </c>
      <c r="S634" t="str">
        <f t="shared" si="67"/>
        <v>C</v>
      </c>
      <c r="U634">
        <f t="shared" si="68"/>
        <v>0</v>
      </c>
      <c r="V634">
        <f t="shared" si="72"/>
        <v>1</v>
      </c>
      <c r="W634">
        <f t="shared" si="72"/>
        <v>0</v>
      </c>
      <c r="X634">
        <f t="shared" si="72"/>
        <v>0</v>
      </c>
      <c r="Y634">
        <f t="shared" si="69"/>
        <v>0</v>
      </c>
      <c r="Z634">
        <f t="shared" si="69"/>
        <v>0</v>
      </c>
      <c r="AA634">
        <f t="shared" si="69"/>
        <v>1</v>
      </c>
    </row>
    <row r="635" spans="1:27" x14ac:dyDescent="0.4">
      <c r="A635">
        <v>634</v>
      </c>
      <c r="B635">
        <v>1</v>
      </c>
      <c r="C635" t="s">
        <v>1276</v>
      </c>
      <c r="D635" t="s">
        <v>13</v>
      </c>
      <c r="F635">
        <v>0</v>
      </c>
      <c r="G635">
        <v>0</v>
      </c>
      <c r="H635" t="s">
        <v>1277</v>
      </c>
      <c r="I635">
        <v>0</v>
      </c>
      <c r="J635" t="s">
        <v>15</v>
      </c>
      <c r="K635" t="s">
        <v>16</v>
      </c>
      <c r="L635">
        <v>0</v>
      </c>
      <c r="R635">
        <f t="shared" si="66"/>
        <v>28</v>
      </c>
      <c r="S635" t="str">
        <f t="shared" si="67"/>
        <v>S</v>
      </c>
      <c r="U635">
        <f t="shared" si="68"/>
        <v>0</v>
      </c>
      <c r="V635">
        <f t="shared" si="72"/>
        <v>1</v>
      </c>
      <c r="W635">
        <f t="shared" si="72"/>
        <v>0</v>
      </c>
      <c r="X635">
        <f t="shared" si="72"/>
        <v>0</v>
      </c>
      <c r="Y635">
        <f t="shared" si="69"/>
        <v>1</v>
      </c>
      <c r="Z635">
        <f t="shared" si="69"/>
        <v>0</v>
      </c>
      <c r="AA635">
        <f t="shared" si="69"/>
        <v>0</v>
      </c>
    </row>
    <row r="636" spans="1:27" x14ac:dyDescent="0.4">
      <c r="A636">
        <v>635</v>
      </c>
      <c r="B636">
        <v>3</v>
      </c>
      <c r="C636" t="s">
        <v>1278</v>
      </c>
      <c r="D636" t="s">
        <v>18</v>
      </c>
      <c r="E636">
        <v>9</v>
      </c>
      <c r="F636">
        <v>3</v>
      </c>
      <c r="G636">
        <v>2</v>
      </c>
      <c r="H636" t="s">
        <v>158</v>
      </c>
      <c r="I636">
        <v>27.9</v>
      </c>
      <c r="J636" t="s">
        <v>15</v>
      </c>
      <c r="K636" t="s">
        <v>16</v>
      </c>
      <c r="L636">
        <v>0</v>
      </c>
      <c r="R636">
        <f t="shared" si="66"/>
        <v>9</v>
      </c>
      <c r="S636" t="str">
        <f t="shared" si="67"/>
        <v>S</v>
      </c>
      <c r="U636">
        <f t="shared" si="68"/>
        <v>1</v>
      </c>
      <c r="V636">
        <f t="shared" si="72"/>
        <v>0</v>
      </c>
      <c r="W636">
        <f t="shared" si="72"/>
        <v>0</v>
      </c>
      <c r="X636">
        <f t="shared" si="72"/>
        <v>1</v>
      </c>
      <c r="Y636">
        <f t="shared" si="69"/>
        <v>1</v>
      </c>
      <c r="Z636">
        <f t="shared" si="69"/>
        <v>0</v>
      </c>
      <c r="AA636">
        <f t="shared" si="69"/>
        <v>0</v>
      </c>
    </row>
    <row r="637" spans="1:27" x14ac:dyDescent="0.4">
      <c r="A637">
        <v>636</v>
      </c>
      <c r="B637">
        <v>2</v>
      </c>
      <c r="C637" t="s">
        <v>1279</v>
      </c>
      <c r="D637" t="s">
        <v>18</v>
      </c>
      <c r="E637">
        <v>28</v>
      </c>
      <c r="F637">
        <v>0</v>
      </c>
      <c r="G637">
        <v>0</v>
      </c>
      <c r="H637" t="s">
        <v>1280</v>
      </c>
      <c r="I637">
        <v>13</v>
      </c>
      <c r="J637" t="s">
        <v>15</v>
      </c>
      <c r="K637" t="s">
        <v>16</v>
      </c>
      <c r="L637">
        <v>1</v>
      </c>
      <c r="R637">
        <f t="shared" si="66"/>
        <v>28</v>
      </c>
      <c r="S637" t="str">
        <f t="shared" si="67"/>
        <v>S</v>
      </c>
      <c r="U637">
        <f t="shared" si="68"/>
        <v>1</v>
      </c>
      <c r="V637">
        <f t="shared" si="72"/>
        <v>0</v>
      </c>
      <c r="W637">
        <f t="shared" si="72"/>
        <v>1</v>
      </c>
      <c r="X637">
        <f t="shared" si="72"/>
        <v>0</v>
      </c>
      <c r="Y637">
        <f t="shared" si="69"/>
        <v>1</v>
      </c>
      <c r="Z637">
        <f t="shared" si="69"/>
        <v>0</v>
      </c>
      <c r="AA637">
        <f t="shared" si="69"/>
        <v>0</v>
      </c>
    </row>
    <row r="638" spans="1:27" x14ac:dyDescent="0.4">
      <c r="A638">
        <v>637</v>
      </c>
      <c r="B638">
        <v>3</v>
      </c>
      <c r="C638" t="s">
        <v>1281</v>
      </c>
      <c r="D638" t="s">
        <v>13</v>
      </c>
      <c r="E638">
        <v>32</v>
      </c>
      <c r="F638">
        <v>0</v>
      </c>
      <c r="G638">
        <v>0</v>
      </c>
      <c r="H638" t="s">
        <v>1282</v>
      </c>
      <c r="I638">
        <v>7.9249999999999998</v>
      </c>
      <c r="J638" t="s">
        <v>15</v>
      </c>
      <c r="K638" t="s">
        <v>16</v>
      </c>
      <c r="L638">
        <v>0</v>
      </c>
      <c r="R638">
        <f t="shared" si="66"/>
        <v>32</v>
      </c>
      <c r="S638" t="str">
        <f t="shared" si="67"/>
        <v>S</v>
      </c>
      <c r="U638">
        <f t="shared" si="68"/>
        <v>0</v>
      </c>
      <c r="V638">
        <f t="shared" si="72"/>
        <v>0</v>
      </c>
      <c r="W638">
        <f t="shared" si="72"/>
        <v>0</v>
      </c>
      <c r="X638">
        <f t="shared" si="72"/>
        <v>1</v>
      </c>
      <c r="Y638">
        <f t="shared" si="69"/>
        <v>1</v>
      </c>
      <c r="Z638">
        <f t="shared" si="69"/>
        <v>0</v>
      </c>
      <c r="AA638">
        <f t="shared" si="69"/>
        <v>0</v>
      </c>
    </row>
    <row r="639" spans="1:27" x14ac:dyDescent="0.4">
      <c r="A639">
        <v>638</v>
      </c>
      <c r="B639">
        <v>2</v>
      </c>
      <c r="C639" t="s">
        <v>1283</v>
      </c>
      <c r="D639" t="s">
        <v>13</v>
      </c>
      <c r="E639">
        <v>31</v>
      </c>
      <c r="F639">
        <v>1</v>
      </c>
      <c r="G639">
        <v>1</v>
      </c>
      <c r="H639" t="s">
        <v>508</v>
      </c>
      <c r="I639">
        <v>26.25</v>
      </c>
      <c r="J639" t="s">
        <v>15</v>
      </c>
      <c r="K639" t="s">
        <v>16</v>
      </c>
      <c r="L639">
        <v>0</v>
      </c>
      <c r="R639">
        <f t="shared" si="66"/>
        <v>31</v>
      </c>
      <c r="S639" t="str">
        <f t="shared" si="67"/>
        <v>S</v>
      </c>
      <c r="U639">
        <f t="shared" si="68"/>
        <v>0</v>
      </c>
      <c r="V639">
        <f t="shared" si="72"/>
        <v>0</v>
      </c>
      <c r="W639">
        <f t="shared" si="72"/>
        <v>1</v>
      </c>
      <c r="X639">
        <f t="shared" si="72"/>
        <v>0</v>
      </c>
      <c r="Y639">
        <f t="shared" si="69"/>
        <v>1</v>
      </c>
      <c r="Z639">
        <f t="shared" si="69"/>
        <v>0</v>
      </c>
      <c r="AA639">
        <f t="shared" si="69"/>
        <v>0</v>
      </c>
    </row>
    <row r="640" spans="1:27" x14ac:dyDescent="0.4">
      <c r="A640">
        <v>639</v>
      </c>
      <c r="B640">
        <v>3</v>
      </c>
      <c r="C640" t="s">
        <v>1284</v>
      </c>
      <c r="D640" t="s">
        <v>18</v>
      </c>
      <c r="E640">
        <v>41</v>
      </c>
      <c r="F640">
        <v>0</v>
      </c>
      <c r="G640">
        <v>5</v>
      </c>
      <c r="H640" t="s">
        <v>127</v>
      </c>
      <c r="I640">
        <v>39.6875</v>
      </c>
      <c r="J640" t="s">
        <v>15</v>
      </c>
      <c r="K640" t="s">
        <v>16</v>
      </c>
      <c r="L640">
        <v>0</v>
      </c>
      <c r="R640">
        <f t="shared" si="66"/>
        <v>41</v>
      </c>
      <c r="S640" t="str">
        <f t="shared" si="67"/>
        <v>S</v>
      </c>
      <c r="U640">
        <f t="shared" si="68"/>
        <v>1</v>
      </c>
      <c r="V640">
        <f t="shared" si="72"/>
        <v>0</v>
      </c>
      <c r="W640">
        <f t="shared" si="72"/>
        <v>0</v>
      </c>
      <c r="X640">
        <f t="shared" si="72"/>
        <v>1</v>
      </c>
      <c r="Y640">
        <f t="shared" si="69"/>
        <v>1</v>
      </c>
      <c r="Z640">
        <f t="shared" si="69"/>
        <v>0</v>
      </c>
      <c r="AA640">
        <f t="shared" si="69"/>
        <v>0</v>
      </c>
    </row>
    <row r="641" spans="1:27" x14ac:dyDescent="0.4">
      <c r="A641">
        <v>640</v>
      </c>
      <c r="B641">
        <v>3</v>
      </c>
      <c r="C641" t="s">
        <v>1285</v>
      </c>
      <c r="D641" t="s">
        <v>13</v>
      </c>
      <c r="F641">
        <v>1</v>
      </c>
      <c r="G641">
        <v>0</v>
      </c>
      <c r="H641" t="s">
        <v>892</v>
      </c>
      <c r="I641">
        <v>16.100000000000001</v>
      </c>
      <c r="J641" t="s">
        <v>15</v>
      </c>
      <c r="K641" t="s">
        <v>16</v>
      </c>
      <c r="L641">
        <v>0</v>
      </c>
      <c r="R641">
        <f t="shared" si="66"/>
        <v>28</v>
      </c>
      <c r="S641" t="str">
        <f t="shared" si="67"/>
        <v>S</v>
      </c>
      <c r="U641">
        <f t="shared" si="68"/>
        <v>0</v>
      </c>
      <c r="V641">
        <f t="shared" si="72"/>
        <v>0</v>
      </c>
      <c r="W641">
        <f t="shared" si="72"/>
        <v>0</v>
      </c>
      <c r="X641">
        <f t="shared" si="72"/>
        <v>1</v>
      </c>
      <c r="Y641">
        <f t="shared" si="69"/>
        <v>1</v>
      </c>
      <c r="Z641">
        <f t="shared" si="69"/>
        <v>0</v>
      </c>
      <c r="AA641">
        <f t="shared" si="69"/>
        <v>0</v>
      </c>
    </row>
    <row r="642" spans="1:27" x14ac:dyDescent="0.4">
      <c r="A642">
        <v>641</v>
      </c>
      <c r="B642">
        <v>3</v>
      </c>
      <c r="C642" t="s">
        <v>1286</v>
      </c>
      <c r="D642" t="s">
        <v>13</v>
      </c>
      <c r="E642">
        <v>20</v>
      </c>
      <c r="F642">
        <v>0</v>
      </c>
      <c r="G642">
        <v>0</v>
      </c>
      <c r="H642" t="s">
        <v>1287</v>
      </c>
      <c r="I642">
        <v>7.8541999999999996</v>
      </c>
      <c r="J642" t="s">
        <v>15</v>
      </c>
      <c r="K642" t="s">
        <v>16</v>
      </c>
      <c r="L642">
        <v>0</v>
      </c>
      <c r="R642">
        <f t="shared" si="66"/>
        <v>20</v>
      </c>
      <c r="S642" t="str">
        <f t="shared" si="67"/>
        <v>S</v>
      </c>
      <c r="U642">
        <f t="shared" si="68"/>
        <v>0</v>
      </c>
      <c r="V642">
        <f t="shared" ref="V642:X661" si="73">IF("Pclass_"&amp;$B642=V$1,1,0)</f>
        <v>0</v>
      </c>
      <c r="W642">
        <f t="shared" si="73"/>
        <v>0</v>
      </c>
      <c r="X642">
        <f t="shared" si="73"/>
        <v>1</v>
      </c>
      <c r="Y642">
        <f t="shared" si="69"/>
        <v>1</v>
      </c>
      <c r="Z642">
        <f t="shared" si="69"/>
        <v>0</v>
      </c>
      <c r="AA642">
        <f t="shared" si="69"/>
        <v>0</v>
      </c>
    </row>
    <row r="643" spans="1:27" x14ac:dyDescent="0.4">
      <c r="A643">
        <v>642</v>
      </c>
      <c r="B643">
        <v>1</v>
      </c>
      <c r="C643" t="s">
        <v>1288</v>
      </c>
      <c r="D643" t="s">
        <v>18</v>
      </c>
      <c r="E643">
        <v>24</v>
      </c>
      <c r="F643">
        <v>0</v>
      </c>
      <c r="G643">
        <v>0</v>
      </c>
      <c r="H643" t="s">
        <v>776</v>
      </c>
      <c r="I643">
        <v>69.3</v>
      </c>
      <c r="J643" t="s">
        <v>777</v>
      </c>
      <c r="K643" t="s">
        <v>21</v>
      </c>
      <c r="L643">
        <v>1</v>
      </c>
      <c r="R643">
        <f t="shared" ref="R643:R706" si="74">IF(E643&lt;&gt;"",E643,$O$18)</f>
        <v>24</v>
      </c>
      <c r="S643" t="str">
        <f t="shared" ref="S643:S706" si="75">IF(K643&lt;&gt;"",K643,$N$9)</f>
        <v>C</v>
      </c>
      <c r="U643">
        <f t="shared" ref="U643:U706" si="76">IF(D643="male",0,1)</f>
        <v>1</v>
      </c>
      <c r="V643">
        <f t="shared" si="73"/>
        <v>1</v>
      </c>
      <c r="W643">
        <f t="shared" si="73"/>
        <v>0</v>
      </c>
      <c r="X643">
        <f t="shared" si="73"/>
        <v>0</v>
      </c>
      <c r="Y643">
        <f t="shared" ref="Y643:AA706" si="77">IF($S643=RIGHT(Y$1,1),1,0)</f>
        <v>0</v>
      </c>
      <c r="Z643">
        <f t="shared" si="77"/>
        <v>0</v>
      </c>
      <c r="AA643">
        <f t="shared" si="77"/>
        <v>1</v>
      </c>
    </row>
    <row r="644" spans="1:27" x14ac:dyDescent="0.4">
      <c r="A644">
        <v>643</v>
      </c>
      <c r="B644">
        <v>3</v>
      </c>
      <c r="C644" t="s">
        <v>1289</v>
      </c>
      <c r="D644" t="s">
        <v>18</v>
      </c>
      <c r="E644">
        <v>2</v>
      </c>
      <c r="F644">
        <v>3</v>
      </c>
      <c r="G644">
        <v>2</v>
      </c>
      <c r="H644" t="s">
        <v>158</v>
      </c>
      <c r="I644">
        <v>27.9</v>
      </c>
      <c r="J644" t="s">
        <v>15</v>
      </c>
      <c r="K644" t="s">
        <v>16</v>
      </c>
      <c r="L644">
        <v>0</v>
      </c>
      <c r="R644">
        <f t="shared" si="74"/>
        <v>2</v>
      </c>
      <c r="S644" t="str">
        <f t="shared" si="75"/>
        <v>S</v>
      </c>
      <c r="U644">
        <f t="shared" si="76"/>
        <v>1</v>
      </c>
      <c r="V644">
        <f t="shared" si="73"/>
        <v>0</v>
      </c>
      <c r="W644">
        <f t="shared" si="73"/>
        <v>0</v>
      </c>
      <c r="X644">
        <f t="shared" si="73"/>
        <v>1</v>
      </c>
      <c r="Y644">
        <f t="shared" si="77"/>
        <v>1</v>
      </c>
      <c r="Z644">
        <f t="shared" si="77"/>
        <v>0</v>
      </c>
      <c r="AA644">
        <f t="shared" si="77"/>
        <v>0</v>
      </c>
    </row>
    <row r="645" spans="1:27" x14ac:dyDescent="0.4">
      <c r="A645">
        <v>644</v>
      </c>
      <c r="B645">
        <v>3</v>
      </c>
      <c r="C645" t="s">
        <v>1290</v>
      </c>
      <c r="D645" t="s">
        <v>13</v>
      </c>
      <c r="F645">
        <v>0</v>
      </c>
      <c r="G645">
        <v>0</v>
      </c>
      <c r="H645" t="s">
        <v>180</v>
      </c>
      <c r="I645">
        <v>56.495800000000003</v>
      </c>
      <c r="J645" t="s">
        <v>15</v>
      </c>
      <c r="K645" t="s">
        <v>16</v>
      </c>
      <c r="L645">
        <v>1</v>
      </c>
      <c r="R645">
        <f t="shared" si="74"/>
        <v>28</v>
      </c>
      <c r="S645" t="str">
        <f t="shared" si="75"/>
        <v>S</v>
      </c>
      <c r="U645">
        <f t="shared" si="76"/>
        <v>0</v>
      </c>
      <c r="V645">
        <f t="shared" si="73"/>
        <v>0</v>
      </c>
      <c r="W645">
        <f t="shared" si="73"/>
        <v>0</v>
      </c>
      <c r="X645">
        <f t="shared" si="73"/>
        <v>1</v>
      </c>
      <c r="Y645">
        <f t="shared" si="77"/>
        <v>1</v>
      </c>
      <c r="Z645">
        <f t="shared" si="77"/>
        <v>0</v>
      </c>
      <c r="AA645">
        <f t="shared" si="77"/>
        <v>0</v>
      </c>
    </row>
    <row r="646" spans="1:27" x14ac:dyDescent="0.4">
      <c r="A646">
        <v>645</v>
      </c>
      <c r="B646">
        <v>3</v>
      </c>
      <c r="C646" t="s">
        <v>1291</v>
      </c>
      <c r="D646" t="s">
        <v>18</v>
      </c>
      <c r="E646">
        <v>0.75</v>
      </c>
      <c r="F646">
        <v>2</v>
      </c>
      <c r="G646">
        <v>1</v>
      </c>
      <c r="H646" t="s">
        <v>922</v>
      </c>
      <c r="I646">
        <v>19.258299999999998</v>
      </c>
      <c r="J646" t="s">
        <v>15</v>
      </c>
      <c r="K646" t="s">
        <v>21</v>
      </c>
      <c r="L646">
        <v>1</v>
      </c>
      <c r="R646">
        <f t="shared" si="74"/>
        <v>0.75</v>
      </c>
      <c r="S646" t="str">
        <f t="shared" si="75"/>
        <v>C</v>
      </c>
      <c r="U646">
        <f t="shared" si="76"/>
        <v>1</v>
      </c>
      <c r="V646">
        <f t="shared" si="73"/>
        <v>0</v>
      </c>
      <c r="W646">
        <f t="shared" si="73"/>
        <v>0</v>
      </c>
      <c r="X646">
        <f t="shared" si="73"/>
        <v>1</v>
      </c>
      <c r="Y646">
        <f t="shared" si="77"/>
        <v>0</v>
      </c>
      <c r="Z646">
        <f t="shared" si="77"/>
        <v>0</v>
      </c>
      <c r="AA646">
        <f t="shared" si="77"/>
        <v>1</v>
      </c>
    </row>
    <row r="647" spans="1:27" x14ac:dyDescent="0.4">
      <c r="A647">
        <v>646</v>
      </c>
      <c r="B647">
        <v>1</v>
      </c>
      <c r="C647" t="s">
        <v>1292</v>
      </c>
      <c r="D647" t="s">
        <v>13</v>
      </c>
      <c r="E647">
        <v>48</v>
      </c>
      <c r="F647">
        <v>1</v>
      </c>
      <c r="G647">
        <v>0</v>
      </c>
      <c r="H647" t="s">
        <v>131</v>
      </c>
      <c r="I647">
        <v>76.729200000000006</v>
      </c>
      <c r="J647" t="s">
        <v>132</v>
      </c>
      <c r="K647" t="s">
        <v>21</v>
      </c>
      <c r="L647">
        <v>1</v>
      </c>
      <c r="R647">
        <f t="shared" si="74"/>
        <v>48</v>
      </c>
      <c r="S647" t="str">
        <f t="shared" si="75"/>
        <v>C</v>
      </c>
      <c r="U647">
        <f t="shared" si="76"/>
        <v>0</v>
      </c>
      <c r="V647">
        <f t="shared" si="73"/>
        <v>1</v>
      </c>
      <c r="W647">
        <f t="shared" si="73"/>
        <v>0</v>
      </c>
      <c r="X647">
        <f t="shared" si="73"/>
        <v>0</v>
      </c>
      <c r="Y647">
        <f t="shared" si="77"/>
        <v>0</v>
      </c>
      <c r="Z647">
        <f t="shared" si="77"/>
        <v>0</v>
      </c>
      <c r="AA647">
        <f t="shared" si="77"/>
        <v>1</v>
      </c>
    </row>
    <row r="648" spans="1:27" x14ac:dyDescent="0.4">
      <c r="A648">
        <v>647</v>
      </c>
      <c r="B648">
        <v>3</v>
      </c>
      <c r="C648" t="s">
        <v>1293</v>
      </c>
      <c r="D648" t="s">
        <v>13</v>
      </c>
      <c r="E648">
        <v>19</v>
      </c>
      <c r="F648">
        <v>0</v>
      </c>
      <c r="G648">
        <v>0</v>
      </c>
      <c r="H648" t="s">
        <v>1294</v>
      </c>
      <c r="I648">
        <v>7.8958000000000004</v>
      </c>
      <c r="J648" t="s">
        <v>15</v>
      </c>
      <c r="K648" t="s">
        <v>16</v>
      </c>
      <c r="L648">
        <v>0</v>
      </c>
      <c r="R648">
        <f t="shared" si="74"/>
        <v>19</v>
      </c>
      <c r="S648" t="str">
        <f t="shared" si="75"/>
        <v>S</v>
      </c>
      <c r="U648">
        <f t="shared" si="76"/>
        <v>0</v>
      </c>
      <c r="V648">
        <f t="shared" si="73"/>
        <v>0</v>
      </c>
      <c r="W648">
        <f t="shared" si="73"/>
        <v>0</v>
      </c>
      <c r="X648">
        <f t="shared" si="73"/>
        <v>1</v>
      </c>
      <c r="Y648">
        <f t="shared" si="77"/>
        <v>1</v>
      </c>
      <c r="Z648">
        <f t="shared" si="77"/>
        <v>0</v>
      </c>
      <c r="AA648">
        <f t="shared" si="77"/>
        <v>0</v>
      </c>
    </row>
    <row r="649" spans="1:27" x14ac:dyDescent="0.4">
      <c r="A649">
        <v>648</v>
      </c>
      <c r="B649">
        <v>1</v>
      </c>
      <c r="C649" t="s">
        <v>1295</v>
      </c>
      <c r="D649" t="s">
        <v>13</v>
      </c>
      <c r="E649">
        <v>56</v>
      </c>
      <c r="F649">
        <v>0</v>
      </c>
      <c r="G649">
        <v>0</v>
      </c>
      <c r="H649" t="s">
        <v>1296</v>
      </c>
      <c r="I649">
        <v>35.5</v>
      </c>
      <c r="J649" t="s">
        <v>1297</v>
      </c>
      <c r="K649" t="s">
        <v>21</v>
      </c>
      <c r="L649">
        <v>1</v>
      </c>
      <c r="R649">
        <f t="shared" si="74"/>
        <v>56</v>
      </c>
      <c r="S649" t="str">
        <f t="shared" si="75"/>
        <v>C</v>
      </c>
      <c r="U649">
        <f t="shared" si="76"/>
        <v>0</v>
      </c>
      <c r="V649">
        <f t="shared" si="73"/>
        <v>1</v>
      </c>
      <c r="W649">
        <f t="shared" si="73"/>
        <v>0</v>
      </c>
      <c r="X649">
        <f t="shared" si="73"/>
        <v>0</v>
      </c>
      <c r="Y649">
        <f t="shared" si="77"/>
        <v>0</v>
      </c>
      <c r="Z649">
        <f t="shared" si="77"/>
        <v>0</v>
      </c>
      <c r="AA649">
        <f t="shared" si="77"/>
        <v>1</v>
      </c>
    </row>
    <row r="650" spans="1:27" x14ac:dyDescent="0.4">
      <c r="A650">
        <v>649</v>
      </c>
      <c r="B650">
        <v>3</v>
      </c>
      <c r="C650" t="s">
        <v>1298</v>
      </c>
      <c r="D650" t="s">
        <v>13</v>
      </c>
      <c r="F650">
        <v>0</v>
      </c>
      <c r="G650">
        <v>0</v>
      </c>
      <c r="H650" t="s">
        <v>1299</v>
      </c>
      <c r="I650">
        <v>7.55</v>
      </c>
      <c r="J650" t="s">
        <v>15</v>
      </c>
      <c r="K650" t="s">
        <v>16</v>
      </c>
      <c r="L650">
        <v>0</v>
      </c>
      <c r="R650">
        <f t="shared" si="74"/>
        <v>28</v>
      </c>
      <c r="S650" t="str">
        <f t="shared" si="75"/>
        <v>S</v>
      </c>
      <c r="U650">
        <f t="shared" si="76"/>
        <v>0</v>
      </c>
      <c r="V650">
        <f t="shared" si="73"/>
        <v>0</v>
      </c>
      <c r="W650">
        <f t="shared" si="73"/>
        <v>0</v>
      </c>
      <c r="X650">
        <f t="shared" si="73"/>
        <v>1</v>
      </c>
      <c r="Y650">
        <f t="shared" si="77"/>
        <v>1</v>
      </c>
      <c r="Z650">
        <f t="shared" si="77"/>
        <v>0</v>
      </c>
      <c r="AA650">
        <f t="shared" si="77"/>
        <v>0</v>
      </c>
    </row>
    <row r="651" spans="1:27" x14ac:dyDescent="0.4">
      <c r="A651">
        <v>650</v>
      </c>
      <c r="B651">
        <v>3</v>
      </c>
      <c r="C651" t="s">
        <v>1300</v>
      </c>
      <c r="D651" t="s">
        <v>18</v>
      </c>
      <c r="E651">
        <v>23</v>
      </c>
      <c r="F651">
        <v>0</v>
      </c>
      <c r="G651">
        <v>0</v>
      </c>
      <c r="H651" t="s">
        <v>1301</v>
      </c>
      <c r="I651">
        <v>7.55</v>
      </c>
      <c r="J651" t="s">
        <v>15</v>
      </c>
      <c r="K651" t="s">
        <v>16</v>
      </c>
      <c r="L651">
        <v>1</v>
      </c>
      <c r="R651">
        <f t="shared" si="74"/>
        <v>23</v>
      </c>
      <c r="S651" t="str">
        <f t="shared" si="75"/>
        <v>S</v>
      </c>
      <c r="U651">
        <f t="shared" si="76"/>
        <v>1</v>
      </c>
      <c r="V651">
        <f t="shared" si="73"/>
        <v>0</v>
      </c>
      <c r="W651">
        <f t="shared" si="73"/>
        <v>0</v>
      </c>
      <c r="X651">
        <f t="shared" si="73"/>
        <v>1</v>
      </c>
      <c r="Y651">
        <f t="shared" si="77"/>
        <v>1</v>
      </c>
      <c r="Z651">
        <f t="shared" si="77"/>
        <v>0</v>
      </c>
      <c r="AA651">
        <f t="shared" si="77"/>
        <v>0</v>
      </c>
    </row>
    <row r="652" spans="1:27" x14ac:dyDescent="0.4">
      <c r="A652">
        <v>651</v>
      </c>
      <c r="B652">
        <v>3</v>
      </c>
      <c r="C652" t="s">
        <v>1302</v>
      </c>
      <c r="D652" t="s">
        <v>13</v>
      </c>
      <c r="F652">
        <v>0</v>
      </c>
      <c r="G652">
        <v>0</v>
      </c>
      <c r="H652" t="s">
        <v>1303</v>
      </c>
      <c r="I652">
        <v>7.8958000000000004</v>
      </c>
      <c r="J652" t="s">
        <v>15</v>
      </c>
      <c r="K652" t="s">
        <v>16</v>
      </c>
      <c r="L652">
        <v>0</v>
      </c>
      <c r="R652">
        <f t="shared" si="74"/>
        <v>28</v>
      </c>
      <c r="S652" t="str">
        <f t="shared" si="75"/>
        <v>S</v>
      </c>
      <c r="U652">
        <f t="shared" si="76"/>
        <v>0</v>
      </c>
      <c r="V652">
        <f t="shared" si="73"/>
        <v>0</v>
      </c>
      <c r="W652">
        <f t="shared" si="73"/>
        <v>0</v>
      </c>
      <c r="X652">
        <f t="shared" si="73"/>
        <v>1</v>
      </c>
      <c r="Y652">
        <f t="shared" si="77"/>
        <v>1</v>
      </c>
      <c r="Z652">
        <f t="shared" si="77"/>
        <v>0</v>
      </c>
      <c r="AA652">
        <f t="shared" si="77"/>
        <v>0</v>
      </c>
    </row>
    <row r="653" spans="1:27" x14ac:dyDescent="0.4">
      <c r="A653">
        <v>652</v>
      </c>
      <c r="B653">
        <v>2</v>
      </c>
      <c r="C653" t="s">
        <v>1304</v>
      </c>
      <c r="D653" t="s">
        <v>18</v>
      </c>
      <c r="E653">
        <v>18</v>
      </c>
      <c r="F653">
        <v>0</v>
      </c>
      <c r="G653">
        <v>1</v>
      </c>
      <c r="H653" t="s">
        <v>231</v>
      </c>
      <c r="I653">
        <v>23</v>
      </c>
      <c r="J653" t="s">
        <v>15</v>
      </c>
      <c r="K653" t="s">
        <v>16</v>
      </c>
      <c r="L653">
        <v>1</v>
      </c>
      <c r="R653">
        <f t="shared" si="74"/>
        <v>18</v>
      </c>
      <c r="S653" t="str">
        <f t="shared" si="75"/>
        <v>S</v>
      </c>
      <c r="U653">
        <f t="shared" si="76"/>
        <v>1</v>
      </c>
      <c r="V653">
        <f t="shared" si="73"/>
        <v>0</v>
      </c>
      <c r="W653">
        <f t="shared" si="73"/>
        <v>1</v>
      </c>
      <c r="X653">
        <f t="shared" si="73"/>
        <v>0</v>
      </c>
      <c r="Y653">
        <f t="shared" si="77"/>
        <v>1</v>
      </c>
      <c r="Z653">
        <f t="shared" si="77"/>
        <v>0</v>
      </c>
      <c r="AA653">
        <f t="shared" si="77"/>
        <v>0</v>
      </c>
    </row>
    <row r="654" spans="1:27" x14ac:dyDescent="0.4">
      <c r="A654">
        <v>653</v>
      </c>
      <c r="B654">
        <v>3</v>
      </c>
      <c r="C654" t="s">
        <v>1305</v>
      </c>
      <c r="D654" t="s">
        <v>13</v>
      </c>
      <c r="E654">
        <v>21</v>
      </c>
      <c r="F654">
        <v>0</v>
      </c>
      <c r="G654">
        <v>0</v>
      </c>
      <c r="H654" t="s">
        <v>1306</v>
      </c>
      <c r="I654">
        <v>8.4332999999999991</v>
      </c>
      <c r="J654" t="s">
        <v>15</v>
      </c>
      <c r="K654" t="s">
        <v>16</v>
      </c>
      <c r="L654">
        <v>0</v>
      </c>
      <c r="R654">
        <f t="shared" si="74"/>
        <v>21</v>
      </c>
      <c r="S654" t="str">
        <f t="shared" si="75"/>
        <v>S</v>
      </c>
      <c r="U654">
        <f t="shared" si="76"/>
        <v>0</v>
      </c>
      <c r="V654">
        <f t="shared" si="73"/>
        <v>0</v>
      </c>
      <c r="W654">
        <f t="shared" si="73"/>
        <v>0</v>
      </c>
      <c r="X654">
        <f t="shared" si="73"/>
        <v>1</v>
      </c>
      <c r="Y654">
        <f t="shared" si="77"/>
        <v>1</v>
      </c>
      <c r="Z654">
        <f t="shared" si="77"/>
        <v>0</v>
      </c>
      <c r="AA654">
        <f t="shared" si="77"/>
        <v>0</v>
      </c>
    </row>
    <row r="655" spans="1:27" x14ac:dyDescent="0.4">
      <c r="A655">
        <v>654</v>
      </c>
      <c r="B655">
        <v>3</v>
      </c>
      <c r="C655" t="s">
        <v>1307</v>
      </c>
      <c r="D655" t="s">
        <v>18</v>
      </c>
      <c r="F655">
        <v>0</v>
      </c>
      <c r="G655">
        <v>0</v>
      </c>
      <c r="H655" t="s">
        <v>1308</v>
      </c>
      <c r="I655">
        <v>7.8292000000000002</v>
      </c>
      <c r="J655" t="s">
        <v>15</v>
      </c>
      <c r="K655" t="s">
        <v>31</v>
      </c>
      <c r="L655">
        <v>1</v>
      </c>
      <c r="R655">
        <f t="shared" si="74"/>
        <v>28</v>
      </c>
      <c r="S655" t="str">
        <f t="shared" si="75"/>
        <v>Q</v>
      </c>
      <c r="U655">
        <f t="shared" si="76"/>
        <v>1</v>
      </c>
      <c r="V655">
        <f t="shared" si="73"/>
        <v>0</v>
      </c>
      <c r="W655">
        <f t="shared" si="73"/>
        <v>0</v>
      </c>
      <c r="X655">
        <f t="shared" si="73"/>
        <v>1</v>
      </c>
      <c r="Y655">
        <f t="shared" si="77"/>
        <v>0</v>
      </c>
      <c r="Z655">
        <f t="shared" si="77"/>
        <v>1</v>
      </c>
      <c r="AA655">
        <f t="shared" si="77"/>
        <v>0</v>
      </c>
    </row>
    <row r="656" spans="1:27" x14ac:dyDescent="0.4">
      <c r="A656">
        <v>655</v>
      </c>
      <c r="B656">
        <v>3</v>
      </c>
      <c r="C656" t="s">
        <v>1309</v>
      </c>
      <c r="D656" t="s">
        <v>18</v>
      </c>
      <c r="E656">
        <v>18</v>
      </c>
      <c r="F656">
        <v>0</v>
      </c>
      <c r="G656">
        <v>0</v>
      </c>
      <c r="H656" t="s">
        <v>1310</v>
      </c>
      <c r="I656">
        <v>6.75</v>
      </c>
      <c r="J656" t="s">
        <v>15</v>
      </c>
      <c r="K656" t="s">
        <v>31</v>
      </c>
      <c r="L656">
        <v>0</v>
      </c>
      <c r="R656">
        <f t="shared" si="74"/>
        <v>18</v>
      </c>
      <c r="S656" t="str">
        <f t="shared" si="75"/>
        <v>Q</v>
      </c>
      <c r="U656">
        <f t="shared" si="76"/>
        <v>1</v>
      </c>
      <c r="V656">
        <f t="shared" si="73"/>
        <v>0</v>
      </c>
      <c r="W656">
        <f t="shared" si="73"/>
        <v>0</v>
      </c>
      <c r="X656">
        <f t="shared" si="73"/>
        <v>1</v>
      </c>
      <c r="Y656">
        <f t="shared" si="77"/>
        <v>0</v>
      </c>
      <c r="Z656">
        <f t="shared" si="77"/>
        <v>1</v>
      </c>
      <c r="AA656">
        <f t="shared" si="77"/>
        <v>0</v>
      </c>
    </row>
    <row r="657" spans="1:27" x14ac:dyDescent="0.4">
      <c r="A657">
        <v>656</v>
      </c>
      <c r="B657">
        <v>2</v>
      </c>
      <c r="C657" t="s">
        <v>1311</v>
      </c>
      <c r="D657" t="s">
        <v>13</v>
      </c>
      <c r="E657">
        <v>24</v>
      </c>
      <c r="F657">
        <v>2</v>
      </c>
      <c r="G657">
        <v>0</v>
      </c>
      <c r="H657" t="s">
        <v>176</v>
      </c>
      <c r="I657">
        <v>73.5</v>
      </c>
      <c r="J657" t="s">
        <v>15</v>
      </c>
      <c r="K657" t="s">
        <v>16</v>
      </c>
      <c r="L657">
        <v>0</v>
      </c>
      <c r="R657">
        <f t="shared" si="74"/>
        <v>24</v>
      </c>
      <c r="S657" t="str">
        <f t="shared" si="75"/>
        <v>S</v>
      </c>
      <c r="U657">
        <f t="shared" si="76"/>
        <v>0</v>
      </c>
      <c r="V657">
        <f t="shared" si="73"/>
        <v>0</v>
      </c>
      <c r="W657">
        <f t="shared" si="73"/>
        <v>1</v>
      </c>
      <c r="X657">
        <f t="shared" si="73"/>
        <v>0</v>
      </c>
      <c r="Y657">
        <f t="shared" si="77"/>
        <v>1</v>
      </c>
      <c r="Z657">
        <f t="shared" si="77"/>
        <v>0</v>
      </c>
      <c r="AA657">
        <f t="shared" si="77"/>
        <v>0</v>
      </c>
    </row>
    <row r="658" spans="1:27" x14ac:dyDescent="0.4">
      <c r="A658">
        <v>657</v>
      </c>
      <c r="B658">
        <v>3</v>
      </c>
      <c r="C658" t="s">
        <v>1312</v>
      </c>
      <c r="D658" t="s">
        <v>13</v>
      </c>
      <c r="F658">
        <v>0</v>
      </c>
      <c r="G658">
        <v>0</v>
      </c>
      <c r="H658" t="s">
        <v>1313</v>
      </c>
      <c r="I658">
        <v>7.8958000000000004</v>
      </c>
      <c r="J658" t="s">
        <v>15</v>
      </c>
      <c r="K658" t="s">
        <v>16</v>
      </c>
      <c r="L658">
        <v>0</v>
      </c>
      <c r="R658">
        <f t="shared" si="74"/>
        <v>28</v>
      </c>
      <c r="S658" t="str">
        <f t="shared" si="75"/>
        <v>S</v>
      </c>
      <c r="U658">
        <f t="shared" si="76"/>
        <v>0</v>
      </c>
      <c r="V658">
        <f t="shared" si="73"/>
        <v>0</v>
      </c>
      <c r="W658">
        <f t="shared" si="73"/>
        <v>0</v>
      </c>
      <c r="X658">
        <f t="shared" si="73"/>
        <v>1</v>
      </c>
      <c r="Y658">
        <f t="shared" si="77"/>
        <v>1</v>
      </c>
      <c r="Z658">
        <f t="shared" si="77"/>
        <v>0</v>
      </c>
      <c r="AA658">
        <f t="shared" si="77"/>
        <v>0</v>
      </c>
    </row>
    <row r="659" spans="1:27" x14ac:dyDescent="0.4">
      <c r="A659">
        <v>658</v>
      </c>
      <c r="B659">
        <v>3</v>
      </c>
      <c r="C659" t="s">
        <v>1314</v>
      </c>
      <c r="D659" t="s">
        <v>18</v>
      </c>
      <c r="E659">
        <v>32</v>
      </c>
      <c r="F659">
        <v>1</v>
      </c>
      <c r="G659">
        <v>1</v>
      </c>
      <c r="H659" t="s">
        <v>411</v>
      </c>
      <c r="I659">
        <v>15.5</v>
      </c>
      <c r="J659" t="s">
        <v>15</v>
      </c>
      <c r="K659" t="s">
        <v>31</v>
      </c>
      <c r="L659">
        <v>0</v>
      </c>
      <c r="R659">
        <f t="shared" si="74"/>
        <v>32</v>
      </c>
      <c r="S659" t="str">
        <f t="shared" si="75"/>
        <v>Q</v>
      </c>
      <c r="U659">
        <f t="shared" si="76"/>
        <v>1</v>
      </c>
      <c r="V659">
        <f t="shared" si="73"/>
        <v>0</v>
      </c>
      <c r="W659">
        <f t="shared" si="73"/>
        <v>0</v>
      </c>
      <c r="X659">
        <f t="shared" si="73"/>
        <v>1</v>
      </c>
      <c r="Y659">
        <f t="shared" si="77"/>
        <v>0</v>
      </c>
      <c r="Z659">
        <f t="shared" si="77"/>
        <v>1</v>
      </c>
      <c r="AA659">
        <f t="shared" si="77"/>
        <v>0</v>
      </c>
    </row>
    <row r="660" spans="1:27" x14ac:dyDescent="0.4">
      <c r="A660">
        <v>659</v>
      </c>
      <c r="B660">
        <v>2</v>
      </c>
      <c r="C660" t="s">
        <v>1315</v>
      </c>
      <c r="D660" t="s">
        <v>13</v>
      </c>
      <c r="E660">
        <v>23</v>
      </c>
      <c r="F660">
        <v>0</v>
      </c>
      <c r="G660">
        <v>0</v>
      </c>
      <c r="H660" t="s">
        <v>1316</v>
      </c>
      <c r="I660">
        <v>13</v>
      </c>
      <c r="J660" t="s">
        <v>15</v>
      </c>
      <c r="K660" t="s">
        <v>16</v>
      </c>
      <c r="L660">
        <v>0</v>
      </c>
      <c r="R660">
        <f t="shared" si="74"/>
        <v>23</v>
      </c>
      <c r="S660" t="str">
        <f t="shared" si="75"/>
        <v>S</v>
      </c>
      <c r="U660">
        <f t="shared" si="76"/>
        <v>0</v>
      </c>
      <c r="V660">
        <f t="shared" si="73"/>
        <v>0</v>
      </c>
      <c r="W660">
        <f t="shared" si="73"/>
        <v>1</v>
      </c>
      <c r="X660">
        <f t="shared" si="73"/>
        <v>0</v>
      </c>
      <c r="Y660">
        <f t="shared" si="77"/>
        <v>1</v>
      </c>
      <c r="Z660">
        <f t="shared" si="77"/>
        <v>0</v>
      </c>
      <c r="AA660">
        <f t="shared" si="77"/>
        <v>0</v>
      </c>
    </row>
    <row r="661" spans="1:27" x14ac:dyDescent="0.4">
      <c r="A661">
        <v>660</v>
      </c>
      <c r="B661">
        <v>1</v>
      </c>
      <c r="C661" t="s">
        <v>1317</v>
      </c>
      <c r="D661" t="s">
        <v>13</v>
      </c>
      <c r="E661">
        <v>58</v>
      </c>
      <c r="F661">
        <v>0</v>
      </c>
      <c r="G661">
        <v>2</v>
      </c>
      <c r="H661" t="s">
        <v>464</v>
      </c>
      <c r="I661">
        <v>113.27500000000001</v>
      </c>
      <c r="J661" t="s">
        <v>1318</v>
      </c>
      <c r="K661" t="s">
        <v>21</v>
      </c>
      <c r="L661">
        <v>0</v>
      </c>
      <c r="R661">
        <f t="shared" si="74"/>
        <v>58</v>
      </c>
      <c r="S661" t="str">
        <f t="shared" si="75"/>
        <v>C</v>
      </c>
      <c r="U661">
        <f t="shared" si="76"/>
        <v>0</v>
      </c>
      <c r="V661">
        <f t="shared" si="73"/>
        <v>1</v>
      </c>
      <c r="W661">
        <f t="shared" si="73"/>
        <v>0</v>
      </c>
      <c r="X661">
        <f t="shared" si="73"/>
        <v>0</v>
      </c>
      <c r="Y661">
        <f t="shared" si="77"/>
        <v>0</v>
      </c>
      <c r="Z661">
        <f t="shared" si="77"/>
        <v>0</v>
      </c>
      <c r="AA661">
        <f t="shared" si="77"/>
        <v>1</v>
      </c>
    </row>
    <row r="662" spans="1:27" x14ac:dyDescent="0.4">
      <c r="A662">
        <v>661</v>
      </c>
      <c r="B662">
        <v>1</v>
      </c>
      <c r="C662" t="s">
        <v>1319</v>
      </c>
      <c r="D662" t="s">
        <v>13</v>
      </c>
      <c r="E662">
        <v>50</v>
      </c>
      <c r="F662">
        <v>2</v>
      </c>
      <c r="G662">
        <v>0</v>
      </c>
      <c r="H662" t="s">
        <v>710</v>
      </c>
      <c r="I662">
        <v>133.65</v>
      </c>
      <c r="J662" t="s">
        <v>15</v>
      </c>
      <c r="K662" t="s">
        <v>16</v>
      </c>
      <c r="L662">
        <v>1</v>
      </c>
      <c r="R662">
        <f t="shared" si="74"/>
        <v>50</v>
      </c>
      <c r="S662" t="str">
        <f t="shared" si="75"/>
        <v>S</v>
      </c>
      <c r="U662">
        <f t="shared" si="76"/>
        <v>0</v>
      </c>
      <c r="V662">
        <f t="shared" ref="V662:X681" si="78">IF("Pclass_"&amp;$B662=V$1,1,0)</f>
        <v>1</v>
      </c>
      <c r="W662">
        <f t="shared" si="78"/>
        <v>0</v>
      </c>
      <c r="X662">
        <f t="shared" si="78"/>
        <v>0</v>
      </c>
      <c r="Y662">
        <f t="shared" si="77"/>
        <v>1</v>
      </c>
      <c r="Z662">
        <f t="shared" si="77"/>
        <v>0</v>
      </c>
      <c r="AA662">
        <f t="shared" si="77"/>
        <v>0</v>
      </c>
    </row>
    <row r="663" spans="1:27" x14ac:dyDescent="0.4">
      <c r="A663">
        <v>662</v>
      </c>
      <c r="B663">
        <v>3</v>
      </c>
      <c r="C663" t="s">
        <v>1320</v>
      </c>
      <c r="D663" t="s">
        <v>13</v>
      </c>
      <c r="E663">
        <v>40</v>
      </c>
      <c r="F663">
        <v>0</v>
      </c>
      <c r="G663">
        <v>0</v>
      </c>
      <c r="H663" t="s">
        <v>1321</v>
      </c>
      <c r="I663">
        <v>7.2249999999999996</v>
      </c>
      <c r="J663" t="s">
        <v>15</v>
      </c>
      <c r="K663" t="s">
        <v>21</v>
      </c>
      <c r="L663">
        <v>0</v>
      </c>
      <c r="R663">
        <f t="shared" si="74"/>
        <v>40</v>
      </c>
      <c r="S663" t="str">
        <f t="shared" si="75"/>
        <v>C</v>
      </c>
      <c r="U663">
        <f t="shared" si="76"/>
        <v>0</v>
      </c>
      <c r="V663">
        <f t="shared" si="78"/>
        <v>0</v>
      </c>
      <c r="W663">
        <f t="shared" si="78"/>
        <v>0</v>
      </c>
      <c r="X663">
        <f t="shared" si="78"/>
        <v>1</v>
      </c>
      <c r="Y663">
        <f t="shared" si="77"/>
        <v>0</v>
      </c>
      <c r="Z663">
        <f t="shared" si="77"/>
        <v>0</v>
      </c>
      <c r="AA663">
        <f t="shared" si="77"/>
        <v>1</v>
      </c>
    </row>
    <row r="664" spans="1:27" x14ac:dyDescent="0.4">
      <c r="A664">
        <v>663</v>
      </c>
      <c r="B664">
        <v>1</v>
      </c>
      <c r="C664" t="s">
        <v>1322</v>
      </c>
      <c r="D664" t="s">
        <v>13</v>
      </c>
      <c r="E664">
        <v>47</v>
      </c>
      <c r="F664">
        <v>0</v>
      </c>
      <c r="G664">
        <v>0</v>
      </c>
      <c r="H664" t="s">
        <v>1323</v>
      </c>
      <c r="I664">
        <v>25.587499999999999</v>
      </c>
      <c r="J664" t="s">
        <v>1324</v>
      </c>
      <c r="K664" t="s">
        <v>16</v>
      </c>
      <c r="L664">
        <v>0</v>
      </c>
      <c r="R664">
        <f t="shared" si="74"/>
        <v>47</v>
      </c>
      <c r="S664" t="str">
        <f t="shared" si="75"/>
        <v>S</v>
      </c>
      <c r="U664">
        <f t="shared" si="76"/>
        <v>0</v>
      </c>
      <c r="V664">
        <f t="shared" si="78"/>
        <v>1</v>
      </c>
      <c r="W664">
        <f t="shared" si="78"/>
        <v>0</v>
      </c>
      <c r="X664">
        <f t="shared" si="78"/>
        <v>0</v>
      </c>
      <c r="Y664">
        <f t="shared" si="77"/>
        <v>1</v>
      </c>
      <c r="Z664">
        <f t="shared" si="77"/>
        <v>0</v>
      </c>
      <c r="AA664">
        <f t="shared" si="77"/>
        <v>0</v>
      </c>
    </row>
    <row r="665" spans="1:27" x14ac:dyDescent="0.4">
      <c r="A665">
        <v>664</v>
      </c>
      <c r="B665">
        <v>3</v>
      </c>
      <c r="C665" t="s">
        <v>1325</v>
      </c>
      <c r="D665" t="s">
        <v>13</v>
      </c>
      <c r="E665">
        <v>36</v>
      </c>
      <c r="F665">
        <v>0</v>
      </c>
      <c r="G665">
        <v>0</v>
      </c>
      <c r="H665" t="s">
        <v>1326</v>
      </c>
      <c r="I665">
        <v>7.4958</v>
      </c>
      <c r="J665" t="s">
        <v>15</v>
      </c>
      <c r="K665" t="s">
        <v>16</v>
      </c>
      <c r="L665">
        <v>0</v>
      </c>
      <c r="R665">
        <f t="shared" si="74"/>
        <v>36</v>
      </c>
      <c r="S665" t="str">
        <f t="shared" si="75"/>
        <v>S</v>
      </c>
      <c r="U665">
        <f t="shared" si="76"/>
        <v>0</v>
      </c>
      <c r="V665">
        <f t="shared" si="78"/>
        <v>0</v>
      </c>
      <c r="W665">
        <f t="shared" si="78"/>
        <v>0</v>
      </c>
      <c r="X665">
        <f t="shared" si="78"/>
        <v>1</v>
      </c>
      <c r="Y665">
        <f t="shared" si="77"/>
        <v>1</v>
      </c>
      <c r="Z665">
        <f t="shared" si="77"/>
        <v>0</v>
      </c>
      <c r="AA665">
        <f t="shared" si="77"/>
        <v>0</v>
      </c>
    </row>
    <row r="666" spans="1:27" x14ac:dyDescent="0.4">
      <c r="A666">
        <v>665</v>
      </c>
      <c r="B666">
        <v>3</v>
      </c>
      <c r="C666" t="s">
        <v>1327</v>
      </c>
      <c r="D666" t="s">
        <v>13</v>
      </c>
      <c r="E666">
        <v>20</v>
      </c>
      <c r="F666">
        <v>1</v>
      </c>
      <c r="G666">
        <v>0</v>
      </c>
      <c r="H666" t="s">
        <v>1328</v>
      </c>
      <c r="I666">
        <v>7.9249999999999998</v>
      </c>
      <c r="J666" t="s">
        <v>15</v>
      </c>
      <c r="K666" t="s">
        <v>16</v>
      </c>
      <c r="L666">
        <v>1</v>
      </c>
      <c r="R666">
        <f t="shared" si="74"/>
        <v>20</v>
      </c>
      <c r="S666" t="str">
        <f t="shared" si="75"/>
        <v>S</v>
      </c>
      <c r="U666">
        <f t="shared" si="76"/>
        <v>0</v>
      </c>
      <c r="V666">
        <f t="shared" si="78"/>
        <v>0</v>
      </c>
      <c r="W666">
        <f t="shared" si="78"/>
        <v>0</v>
      </c>
      <c r="X666">
        <f t="shared" si="78"/>
        <v>1</v>
      </c>
      <c r="Y666">
        <f t="shared" si="77"/>
        <v>1</v>
      </c>
      <c r="Z666">
        <f t="shared" si="77"/>
        <v>0</v>
      </c>
      <c r="AA666">
        <f t="shared" si="77"/>
        <v>0</v>
      </c>
    </row>
    <row r="667" spans="1:27" x14ac:dyDescent="0.4">
      <c r="A667">
        <v>666</v>
      </c>
      <c r="B667">
        <v>2</v>
      </c>
      <c r="C667" t="s">
        <v>1329</v>
      </c>
      <c r="D667" t="s">
        <v>13</v>
      </c>
      <c r="E667">
        <v>32</v>
      </c>
      <c r="F667">
        <v>2</v>
      </c>
      <c r="G667">
        <v>0</v>
      </c>
      <c r="H667" t="s">
        <v>176</v>
      </c>
      <c r="I667">
        <v>73.5</v>
      </c>
      <c r="J667" t="s">
        <v>15</v>
      </c>
      <c r="K667" t="s">
        <v>16</v>
      </c>
      <c r="L667">
        <v>0</v>
      </c>
      <c r="R667">
        <f t="shared" si="74"/>
        <v>32</v>
      </c>
      <c r="S667" t="str">
        <f t="shared" si="75"/>
        <v>S</v>
      </c>
      <c r="U667">
        <f t="shared" si="76"/>
        <v>0</v>
      </c>
      <c r="V667">
        <f t="shared" si="78"/>
        <v>0</v>
      </c>
      <c r="W667">
        <f t="shared" si="78"/>
        <v>1</v>
      </c>
      <c r="X667">
        <f t="shared" si="78"/>
        <v>0</v>
      </c>
      <c r="Y667">
        <f t="shared" si="77"/>
        <v>1</v>
      </c>
      <c r="Z667">
        <f t="shared" si="77"/>
        <v>0</v>
      </c>
      <c r="AA667">
        <f t="shared" si="77"/>
        <v>0</v>
      </c>
    </row>
    <row r="668" spans="1:27" x14ac:dyDescent="0.4">
      <c r="A668">
        <v>667</v>
      </c>
      <c r="B668">
        <v>2</v>
      </c>
      <c r="C668" t="s">
        <v>1330</v>
      </c>
      <c r="D668" t="s">
        <v>13</v>
      </c>
      <c r="E668">
        <v>25</v>
      </c>
      <c r="F668">
        <v>0</v>
      </c>
      <c r="G668">
        <v>0</v>
      </c>
      <c r="H668" t="s">
        <v>1331</v>
      </c>
      <c r="I668">
        <v>13</v>
      </c>
      <c r="J668" t="s">
        <v>15</v>
      </c>
      <c r="K668" t="s">
        <v>16</v>
      </c>
      <c r="L668">
        <v>0</v>
      </c>
      <c r="R668">
        <f t="shared" si="74"/>
        <v>25</v>
      </c>
      <c r="S668" t="str">
        <f t="shared" si="75"/>
        <v>S</v>
      </c>
      <c r="U668">
        <f t="shared" si="76"/>
        <v>0</v>
      </c>
      <c r="V668">
        <f t="shared" si="78"/>
        <v>0</v>
      </c>
      <c r="W668">
        <f t="shared" si="78"/>
        <v>1</v>
      </c>
      <c r="X668">
        <f t="shared" si="78"/>
        <v>0</v>
      </c>
      <c r="Y668">
        <f t="shared" si="77"/>
        <v>1</v>
      </c>
      <c r="Z668">
        <f t="shared" si="77"/>
        <v>0</v>
      </c>
      <c r="AA668">
        <f t="shared" si="77"/>
        <v>0</v>
      </c>
    </row>
    <row r="669" spans="1:27" x14ac:dyDescent="0.4">
      <c r="A669">
        <v>668</v>
      </c>
      <c r="B669">
        <v>3</v>
      </c>
      <c r="C669" t="s">
        <v>1332</v>
      </c>
      <c r="D669" t="s">
        <v>13</v>
      </c>
      <c r="F669">
        <v>0</v>
      </c>
      <c r="G669">
        <v>0</v>
      </c>
      <c r="H669" t="s">
        <v>1333</v>
      </c>
      <c r="I669">
        <v>7.7750000000000004</v>
      </c>
      <c r="J669" t="s">
        <v>15</v>
      </c>
      <c r="K669" t="s">
        <v>16</v>
      </c>
      <c r="L669">
        <v>0</v>
      </c>
      <c r="R669">
        <f t="shared" si="74"/>
        <v>28</v>
      </c>
      <c r="S669" t="str">
        <f t="shared" si="75"/>
        <v>S</v>
      </c>
      <c r="U669">
        <f t="shared" si="76"/>
        <v>0</v>
      </c>
      <c r="V669">
        <f t="shared" si="78"/>
        <v>0</v>
      </c>
      <c r="W669">
        <f t="shared" si="78"/>
        <v>0</v>
      </c>
      <c r="X669">
        <f t="shared" si="78"/>
        <v>1</v>
      </c>
      <c r="Y669">
        <f t="shared" si="77"/>
        <v>1</v>
      </c>
      <c r="Z669">
        <f t="shared" si="77"/>
        <v>0</v>
      </c>
      <c r="AA669">
        <f t="shared" si="77"/>
        <v>0</v>
      </c>
    </row>
    <row r="670" spans="1:27" x14ac:dyDescent="0.4">
      <c r="A670">
        <v>669</v>
      </c>
      <c r="B670">
        <v>3</v>
      </c>
      <c r="C670" t="s">
        <v>1334</v>
      </c>
      <c r="D670" t="s">
        <v>13</v>
      </c>
      <c r="E670">
        <v>43</v>
      </c>
      <c r="F670">
        <v>0</v>
      </c>
      <c r="G670">
        <v>0</v>
      </c>
      <c r="H670" t="s">
        <v>1335</v>
      </c>
      <c r="I670">
        <v>8.0500000000000007</v>
      </c>
      <c r="J670" t="s">
        <v>15</v>
      </c>
      <c r="K670" t="s">
        <v>16</v>
      </c>
      <c r="L670">
        <v>0</v>
      </c>
      <c r="R670">
        <f t="shared" si="74"/>
        <v>43</v>
      </c>
      <c r="S670" t="str">
        <f t="shared" si="75"/>
        <v>S</v>
      </c>
      <c r="U670">
        <f t="shared" si="76"/>
        <v>0</v>
      </c>
      <c r="V670">
        <f t="shared" si="78"/>
        <v>0</v>
      </c>
      <c r="W670">
        <f t="shared" si="78"/>
        <v>0</v>
      </c>
      <c r="X670">
        <f t="shared" si="78"/>
        <v>1</v>
      </c>
      <c r="Y670">
        <f t="shared" si="77"/>
        <v>1</v>
      </c>
      <c r="Z670">
        <f t="shared" si="77"/>
        <v>0</v>
      </c>
      <c r="AA670">
        <f t="shared" si="77"/>
        <v>0</v>
      </c>
    </row>
    <row r="671" spans="1:27" x14ac:dyDescent="0.4">
      <c r="A671">
        <v>670</v>
      </c>
      <c r="B671">
        <v>1</v>
      </c>
      <c r="C671" t="s">
        <v>1336</v>
      </c>
      <c r="D671" t="s">
        <v>18</v>
      </c>
      <c r="F671">
        <v>1</v>
      </c>
      <c r="G671">
        <v>0</v>
      </c>
      <c r="H671" t="s">
        <v>1337</v>
      </c>
      <c r="I671">
        <v>52</v>
      </c>
      <c r="J671" t="s">
        <v>1338</v>
      </c>
      <c r="K671" t="s">
        <v>16</v>
      </c>
      <c r="L671">
        <v>1</v>
      </c>
      <c r="R671">
        <f t="shared" si="74"/>
        <v>28</v>
      </c>
      <c r="S671" t="str">
        <f t="shared" si="75"/>
        <v>S</v>
      </c>
      <c r="U671">
        <f t="shared" si="76"/>
        <v>1</v>
      </c>
      <c r="V671">
        <f t="shared" si="78"/>
        <v>1</v>
      </c>
      <c r="W671">
        <f t="shared" si="78"/>
        <v>0</v>
      </c>
      <c r="X671">
        <f t="shared" si="78"/>
        <v>0</v>
      </c>
      <c r="Y671">
        <f t="shared" si="77"/>
        <v>1</v>
      </c>
      <c r="Z671">
        <f t="shared" si="77"/>
        <v>0</v>
      </c>
      <c r="AA671">
        <f t="shared" si="77"/>
        <v>0</v>
      </c>
    </row>
    <row r="672" spans="1:27" x14ac:dyDescent="0.4">
      <c r="A672">
        <v>671</v>
      </c>
      <c r="B672">
        <v>2</v>
      </c>
      <c r="C672" t="s">
        <v>1339</v>
      </c>
      <c r="D672" t="s">
        <v>18</v>
      </c>
      <c r="E672">
        <v>40</v>
      </c>
      <c r="F672">
        <v>1</v>
      </c>
      <c r="G672">
        <v>1</v>
      </c>
      <c r="H672" t="s">
        <v>1340</v>
      </c>
      <c r="I672">
        <v>39</v>
      </c>
      <c r="J672" t="s">
        <v>15</v>
      </c>
      <c r="K672" t="s">
        <v>16</v>
      </c>
      <c r="L672">
        <v>1</v>
      </c>
      <c r="R672">
        <f t="shared" si="74"/>
        <v>40</v>
      </c>
      <c r="S672" t="str">
        <f t="shared" si="75"/>
        <v>S</v>
      </c>
      <c r="U672">
        <f t="shared" si="76"/>
        <v>1</v>
      </c>
      <c r="V672">
        <f t="shared" si="78"/>
        <v>0</v>
      </c>
      <c r="W672">
        <f t="shared" si="78"/>
        <v>1</v>
      </c>
      <c r="X672">
        <f t="shared" si="78"/>
        <v>0</v>
      </c>
      <c r="Y672">
        <f t="shared" si="77"/>
        <v>1</v>
      </c>
      <c r="Z672">
        <f t="shared" si="77"/>
        <v>0</v>
      </c>
      <c r="AA672">
        <f t="shared" si="77"/>
        <v>0</v>
      </c>
    </row>
    <row r="673" spans="1:27" x14ac:dyDescent="0.4">
      <c r="A673">
        <v>672</v>
      </c>
      <c r="B673">
        <v>1</v>
      </c>
      <c r="C673" t="s">
        <v>1341</v>
      </c>
      <c r="D673" t="s">
        <v>13</v>
      </c>
      <c r="E673">
        <v>31</v>
      </c>
      <c r="F673">
        <v>1</v>
      </c>
      <c r="G673">
        <v>0</v>
      </c>
      <c r="H673" t="s">
        <v>1342</v>
      </c>
      <c r="I673">
        <v>52</v>
      </c>
      <c r="J673" t="s">
        <v>1343</v>
      </c>
      <c r="K673" t="s">
        <v>16</v>
      </c>
      <c r="L673">
        <v>0</v>
      </c>
      <c r="R673">
        <f t="shared" si="74"/>
        <v>31</v>
      </c>
      <c r="S673" t="str">
        <f t="shared" si="75"/>
        <v>S</v>
      </c>
      <c r="U673">
        <f t="shared" si="76"/>
        <v>0</v>
      </c>
      <c r="V673">
        <f t="shared" si="78"/>
        <v>1</v>
      </c>
      <c r="W673">
        <f t="shared" si="78"/>
        <v>0</v>
      </c>
      <c r="X673">
        <f t="shared" si="78"/>
        <v>0</v>
      </c>
      <c r="Y673">
        <f t="shared" si="77"/>
        <v>1</v>
      </c>
      <c r="Z673">
        <f t="shared" si="77"/>
        <v>0</v>
      </c>
      <c r="AA673">
        <f t="shared" si="77"/>
        <v>0</v>
      </c>
    </row>
    <row r="674" spans="1:27" x14ac:dyDescent="0.4">
      <c r="A674">
        <v>673</v>
      </c>
      <c r="B674">
        <v>2</v>
      </c>
      <c r="C674" t="s">
        <v>1344</v>
      </c>
      <c r="D674" t="s">
        <v>13</v>
      </c>
      <c r="E674">
        <v>70</v>
      </c>
      <c r="F674">
        <v>0</v>
      </c>
      <c r="G674">
        <v>0</v>
      </c>
      <c r="H674" t="s">
        <v>1345</v>
      </c>
      <c r="I674">
        <v>10.5</v>
      </c>
      <c r="J674" t="s">
        <v>15</v>
      </c>
      <c r="K674" t="s">
        <v>16</v>
      </c>
      <c r="L674">
        <v>0</v>
      </c>
      <c r="R674">
        <f t="shared" si="74"/>
        <v>70</v>
      </c>
      <c r="S674" t="str">
        <f t="shared" si="75"/>
        <v>S</v>
      </c>
      <c r="U674">
        <f t="shared" si="76"/>
        <v>0</v>
      </c>
      <c r="V674">
        <f t="shared" si="78"/>
        <v>0</v>
      </c>
      <c r="W674">
        <f t="shared" si="78"/>
        <v>1</v>
      </c>
      <c r="X674">
        <f t="shared" si="78"/>
        <v>0</v>
      </c>
      <c r="Y674">
        <f t="shared" si="77"/>
        <v>1</v>
      </c>
      <c r="Z674">
        <f t="shared" si="77"/>
        <v>0</v>
      </c>
      <c r="AA674">
        <f t="shared" si="77"/>
        <v>0</v>
      </c>
    </row>
    <row r="675" spans="1:27" x14ac:dyDescent="0.4">
      <c r="A675">
        <v>674</v>
      </c>
      <c r="B675">
        <v>2</v>
      </c>
      <c r="C675" t="s">
        <v>1346</v>
      </c>
      <c r="D675" t="s">
        <v>13</v>
      </c>
      <c r="E675">
        <v>31</v>
      </c>
      <c r="F675">
        <v>0</v>
      </c>
      <c r="G675">
        <v>0</v>
      </c>
      <c r="H675" t="s">
        <v>1347</v>
      </c>
      <c r="I675">
        <v>13</v>
      </c>
      <c r="J675" t="s">
        <v>15</v>
      </c>
      <c r="K675" t="s">
        <v>16</v>
      </c>
      <c r="L675">
        <v>1</v>
      </c>
      <c r="R675">
        <f t="shared" si="74"/>
        <v>31</v>
      </c>
      <c r="S675" t="str">
        <f t="shared" si="75"/>
        <v>S</v>
      </c>
      <c r="U675">
        <f t="shared" si="76"/>
        <v>0</v>
      </c>
      <c r="V675">
        <f t="shared" si="78"/>
        <v>0</v>
      </c>
      <c r="W675">
        <f t="shared" si="78"/>
        <v>1</v>
      </c>
      <c r="X675">
        <f t="shared" si="78"/>
        <v>0</v>
      </c>
      <c r="Y675">
        <f t="shared" si="77"/>
        <v>1</v>
      </c>
      <c r="Z675">
        <f t="shared" si="77"/>
        <v>0</v>
      </c>
      <c r="AA675">
        <f t="shared" si="77"/>
        <v>0</v>
      </c>
    </row>
    <row r="676" spans="1:27" x14ac:dyDescent="0.4">
      <c r="A676">
        <v>675</v>
      </c>
      <c r="B676">
        <v>2</v>
      </c>
      <c r="C676" t="s">
        <v>1348</v>
      </c>
      <c r="D676" t="s">
        <v>13</v>
      </c>
      <c r="F676">
        <v>0</v>
      </c>
      <c r="G676">
        <v>0</v>
      </c>
      <c r="H676" t="s">
        <v>1349</v>
      </c>
      <c r="I676">
        <v>0</v>
      </c>
      <c r="J676" t="s">
        <v>15</v>
      </c>
      <c r="K676" t="s">
        <v>16</v>
      </c>
      <c r="L676">
        <v>0</v>
      </c>
      <c r="R676">
        <f t="shared" si="74"/>
        <v>28</v>
      </c>
      <c r="S676" t="str">
        <f t="shared" si="75"/>
        <v>S</v>
      </c>
      <c r="U676">
        <f t="shared" si="76"/>
        <v>0</v>
      </c>
      <c r="V676">
        <f t="shared" si="78"/>
        <v>0</v>
      </c>
      <c r="W676">
        <f t="shared" si="78"/>
        <v>1</v>
      </c>
      <c r="X676">
        <f t="shared" si="78"/>
        <v>0</v>
      </c>
      <c r="Y676">
        <f t="shared" si="77"/>
        <v>1</v>
      </c>
      <c r="Z676">
        <f t="shared" si="77"/>
        <v>0</v>
      </c>
      <c r="AA676">
        <f t="shared" si="77"/>
        <v>0</v>
      </c>
    </row>
    <row r="677" spans="1:27" x14ac:dyDescent="0.4">
      <c r="A677">
        <v>676</v>
      </c>
      <c r="B677">
        <v>3</v>
      </c>
      <c r="C677" t="s">
        <v>1350</v>
      </c>
      <c r="D677" t="s">
        <v>13</v>
      </c>
      <c r="E677">
        <v>18</v>
      </c>
      <c r="F677">
        <v>0</v>
      </c>
      <c r="G677">
        <v>0</v>
      </c>
      <c r="H677" t="s">
        <v>1351</v>
      </c>
      <c r="I677">
        <v>7.7750000000000004</v>
      </c>
      <c r="J677" t="s">
        <v>15</v>
      </c>
      <c r="K677" t="s">
        <v>16</v>
      </c>
      <c r="L677">
        <v>0</v>
      </c>
      <c r="R677">
        <f t="shared" si="74"/>
        <v>18</v>
      </c>
      <c r="S677" t="str">
        <f t="shared" si="75"/>
        <v>S</v>
      </c>
      <c r="U677">
        <f t="shared" si="76"/>
        <v>0</v>
      </c>
      <c r="V677">
        <f t="shared" si="78"/>
        <v>0</v>
      </c>
      <c r="W677">
        <f t="shared" si="78"/>
        <v>0</v>
      </c>
      <c r="X677">
        <f t="shared" si="78"/>
        <v>1</v>
      </c>
      <c r="Y677">
        <f t="shared" si="77"/>
        <v>1</v>
      </c>
      <c r="Z677">
        <f t="shared" si="77"/>
        <v>0</v>
      </c>
      <c r="AA677">
        <f t="shared" si="77"/>
        <v>0</v>
      </c>
    </row>
    <row r="678" spans="1:27" x14ac:dyDescent="0.4">
      <c r="A678">
        <v>677</v>
      </c>
      <c r="B678">
        <v>3</v>
      </c>
      <c r="C678" t="s">
        <v>1352</v>
      </c>
      <c r="D678" t="s">
        <v>13</v>
      </c>
      <c r="E678">
        <v>24.5</v>
      </c>
      <c r="F678">
        <v>0</v>
      </c>
      <c r="G678">
        <v>0</v>
      </c>
      <c r="H678" t="s">
        <v>1353</v>
      </c>
      <c r="I678">
        <v>8.0500000000000007</v>
      </c>
      <c r="J678" t="s">
        <v>15</v>
      </c>
      <c r="K678" t="s">
        <v>16</v>
      </c>
      <c r="L678">
        <v>0</v>
      </c>
      <c r="R678">
        <f t="shared" si="74"/>
        <v>24.5</v>
      </c>
      <c r="S678" t="str">
        <f t="shared" si="75"/>
        <v>S</v>
      </c>
      <c r="U678">
        <f t="shared" si="76"/>
        <v>0</v>
      </c>
      <c r="V678">
        <f t="shared" si="78"/>
        <v>0</v>
      </c>
      <c r="W678">
        <f t="shared" si="78"/>
        <v>0</v>
      </c>
      <c r="X678">
        <f t="shared" si="78"/>
        <v>1</v>
      </c>
      <c r="Y678">
        <f t="shared" si="77"/>
        <v>1</v>
      </c>
      <c r="Z678">
        <f t="shared" si="77"/>
        <v>0</v>
      </c>
      <c r="AA678">
        <f t="shared" si="77"/>
        <v>0</v>
      </c>
    </row>
    <row r="679" spans="1:27" x14ac:dyDescent="0.4">
      <c r="A679">
        <v>678</v>
      </c>
      <c r="B679">
        <v>3</v>
      </c>
      <c r="C679" t="s">
        <v>1354</v>
      </c>
      <c r="D679" t="s">
        <v>18</v>
      </c>
      <c r="E679">
        <v>18</v>
      </c>
      <c r="F679">
        <v>0</v>
      </c>
      <c r="G679">
        <v>0</v>
      </c>
      <c r="H679" t="s">
        <v>1355</v>
      </c>
      <c r="I679">
        <v>9.8416999999999994</v>
      </c>
      <c r="J679" t="s">
        <v>15</v>
      </c>
      <c r="K679" t="s">
        <v>16</v>
      </c>
      <c r="L679">
        <v>1</v>
      </c>
      <c r="R679">
        <f t="shared" si="74"/>
        <v>18</v>
      </c>
      <c r="S679" t="str">
        <f t="shared" si="75"/>
        <v>S</v>
      </c>
      <c r="U679">
        <f t="shared" si="76"/>
        <v>1</v>
      </c>
      <c r="V679">
        <f t="shared" si="78"/>
        <v>0</v>
      </c>
      <c r="W679">
        <f t="shared" si="78"/>
        <v>0</v>
      </c>
      <c r="X679">
        <f t="shared" si="78"/>
        <v>1</v>
      </c>
      <c r="Y679">
        <f t="shared" si="77"/>
        <v>1</v>
      </c>
      <c r="Z679">
        <f t="shared" si="77"/>
        <v>0</v>
      </c>
      <c r="AA679">
        <f t="shared" si="77"/>
        <v>0</v>
      </c>
    </row>
    <row r="680" spans="1:27" x14ac:dyDescent="0.4">
      <c r="A680">
        <v>679</v>
      </c>
      <c r="B680">
        <v>3</v>
      </c>
      <c r="C680" t="s">
        <v>1356</v>
      </c>
      <c r="D680" t="s">
        <v>18</v>
      </c>
      <c r="E680">
        <v>43</v>
      </c>
      <c r="F680">
        <v>1</v>
      </c>
      <c r="G680">
        <v>6</v>
      </c>
      <c r="H680" t="s">
        <v>148</v>
      </c>
      <c r="I680">
        <v>46.9</v>
      </c>
      <c r="J680" t="s">
        <v>15</v>
      </c>
      <c r="K680" t="s">
        <v>16</v>
      </c>
      <c r="L680">
        <v>0</v>
      </c>
      <c r="R680">
        <f t="shared" si="74"/>
        <v>43</v>
      </c>
      <c r="S680" t="str">
        <f t="shared" si="75"/>
        <v>S</v>
      </c>
      <c r="U680">
        <f t="shared" si="76"/>
        <v>1</v>
      </c>
      <c r="V680">
        <f t="shared" si="78"/>
        <v>0</v>
      </c>
      <c r="W680">
        <f t="shared" si="78"/>
        <v>0</v>
      </c>
      <c r="X680">
        <f t="shared" si="78"/>
        <v>1</v>
      </c>
      <c r="Y680">
        <f t="shared" si="77"/>
        <v>1</v>
      </c>
      <c r="Z680">
        <f t="shared" si="77"/>
        <v>0</v>
      </c>
      <c r="AA680">
        <f t="shared" si="77"/>
        <v>0</v>
      </c>
    </row>
    <row r="681" spans="1:27" x14ac:dyDescent="0.4">
      <c r="A681">
        <v>680</v>
      </c>
      <c r="B681">
        <v>1</v>
      </c>
      <c r="C681" t="s">
        <v>1357</v>
      </c>
      <c r="D681" t="s">
        <v>13</v>
      </c>
      <c r="E681">
        <v>36</v>
      </c>
      <c r="F681">
        <v>0</v>
      </c>
      <c r="G681">
        <v>1</v>
      </c>
      <c r="H681" t="s">
        <v>552</v>
      </c>
      <c r="I681">
        <v>512.32920000000001</v>
      </c>
      <c r="J681" t="s">
        <v>1358</v>
      </c>
      <c r="K681" t="s">
        <v>21</v>
      </c>
      <c r="L681">
        <v>1</v>
      </c>
      <c r="R681">
        <f t="shared" si="74"/>
        <v>36</v>
      </c>
      <c r="S681" t="str">
        <f t="shared" si="75"/>
        <v>C</v>
      </c>
      <c r="U681">
        <f t="shared" si="76"/>
        <v>0</v>
      </c>
      <c r="V681">
        <f t="shared" si="78"/>
        <v>1</v>
      </c>
      <c r="W681">
        <f t="shared" si="78"/>
        <v>0</v>
      </c>
      <c r="X681">
        <f t="shared" si="78"/>
        <v>0</v>
      </c>
      <c r="Y681">
        <f t="shared" si="77"/>
        <v>0</v>
      </c>
      <c r="Z681">
        <f t="shared" si="77"/>
        <v>0</v>
      </c>
      <c r="AA681">
        <f t="shared" si="77"/>
        <v>1</v>
      </c>
    </row>
    <row r="682" spans="1:27" x14ac:dyDescent="0.4">
      <c r="A682">
        <v>681</v>
      </c>
      <c r="B682">
        <v>3</v>
      </c>
      <c r="C682" t="s">
        <v>1359</v>
      </c>
      <c r="D682" t="s">
        <v>18</v>
      </c>
      <c r="F682">
        <v>0</v>
      </c>
      <c r="G682">
        <v>0</v>
      </c>
      <c r="H682" t="s">
        <v>1360</v>
      </c>
      <c r="I682">
        <v>8.1374999999999993</v>
      </c>
      <c r="J682" t="s">
        <v>15</v>
      </c>
      <c r="K682" t="s">
        <v>31</v>
      </c>
      <c r="L682">
        <v>0</v>
      </c>
      <c r="R682">
        <f t="shared" si="74"/>
        <v>28</v>
      </c>
      <c r="S682" t="str">
        <f t="shared" si="75"/>
        <v>Q</v>
      </c>
      <c r="U682">
        <f t="shared" si="76"/>
        <v>1</v>
      </c>
      <c r="V682">
        <f t="shared" ref="V682:X701" si="79">IF("Pclass_"&amp;$B682=V$1,1,0)</f>
        <v>0</v>
      </c>
      <c r="W682">
        <f t="shared" si="79"/>
        <v>0</v>
      </c>
      <c r="X682">
        <f t="shared" si="79"/>
        <v>1</v>
      </c>
      <c r="Y682">
        <f t="shared" si="77"/>
        <v>0</v>
      </c>
      <c r="Z682">
        <f t="shared" si="77"/>
        <v>1</v>
      </c>
      <c r="AA682">
        <f t="shared" si="77"/>
        <v>0</v>
      </c>
    </row>
    <row r="683" spans="1:27" x14ac:dyDescent="0.4">
      <c r="A683">
        <v>682</v>
      </c>
      <c r="B683">
        <v>1</v>
      </c>
      <c r="C683" t="s">
        <v>1361</v>
      </c>
      <c r="D683" t="s">
        <v>13</v>
      </c>
      <c r="E683">
        <v>27</v>
      </c>
      <c r="F683">
        <v>0</v>
      </c>
      <c r="G683">
        <v>0</v>
      </c>
      <c r="H683" t="s">
        <v>131</v>
      </c>
      <c r="I683">
        <v>76.729200000000006</v>
      </c>
      <c r="J683" t="s">
        <v>1362</v>
      </c>
      <c r="K683" t="s">
        <v>21</v>
      </c>
      <c r="L683">
        <v>1</v>
      </c>
      <c r="R683">
        <f t="shared" si="74"/>
        <v>27</v>
      </c>
      <c r="S683" t="str">
        <f t="shared" si="75"/>
        <v>C</v>
      </c>
      <c r="U683">
        <f t="shared" si="76"/>
        <v>0</v>
      </c>
      <c r="V683">
        <f t="shared" si="79"/>
        <v>1</v>
      </c>
      <c r="W683">
        <f t="shared" si="79"/>
        <v>0</v>
      </c>
      <c r="X683">
        <f t="shared" si="79"/>
        <v>0</v>
      </c>
      <c r="Y683">
        <f t="shared" si="77"/>
        <v>0</v>
      </c>
      <c r="Z683">
        <f t="shared" si="77"/>
        <v>0</v>
      </c>
      <c r="AA683">
        <f t="shared" si="77"/>
        <v>1</v>
      </c>
    </row>
    <row r="684" spans="1:27" x14ac:dyDescent="0.4">
      <c r="A684">
        <v>683</v>
      </c>
      <c r="B684">
        <v>3</v>
      </c>
      <c r="C684" t="s">
        <v>1363</v>
      </c>
      <c r="D684" t="s">
        <v>13</v>
      </c>
      <c r="E684">
        <v>20</v>
      </c>
      <c r="F684">
        <v>0</v>
      </c>
      <c r="G684">
        <v>0</v>
      </c>
      <c r="H684" t="s">
        <v>1364</v>
      </c>
      <c r="I684">
        <v>9.2249999999999996</v>
      </c>
      <c r="J684" t="s">
        <v>15</v>
      </c>
      <c r="K684" t="s">
        <v>16</v>
      </c>
      <c r="L684">
        <v>0</v>
      </c>
      <c r="R684">
        <f t="shared" si="74"/>
        <v>20</v>
      </c>
      <c r="S684" t="str">
        <f t="shared" si="75"/>
        <v>S</v>
      </c>
      <c r="U684">
        <f t="shared" si="76"/>
        <v>0</v>
      </c>
      <c r="V684">
        <f t="shared" si="79"/>
        <v>0</v>
      </c>
      <c r="W684">
        <f t="shared" si="79"/>
        <v>0</v>
      </c>
      <c r="X684">
        <f t="shared" si="79"/>
        <v>1</v>
      </c>
      <c r="Y684">
        <f t="shared" si="77"/>
        <v>1</v>
      </c>
      <c r="Z684">
        <f t="shared" si="77"/>
        <v>0</v>
      </c>
      <c r="AA684">
        <f t="shared" si="77"/>
        <v>0</v>
      </c>
    </row>
    <row r="685" spans="1:27" x14ac:dyDescent="0.4">
      <c r="A685">
        <v>684</v>
      </c>
      <c r="B685">
        <v>3</v>
      </c>
      <c r="C685" t="s">
        <v>1365</v>
      </c>
      <c r="D685" t="s">
        <v>13</v>
      </c>
      <c r="E685">
        <v>14</v>
      </c>
      <c r="F685">
        <v>5</v>
      </c>
      <c r="G685">
        <v>2</v>
      </c>
      <c r="H685" t="s">
        <v>148</v>
      </c>
      <c r="I685">
        <v>46.9</v>
      </c>
      <c r="J685" t="s">
        <v>15</v>
      </c>
      <c r="K685" t="s">
        <v>16</v>
      </c>
      <c r="L685">
        <v>0</v>
      </c>
      <c r="R685">
        <f t="shared" si="74"/>
        <v>14</v>
      </c>
      <c r="S685" t="str">
        <f t="shared" si="75"/>
        <v>S</v>
      </c>
      <c r="U685">
        <f t="shared" si="76"/>
        <v>0</v>
      </c>
      <c r="V685">
        <f t="shared" si="79"/>
        <v>0</v>
      </c>
      <c r="W685">
        <f t="shared" si="79"/>
        <v>0</v>
      </c>
      <c r="X685">
        <f t="shared" si="79"/>
        <v>1</v>
      </c>
      <c r="Y685">
        <f t="shared" si="77"/>
        <v>1</v>
      </c>
      <c r="Z685">
        <f t="shared" si="77"/>
        <v>0</v>
      </c>
      <c r="AA685">
        <f t="shared" si="77"/>
        <v>0</v>
      </c>
    </row>
    <row r="686" spans="1:27" x14ac:dyDescent="0.4">
      <c r="A686">
        <v>685</v>
      </c>
      <c r="B686">
        <v>2</v>
      </c>
      <c r="C686" t="s">
        <v>1366</v>
      </c>
      <c r="D686" t="s">
        <v>13</v>
      </c>
      <c r="E686">
        <v>60</v>
      </c>
      <c r="F686">
        <v>1</v>
      </c>
      <c r="G686">
        <v>1</v>
      </c>
      <c r="H686" t="s">
        <v>1340</v>
      </c>
      <c r="I686">
        <v>39</v>
      </c>
      <c r="J686" t="s">
        <v>15</v>
      </c>
      <c r="K686" t="s">
        <v>16</v>
      </c>
      <c r="L686">
        <v>0</v>
      </c>
      <c r="R686">
        <f t="shared" si="74"/>
        <v>60</v>
      </c>
      <c r="S686" t="str">
        <f t="shared" si="75"/>
        <v>S</v>
      </c>
      <c r="U686">
        <f t="shared" si="76"/>
        <v>0</v>
      </c>
      <c r="V686">
        <f t="shared" si="79"/>
        <v>0</v>
      </c>
      <c r="W686">
        <f t="shared" si="79"/>
        <v>1</v>
      </c>
      <c r="X686">
        <f t="shared" si="79"/>
        <v>0</v>
      </c>
      <c r="Y686">
        <f t="shared" si="77"/>
        <v>1</v>
      </c>
      <c r="Z686">
        <f t="shared" si="77"/>
        <v>0</v>
      </c>
      <c r="AA686">
        <f t="shared" si="77"/>
        <v>0</v>
      </c>
    </row>
    <row r="687" spans="1:27" x14ac:dyDescent="0.4">
      <c r="A687">
        <v>686</v>
      </c>
      <c r="B687">
        <v>2</v>
      </c>
      <c r="C687" t="s">
        <v>1367</v>
      </c>
      <c r="D687" t="s">
        <v>13</v>
      </c>
      <c r="E687">
        <v>25</v>
      </c>
      <c r="F687">
        <v>1</v>
      </c>
      <c r="G687">
        <v>2</v>
      </c>
      <c r="H687" t="s">
        <v>113</v>
      </c>
      <c r="I687">
        <v>41.5792</v>
      </c>
      <c r="J687" t="s">
        <v>15</v>
      </c>
      <c r="K687" t="s">
        <v>21</v>
      </c>
      <c r="L687">
        <v>0</v>
      </c>
      <c r="R687">
        <f t="shared" si="74"/>
        <v>25</v>
      </c>
      <c r="S687" t="str">
        <f t="shared" si="75"/>
        <v>C</v>
      </c>
      <c r="U687">
        <f t="shared" si="76"/>
        <v>0</v>
      </c>
      <c r="V687">
        <f t="shared" si="79"/>
        <v>0</v>
      </c>
      <c r="W687">
        <f t="shared" si="79"/>
        <v>1</v>
      </c>
      <c r="X687">
        <f t="shared" si="79"/>
        <v>0</v>
      </c>
      <c r="Y687">
        <f t="shared" si="77"/>
        <v>0</v>
      </c>
      <c r="Z687">
        <f t="shared" si="77"/>
        <v>0</v>
      </c>
      <c r="AA687">
        <f t="shared" si="77"/>
        <v>1</v>
      </c>
    </row>
    <row r="688" spans="1:27" x14ac:dyDescent="0.4">
      <c r="A688">
        <v>687</v>
      </c>
      <c r="B688">
        <v>3</v>
      </c>
      <c r="C688" t="s">
        <v>1368</v>
      </c>
      <c r="D688" t="s">
        <v>13</v>
      </c>
      <c r="E688">
        <v>14</v>
      </c>
      <c r="F688">
        <v>4</v>
      </c>
      <c r="G688">
        <v>1</v>
      </c>
      <c r="H688" t="s">
        <v>127</v>
      </c>
      <c r="I688">
        <v>39.6875</v>
      </c>
      <c r="J688" t="s">
        <v>15</v>
      </c>
      <c r="K688" t="s">
        <v>16</v>
      </c>
      <c r="L688">
        <v>0</v>
      </c>
      <c r="R688">
        <f t="shared" si="74"/>
        <v>14</v>
      </c>
      <c r="S688" t="str">
        <f t="shared" si="75"/>
        <v>S</v>
      </c>
      <c r="U688">
        <f t="shared" si="76"/>
        <v>0</v>
      </c>
      <c r="V688">
        <f t="shared" si="79"/>
        <v>0</v>
      </c>
      <c r="W688">
        <f t="shared" si="79"/>
        <v>0</v>
      </c>
      <c r="X688">
        <f t="shared" si="79"/>
        <v>1</v>
      </c>
      <c r="Y688">
        <f t="shared" si="77"/>
        <v>1</v>
      </c>
      <c r="Z688">
        <f t="shared" si="77"/>
        <v>0</v>
      </c>
      <c r="AA688">
        <f t="shared" si="77"/>
        <v>0</v>
      </c>
    </row>
    <row r="689" spans="1:27" x14ac:dyDescent="0.4">
      <c r="A689">
        <v>688</v>
      </c>
      <c r="B689">
        <v>3</v>
      </c>
      <c r="C689" t="s">
        <v>1369</v>
      </c>
      <c r="D689" t="s">
        <v>13</v>
      </c>
      <c r="E689">
        <v>19</v>
      </c>
      <c r="F689">
        <v>0</v>
      </c>
      <c r="G689">
        <v>0</v>
      </c>
      <c r="H689" t="s">
        <v>1370</v>
      </c>
      <c r="I689">
        <v>10.1708</v>
      </c>
      <c r="J689" t="s">
        <v>15</v>
      </c>
      <c r="K689" t="s">
        <v>16</v>
      </c>
      <c r="L689">
        <v>0</v>
      </c>
      <c r="R689">
        <f t="shared" si="74"/>
        <v>19</v>
      </c>
      <c r="S689" t="str">
        <f t="shared" si="75"/>
        <v>S</v>
      </c>
      <c r="U689">
        <f t="shared" si="76"/>
        <v>0</v>
      </c>
      <c r="V689">
        <f t="shared" si="79"/>
        <v>0</v>
      </c>
      <c r="W689">
        <f t="shared" si="79"/>
        <v>0</v>
      </c>
      <c r="X689">
        <f t="shared" si="79"/>
        <v>1</v>
      </c>
      <c r="Y689">
        <f t="shared" si="77"/>
        <v>1</v>
      </c>
      <c r="Z689">
        <f t="shared" si="77"/>
        <v>0</v>
      </c>
      <c r="AA689">
        <f t="shared" si="77"/>
        <v>0</v>
      </c>
    </row>
    <row r="690" spans="1:27" x14ac:dyDescent="0.4">
      <c r="A690">
        <v>689</v>
      </c>
      <c r="B690">
        <v>3</v>
      </c>
      <c r="C690" t="s">
        <v>1371</v>
      </c>
      <c r="D690" t="s">
        <v>13</v>
      </c>
      <c r="E690">
        <v>18</v>
      </c>
      <c r="F690">
        <v>0</v>
      </c>
      <c r="G690">
        <v>0</v>
      </c>
      <c r="H690" t="s">
        <v>1372</v>
      </c>
      <c r="I690">
        <v>7.7957999999999998</v>
      </c>
      <c r="J690" t="s">
        <v>15</v>
      </c>
      <c r="K690" t="s">
        <v>16</v>
      </c>
      <c r="L690">
        <v>0</v>
      </c>
      <c r="R690">
        <f t="shared" si="74"/>
        <v>18</v>
      </c>
      <c r="S690" t="str">
        <f t="shared" si="75"/>
        <v>S</v>
      </c>
      <c r="U690">
        <f t="shared" si="76"/>
        <v>0</v>
      </c>
      <c r="V690">
        <f t="shared" si="79"/>
        <v>0</v>
      </c>
      <c r="W690">
        <f t="shared" si="79"/>
        <v>0</v>
      </c>
      <c r="X690">
        <f t="shared" si="79"/>
        <v>1</v>
      </c>
      <c r="Y690">
        <f t="shared" si="77"/>
        <v>1</v>
      </c>
      <c r="Z690">
        <f t="shared" si="77"/>
        <v>0</v>
      </c>
      <c r="AA690">
        <f t="shared" si="77"/>
        <v>0</v>
      </c>
    </row>
    <row r="691" spans="1:27" x14ac:dyDescent="0.4">
      <c r="A691">
        <v>690</v>
      </c>
      <c r="B691">
        <v>1</v>
      </c>
      <c r="C691" t="s">
        <v>1373</v>
      </c>
      <c r="D691" t="s">
        <v>18</v>
      </c>
      <c r="E691">
        <v>15</v>
      </c>
      <c r="F691">
        <v>0</v>
      </c>
      <c r="G691">
        <v>1</v>
      </c>
      <c r="H691" t="s">
        <v>1374</v>
      </c>
      <c r="I691">
        <v>211.33750000000001</v>
      </c>
      <c r="J691" t="s">
        <v>1375</v>
      </c>
      <c r="K691" t="s">
        <v>16</v>
      </c>
      <c r="L691">
        <v>1</v>
      </c>
      <c r="R691">
        <f t="shared" si="74"/>
        <v>15</v>
      </c>
      <c r="S691" t="str">
        <f t="shared" si="75"/>
        <v>S</v>
      </c>
      <c r="U691">
        <f t="shared" si="76"/>
        <v>1</v>
      </c>
      <c r="V691">
        <f t="shared" si="79"/>
        <v>1</v>
      </c>
      <c r="W691">
        <f t="shared" si="79"/>
        <v>0</v>
      </c>
      <c r="X691">
        <f t="shared" si="79"/>
        <v>0</v>
      </c>
      <c r="Y691">
        <f t="shared" si="77"/>
        <v>1</v>
      </c>
      <c r="Z691">
        <f t="shared" si="77"/>
        <v>0</v>
      </c>
      <c r="AA691">
        <f t="shared" si="77"/>
        <v>0</v>
      </c>
    </row>
    <row r="692" spans="1:27" x14ac:dyDescent="0.4">
      <c r="A692">
        <v>691</v>
      </c>
      <c r="B692">
        <v>1</v>
      </c>
      <c r="C692" t="s">
        <v>1376</v>
      </c>
      <c r="D692" t="s">
        <v>13</v>
      </c>
      <c r="E692">
        <v>31</v>
      </c>
      <c r="F692">
        <v>1</v>
      </c>
      <c r="G692">
        <v>0</v>
      </c>
      <c r="H692" t="s">
        <v>1377</v>
      </c>
      <c r="I692">
        <v>57</v>
      </c>
      <c r="J692" t="s">
        <v>1378</v>
      </c>
      <c r="K692" t="s">
        <v>16</v>
      </c>
      <c r="L692">
        <v>1</v>
      </c>
      <c r="R692">
        <f t="shared" si="74"/>
        <v>31</v>
      </c>
      <c r="S692" t="str">
        <f t="shared" si="75"/>
        <v>S</v>
      </c>
      <c r="U692">
        <f t="shared" si="76"/>
        <v>0</v>
      </c>
      <c r="V692">
        <f t="shared" si="79"/>
        <v>1</v>
      </c>
      <c r="W692">
        <f t="shared" si="79"/>
        <v>0</v>
      </c>
      <c r="X692">
        <f t="shared" si="79"/>
        <v>0</v>
      </c>
      <c r="Y692">
        <f t="shared" si="77"/>
        <v>1</v>
      </c>
      <c r="Z692">
        <f t="shared" si="77"/>
        <v>0</v>
      </c>
      <c r="AA692">
        <f t="shared" si="77"/>
        <v>0</v>
      </c>
    </row>
    <row r="693" spans="1:27" x14ac:dyDescent="0.4">
      <c r="A693">
        <v>692</v>
      </c>
      <c r="B693">
        <v>3</v>
      </c>
      <c r="C693" t="s">
        <v>1379</v>
      </c>
      <c r="D693" t="s">
        <v>18</v>
      </c>
      <c r="E693">
        <v>4</v>
      </c>
      <c r="F693">
        <v>0</v>
      </c>
      <c r="G693">
        <v>1</v>
      </c>
      <c r="H693" t="s">
        <v>1380</v>
      </c>
      <c r="I693">
        <v>13.416700000000001</v>
      </c>
      <c r="J693" t="s">
        <v>15</v>
      </c>
      <c r="K693" t="s">
        <v>21</v>
      </c>
      <c r="L693">
        <v>1</v>
      </c>
      <c r="R693">
        <f t="shared" si="74"/>
        <v>4</v>
      </c>
      <c r="S693" t="str">
        <f t="shared" si="75"/>
        <v>C</v>
      </c>
      <c r="U693">
        <f t="shared" si="76"/>
        <v>1</v>
      </c>
      <c r="V693">
        <f t="shared" si="79"/>
        <v>0</v>
      </c>
      <c r="W693">
        <f t="shared" si="79"/>
        <v>0</v>
      </c>
      <c r="X693">
        <f t="shared" si="79"/>
        <v>1</v>
      </c>
      <c r="Y693">
        <f t="shared" si="77"/>
        <v>0</v>
      </c>
      <c r="Z693">
        <f t="shared" si="77"/>
        <v>0</v>
      </c>
      <c r="AA693">
        <f t="shared" si="77"/>
        <v>1</v>
      </c>
    </row>
    <row r="694" spans="1:27" x14ac:dyDescent="0.4">
      <c r="A694">
        <v>693</v>
      </c>
      <c r="B694">
        <v>3</v>
      </c>
      <c r="C694" t="s">
        <v>1381</v>
      </c>
      <c r="D694" t="s">
        <v>13</v>
      </c>
      <c r="F694">
        <v>0</v>
      </c>
      <c r="G694">
        <v>0</v>
      </c>
      <c r="H694" t="s">
        <v>180</v>
      </c>
      <c r="I694">
        <v>56.495800000000003</v>
      </c>
      <c r="J694" t="s">
        <v>15</v>
      </c>
      <c r="K694" t="s">
        <v>16</v>
      </c>
      <c r="L694">
        <v>1</v>
      </c>
      <c r="R694">
        <f t="shared" si="74"/>
        <v>28</v>
      </c>
      <c r="S694" t="str">
        <f t="shared" si="75"/>
        <v>S</v>
      </c>
      <c r="U694">
        <f t="shared" si="76"/>
        <v>0</v>
      </c>
      <c r="V694">
        <f t="shared" si="79"/>
        <v>0</v>
      </c>
      <c r="W694">
        <f t="shared" si="79"/>
        <v>0</v>
      </c>
      <c r="X694">
        <f t="shared" si="79"/>
        <v>1</v>
      </c>
      <c r="Y694">
        <f t="shared" si="77"/>
        <v>1</v>
      </c>
      <c r="Z694">
        <f t="shared" si="77"/>
        <v>0</v>
      </c>
      <c r="AA694">
        <f t="shared" si="77"/>
        <v>0</v>
      </c>
    </row>
    <row r="695" spans="1:27" x14ac:dyDescent="0.4">
      <c r="A695">
        <v>694</v>
      </c>
      <c r="B695">
        <v>3</v>
      </c>
      <c r="C695" t="s">
        <v>1382</v>
      </c>
      <c r="D695" t="s">
        <v>13</v>
      </c>
      <c r="E695">
        <v>25</v>
      </c>
      <c r="F695">
        <v>0</v>
      </c>
      <c r="G695">
        <v>0</v>
      </c>
      <c r="H695" t="s">
        <v>1383</v>
      </c>
      <c r="I695">
        <v>7.2249999999999996</v>
      </c>
      <c r="J695" t="s">
        <v>15</v>
      </c>
      <c r="K695" t="s">
        <v>21</v>
      </c>
      <c r="L695">
        <v>0</v>
      </c>
      <c r="R695">
        <f t="shared" si="74"/>
        <v>25</v>
      </c>
      <c r="S695" t="str">
        <f t="shared" si="75"/>
        <v>C</v>
      </c>
      <c r="U695">
        <f t="shared" si="76"/>
        <v>0</v>
      </c>
      <c r="V695">
        <f t="shared" si="79"/>
        <v>0</v>
      </c>
      <c r="W695">
        <f t="shared" si="79"/>
        <v>0</v>
      </c>
      <c r="X695">
        <f t="shared" si="79"/>
        <v>1</v>
      </c>
      <c r="Y695">
        <f t="shared" si="77"/>
        <v>0</v>
      </c>
      <c r="Z695">
        <f t="shared" si="77"/>
        <v>0</v>
      </c>
      <c r="AA695">
        <f t="shared" si="77"/>
        <v>1</v>
      </c>
    </row>
    <row r="696" spans="1:27" x14ac:dyDescent="0.4">
      <c r="A696">
        <v>695</v>
      </c>
      <c r="B696">
        <v>1</v>
      </c>
      <c r="C696" t="s">
        <v>1384</v>
      </c>
      <c r="D696" t="s">
        <v>13</v>
      </c>
      <c r="E696">
        <v>60</v>
      </c>
      <c r="F696">
        <v>0</v>
      </c>
      <c r="G696">
        <v>0</v>
      </c>
      <c r="H696" t="s">
        <v>1385</v>
      </c>
      <c r="I696">
        <v>26.55</v>
      </c>
      <c r="J696" t="s">
        <v>15</v>
      </c>
      <c r="K696" t="s">
        <v>16</v>
      </c>
      <c r="L696">
        <v>0</v>
      </c>
      <c r="R696">
        <f t="shared" si="74"/>
        <v>60</v>
      </c>
      <c r="S696" t="str">
        <f t="shared" si="75"/>
        <v>S</v>
      </c>
      <c r="U696">
        <f t="shared" si="76"/>
        <v>0</v>
      </c>
      <c r="V696">
        <f t="shared" si="79"/>
        <v>1</v>
      </c>
      <c r="W696">
        <f t="shared" si="79"/>
        <v>0</v>
      </c>
      <c r="X696">
        <f t="shared" si="79"/>
        <v>0</v>
      </c>
      <c r="Y696">
        <f t="shared" si="77"/>
        <v>1</v>
      </c>
      <c r="Z696">
        <f t="shared" si="77"/>
        <v>0</v>
      </c>
      <c r="AA696">
        <f t="shared" si="77"/>
        <v>0</v>
      </c>
    </row>
    <row r="697" spans="1:27" x14ac:dyDescent="0.4">
      <c r="A697">
        <v>696</v>
      </c>
      <c r="B697">
        <v>2</v>
      </c>
      <c r="C697" t="s">
        <v>1386</v>
      </c>
      <c r="D697" t="s">
        <v>13</v>
      </c>
      <c r="E697">
        <v>52</v>
      </c>
      <c r="F697">
        <v>0</v>
      </c>
      <c r="G697">
        <v>0</v>
      </c>
      <c r="H697" t="s">
        <v>1387</v>
      </c>
      <c r="I697">
        <v>13.5</v>
      </c>
      <c r="J697" t="s">
        <v>15</v>
      </c>
      <c r="K697" t="s">
        <v>16</v>
      </c>
      <c r="L697">
        <v>0</v>
      </c>
      <c r="R697">
        <f t="shared" si="74"/>
        <v>52</v>
      </c>
      <c r="S697" t="str">
        <f t="shared" si="75"/>
        <v>S</v>
      </c>
      <c r="U697">
        <f t="shared" si="76"/>
        <v>0</v>
      </c>
      <c r="V697">
        <f t="shared" si="79"/>
        <v>0</v>
      </c>
      <c r="W697">
        <f t="shared" si="79"/>
        <v>1</v>
      </c>
      <c r="X697">
        <f t="shared" si="79"/>
        <v>0</v>
      </c>
      <c r="Y697">
        <f t="shared" si="77"/>
        <v>1</v>
      </c>
      <c r="Z697">
        <f t="shared" si="77"/>
        <v>0</v>
      </c>
      <c r="AA697">
        <f t="shared" si="77"/>
        <v>0</v>
      </c>
    </row>
    <row r="698" spans="1:27" x14ac:dyDescent="0.4">
      <c r="A698">
        <v>697</v>
      </c>
      <c r="B698">
        <v>3</v>
      </c>
      <c r="C698" t="s">
        <v>1388</v>
      </c>
      <c r="D698" t="s">
        <v>13</v>
      </c>
      <c r="E698">
        <v>44</v>
      </c>
      <c r="F698">
        <v>0</v>
      </c>
      <c r="G698">
        <v>0</v>
      </c>
      <c r="H698" t="s">
        <v>1389</v>
      </c>
      <c r="I698">
        <v>8.0500000000000007</v>
      </c>
      <c r="J698" t="s">
        <v>15</v>
      </c>
      <c r="K698" t="s">
        <v>16</v>
      </c>
      <c r="L698">
        <v>0</v>
      </c>
      <c r="R698">
        <f t="shared" si="74"/>
        <v>44</v>
      </c>
      <c r="S698" t="str">
        <f t="shared" si="75"/>
        <v>S</v>
      </c>
      <c r="U698">
        <f t="shared" si="76"/>
        <v>0</v>
      </c>
      <c r="V698">
        <f t="shared" si="79"/>
        <v>0</v>
      </c>
      <c r="W698">
        <f t="shared" si="79"/>
        <v>0</v>
      </c>
      <c r="X698">
        <f t="shared" si="79"/>
        <v>1</v>
      </c>
      <c r="Y698">
        <f t="shared" si="77"/>
        <v>1</v>
      </c>
      <c r="Z698">
        <f t="shared" si="77"/>
        <v>0</v>
      </c>
      <c r="AA698">
        <f t="shared" si="77"/>
        <v>0</v>
      </c>
    </row>
    <row r="699" spans="1:27" x14ac:dyDescent="0.4">
      <c r="A699">
        <v>698</v>
      </c>
      <c r="B699">
        <v>3</v>
      </c>
      <c r="C699" t="s">
        <v>1390</v>
      </c>
      <c r="D699" t="s">
        <v>18</v>
      </c>
      <c r="F699">
        <v>0</v>
      </c>
      <c r="G699">
        <v>0</v>
      </c>
      <c r="H699" t="s">
        <v>1391</v>
      </c>
      <c r="I699">
        <v>7.7332999999999998</v>
      </c>
      <c r="J699" t="s">
        <v>15</v>
      </c>
      <c r="K699" t="s">
        <v>31</v>
      </c>
      <c r="L699">
        <v>1</v>
      </c>
      <c r="R699">
        <f t="shared" si="74"/>
        <v>28</v>
      </c>
      <c r="S699" t="str">
        <f t="shared" si="75"/>
        <v>Q</v>
      </c>
      <c r="U699">
        <f t="shared" si="76"/>
        <v>1</v>
      </c>
      <c r="V699">
        <f t="shared" si="79"/>
        <v>0</v>
      </c>
      <c r="W699">
        <f t="shared" si="79"/>
        <v>0</v>
      </c>
      <c r="X699">
        <f t="shared" si="79"/>
        <v>1</v>
      </c>
      <c r="Y699">
        <f t="shared" si="77"/>
        <v>0</v>
      </c>
      <c r="Z699">
        <f t="shared" si="77"/>
        <v>1</v>
      </c>
      <c r="AA699">
        <f t="shared" si="77"/>
        <v>0</v>
      </c>
    </row>
    <row r="700" spans="1:27" x14ac:dyDescent="0.4">
      <c r="A700">
        <v>699</v>
      </c>
      <c r="B700">
        <v>1</v>
      </c>
      <c r="C700" t="s">
        <v>1392</v>
      </c>
      <c r="D700" t="s">
        <v>13</v>
      </c>
      <c r="E700">
        <v>49</v>
      </c>
      <c r="F700">
        <v>1</v>
      </c>
      <c r="G700">
        <v>1</v>
      </c>
      <c r="H700" t="s">
        <v>652</v>
      </c>
      <c r="I700">
        <v>110.88330000000001</v>
      </c>
      <c r="J700" t="s">
        <v>1180</v>
      </c>
      <c r="K700" t="s">
        <v>21</v>
      </c>
      <c r="L700">
        <v>0</v>
      </c>
      <c r="R700">
        <f t="shared" si="74"/>
        <v>49</v>
      </c>
      <c r="S700" t="str">
        <f t="shared" si="75"/>
        <v>C</v>
      </c>
      <c r="U700">
        <f t="shared" si="76"/>
        <v>0</v>
      </c>
      <c r="V700">
        <f t="shared" si="79"/>
        <v>1</v>
      </c>
      <c r="W700">
        <f t="shared" si="79"/>
        <v>0</v>
      </c>
      <c r="X700">
        <f t="shared" si="79"/>
        <v>0</v>
      </c>
      <c r="Y700">
        <f t="shared" si="77"/>
        <v>0</v>
      </c>
      <c r="Z700">
        <f t="shared" si="77"/>
        <v>0</v>
      </c>
      <c r="AA700">
        <f t="shared" si="77"/>
        <v>1</v>
      </c>
    </row>
    <row r="701" spans="1:27" x14ac:dyDescent="0.4">
      <c r="A701">
        <v>700</v>
      </c>
      <c r="B701">
        <v>3</v>
      </c>
      <c r="C701" t="s">
        <v>1393</v>
      </c>
      <c r="D701" t="s">
        <v>13</v>
      </c>
      <c r="E701">
        <v>42</v>
      </c>
      <c r="F701">
        <v>0</v>
      </c>
      <c r="G701">
        <v>0</v>
      </c>
      <c r="H701" t="s">
        <v>1394</v>
      </c>
      <c r="I701">
        <v>7.65</v>
      </c>
      <c r="J701" t="s">
        <v>1395</v>
      </c>
      <c r="K701" t="s">
        <v>16</v>
      </c>
      <c r="L701">
        <v>0</v>
      </c>
      <c r="R701">
        <f t="shared" si="74"/>
        <v>42</v>
      </c>
      <c r="S701" t="str">
        <f t="shared" si="75"/>
        <v>S</v>
      </c>
      <c r="U701">
        <f t="shared" si="76"/>
        <v>0</v>
      </c>
      <c r="V701">
        <f t="shared" si="79"/>
        <v>0</v>
      </c>
      <c r="W701">
        <f t="shared" si="79"/>
        <v>0</v>
      </c>
      <c r="X701">
        <f t="shared" si="79"/>
        <v>1</v>
      </c>
      <c r="Y701">
        <f t="shared" si="77"/>
        <v>1</v>
      </c>
      <c r="Z701">
        <f t="shared" si="77"/>
        <v>0</v>
      </c>
      <c r="AA701">
        <f t="shared" si="77"/>
        <v>0</v>
      </c>
    </row>
    <row r="702" spans="1:27" x14ac:dyDescent="0.4">
      <c r="A702">
        <v>701</v>
      </c>
      <c r="B702">
        <v>1</v>
      </c>
      <c r="C702" t="s">
        <v>1396</v>
      </c>
      <c r="D702" t="s">
        <v>18</v>
      </c>
      <c r="E702">
        <v>18</v>
      </c>
      <c r="F702">
        <v>1</v>
      </c>
      <c r="G702">
        <v>0</v>
      </c>
      <c r="H702" t="s">
        <v>798</v>
      </c>
      <c r="I702">
        <v>227.52500000000001</v>
      </c>
      <c r="J702" t="s">
        <v>1397</v>
      </c>
      <c r="K702" t="s">
        <v>21</v>
      </c>
      <c r="L702">
        <v>1</v>
      </c>
      <c r="R702">
        <f t="shared" si="74"/>
        <v>18</v>
      </c>
      <c r="S702" t="str">
        <f t="shared" si="75"/>
        <v>C</v>
      </c>
      <c r="U702">
        <f t="shared" si="76"/>
        <v>1</v>
      </c>
      <c r="V702">
        <f t="shared" ref="V702:X721" si="80">IF("Pclass_"&amp;$B702=V$1,1,0)</f>
        <v>1</v>
      </c>
      <c r="W702">
        <f t="shared" si="80"/>
        <v>0</v>
      </c>
      <c r="X702">
        <f t="shared" si="80"/>
        <v>0</v>
      </c>
      <c r="Y702">
        <f t="shared" si="77"/>
        <v>0</v>
      </c>
      <c r="Z702">
        <f t="shared" si="77"/>
        <v>0</v>
      </c>
      <c r="AA702">
        <f t="shared" si="77"/>
        <v>1</v>
      </c>
    </row>
    <row r="703" spans="1:27" x14ac:dyDescent="0.4">
      <c r="A703">
        <v>702</v>
      </c>
      <c r="B703">
        <v>1</v>
      </c>
      <c r="C703" t="s">
        <v>1398</v>
      </c>
      <c r="D703" t="s">
        <v>13</v>
      </c>
      <c r="E703">
        <v>35</v>
      </c>
      <c r="F703">
        <v>0</v>
      </c>
      <c r="G703">
        <v>0</v>
      </c>
      <c r="H703" t="s">
        <v>1399</v>
      </c>
      <c r="I703">
        <v>26.287500000000001</v>
      </c>
      <c r="J703" t="s">
        <v>1400</v>
      </c>
      <c r="K703" t="s">
        <v>16</v>
      </c>
      <c r="L703">
        <v>1</v>
      </c>
      <c r="R703">
        <f t="shared" si="74"/>
        <v>35</v>
      </c>
      <c r="S703" t="str">
        <f t="shared" si="75"/>
        <v>S</v>
      </c>
      <c r="U703">
        <f t="shared" si="76"/>
        <v>0</v>
      </c>
      <c r="V703">
        <f t="shared" si="80"/>
        <v>1</v>
      </c>
      <c r="W703">
        <f t="shared" si="80"/>
        <v>0</v>
      </c>
      <c r="X703">
        <f t="shared" si="80"/>
        <v>0</v>
      </c>
      <c r="Y703">
        <f t="shared" si="77"/>
        <v>1</v>
      </c>
      <c r="Z703">
        <f t="shared" si="77"/>
        <v>0</v>
      </c>
      <c r="AA703">
        <f t="shared" si="77"/>
        <v>0</v>
      </c>
    </row>
    <row r="704" spans="1:27" x14ac:dyDescent="0.4">
      <c r="A704">
        <v>703</v>
      </c>
      <c r="B704">
        <v>3</v>
      </c>
      <c r="C704" t="s">
        <v>1401</v>
      </c>
      <c r="D704" t="s">
        <v>18</v>
      </c>
      <c r="E704">
        <v>18</v>
      </c>
      <c r="F704">
        <v>0</v>
      </c>
      <c r="G704">
        <v>1</v>
      </c>
      <c r="H704" t="s">
        <v>762</v>
      </c>
      <c r="I704">
        <v>14.4542</v>
      </c>
      <c r="J704" t="s">
        <v>15</v>
      </c>
      <c r="K704" t="s">
        <v>21</v>
      </c>
      <c r="L704">
        <v>0</v>
      </c>
      <c r="R704">
        <f t="shared" si="74"/>
        <v>18</v>
      </c>
      <c r="S704" t="str">
        <f t="shared" si="75"/>
        <v>C</v>
      </c>
      <c r="U704">
        <f t="shared" si="76"/>
        <v>1</v>
      </c>
      <c r="V704">
        <f t="shared" si="80"/>
        <v>0</v>
      </c>
      <c r="W704">
        <f t="shared" si="80"/>
        <v>0</v>
      </c>
      <c r="X704">
        <f t="shared" si="80"/>
        <v>1</v>
      </c>
      <c r="Y704">
        <f t="shared" si="77"/>
        <v>0</v>
      </c>
      <c r="Z704">
        <f t="shared" si="77"/>
        <v>0</v>
      </c>
      <c r="AA704">
        <f t="shared" si="77"/>
        <v>1</v>
      </c>
    </row>
    <row r="705" spans="1:27" x14ac:dyDescent="0.4">
      <c r="A705">
        <v>704</v>
      </c>
      <c r="B705">
        <v>3</v>
      </c>
      <c r="C705" t="s">
        <v>1402</v>
      </c>
      <c r="D705" t="s">
        <v>13</v>
      </c>
      <c r="E705">
        <v>25</v>
      </c>
      <c r="F705">
        <v>0</v>
      </c>
      <c r="G705">
        <v>0</v>
      </c>
      <c r="H705" t="s">
        <v>1403</v>
      </c>
      <c r="I705">
        <v>7.7416999999999998</v>
      </c>
      <c r="J705" t="s">
        <v>15</v>
      </c>
      <c r="K705" t="s">
        <v>31</v>
      </c>
      <c r="L705">
        <v>0</v>
      </c>
      <c r="R705">
        <f t="shared" si="74"/>
        <v>25</v>
      </c>
      <c r="S705" t="str">
        <f t="shared" si="75"/>
        <v>Q</v>
      </c>
      <c r="U705">
        <f t="shared" si="76"/>
        <v>0</v>
      </c>
      <c r="V705">
        <f t="shared" si="80"/>
        <v>0</v>
      </c>
      <c r="W705">
        <f t="shared" si="80"/>
        <v>0</v>
      </c>
      <c r="X705">
        <f t="shared" si="80"/>
        <v>1</v>
      </c>
      <c r="Y705">
        <f t="shared" si="77"/>
        <v>0</v>
      </c>
      <c r="Z705">
        <f t="shared" si="77"/>
        <v>1</v>
      </c>
      <c r="AA705">
        <f t="shared" si="77"/>
        <v>0</v>
      </c>
    </row>
    <row r="706" spans="1:27" x14ac:dyDescent="0.4">
      <c r="A706">
        <v>705</v>
      </c>
      <c r="B706">
        <v>3</v>
      </c>
      <c r="C706" t="s">
        <v>1404</v>
      </c>
      <c r="D706" t="s">
        <v>13</v>
      </c>
      <c r="E706">
        <v>26</v>
      </c>
      <c r="F706">
        <v>1</v>
      </c>
      <c r="G706">
        <v>0</v>
      </c>
      <c r="H706" t="s">
        <v>1405</v>
      </c>
      <c r="I706">
        <v>7.8541999999999996</v>
      </c>
      <c r="J706" t="s">
        <v>15</v>
      </c>
      <c r="K706" t="s">
        <v>16</v>
      </c>
      <c r="L706">
        <v>0</v>
      </c>
      <c r="R706">
        <f t="shared" si="74"/>
        <v>26</v>
      </c>
      <c r="S706" t="str">
        <f t="shared" si="75"/>
        <v>S</v>
      </c>
      <c r="U706">
        <f t="shared" si="76"/>
        <v>0</v>
      </c>
      <c r="V706">
        <f t="shared" si="80"/>
        <v>0</v>
      </c>
      <c r="W706">
        <f t="shared" si="80"/>
        <v>0</v>
      </c>
      <c r="X706">
        <f t="shared" si="80"/>
        <v>1</v>
      </c>
      <c r="Y706">
        <f t="shared" si="77"/>
        <v>1</v>
      </c>
      <c r="Z706">
        <f t="shared" si="77"/>
        <v>0</v>
      </c>
      <c r="AA706">
        <f t="shared" si="77"/>
        <v>0</v>
      </c>
    </row>
    <row r="707" spans="1:27" x14ac:dyDescent="0.4">
      <c r="A707">
        <v>706</v>
      </c>
      <c r="B707">
        <v>2</v>
      </c>
      <c r="C707" t="s">
        <v>1406</v>
      </c>
      <c r="D707" t="s">
        <v>13</v>
      </c>
      <c r="E707">
        <v>39</v>
      </c>
      <c r="F707">
        <v>0</v>
      </c>
      <c r="G707">
        <v>0</v>
      </c>
      <c r="H707" t="s">
        <v>883</v>
      </c>
      <c r="I707">
        <v>26</v>
      </c>
      <c r="J707" t="s">
        <v>15</v>
      </c>
      <c r="K707" t="s">
        <v>16</v>
      </c>
      <c r="L707">
        <v>0</v>
      </c>
      <c r="R707">
        <f t="shared" ref="R707:R770" si="81">IF(E707&lt;&gt;"",E707,$O$18)</f>
        <v>39</v>
      </c>
      <c r="S707" t="str">
        <f t="shared" ref="S707:S770" si="82">IF(K707&lt;&gt;"",K707,$N$9)</f>
        <v>S</v>
      </c>
      <c r="U707">
        <f t="shared" ref="U707:U770" si="83">IF(D707="male",0,1)</f>
        <v>0</v>
      </c>
      <c r="V707">
        <f t="shared" si="80"/>
        <v>0</v>
      </c>
      <c r="W707">
        <f t="shared" si="80"/>
        <v>1</v>
      </c>
      <c r="X707">
        <f t="shared" si="80"/>
        <v>0</v>
      </c>
      <c r="Y707">
        <f t="shared" ref="Y707:AA770" si="84">IF($S707=RIGHT(Y$1,1),1,0)</f>
        <v>1</v>
      </c>
      <c r="Z707">
        <f t="shared" si="84"/>
        <v>0</v>
      </c>
      <c r="AA707">
        <f t="shared" si="84"/>
        <v>0</v>
      </c>
    </row>
    <row r="708" spans="1:27" x14ac:dyDescent="0.4">
      <c r="A708">
        <v>707</v>
      </c>
      <c r="B708">
        <v>2</v>
      </c>
      <c r="C708" t="s">
        <v>1407</v>
      </c>
      <c r="D708" t="s">
        <v>18</v>
      </c>
      <c r="E708">
        <v>45</v>
      </c>
      <c r="F708">
        <v>0</v>
      </c>
      <c r="G708">
        <v>0</v>
      </c>
      <c r="H708" t="s">
        <v>1408</v>
      </c>
      <c r="I708">
        <v>13.5</v>
      </c>
      <c r="J708" t="s">
        <v>15</v>
      </c>
      <c r="K708" t="s">
        <v>16</v>
      </c>
      <c r="L708">
        <v>1</v>
      </c>
      <c r="R708">
        <f t="shared" si="81"/>
        <v>45</v>
      </c>
      <c r="S708" t="str">
        <f t="shared" si="82"/>
        <v>S</v>
      </c>
      <c r="U708">
        <f t="shared" si="83"/>
        <v>1</v>
      </c>
      <c r="V708">
        <f t="shared" si="80"/>
        <v>0</v>
      </c>
      <c r="W708">
        <f t="shared" si="80"/>
        <v>1</v>
      </c>
      <c r="X708">
        <f t="shared" si="80"/>
        <v>0</v>
      </c>
      <c r="Y708">
        <f t="shared" si="84"/>
        <v>1</v>
      </c>
      <c r="Z708">
        <f t="shared" si="84"/>
        <v>0</v>
      </c>
      <c r="AA708">
        <f t="shared" si="84"/>
        <v>0</v>
      </c>
    </row>
    <row r="709" spans="1:27" x14ac:dyDescent="0.4">
      <c r="A709">
        <v>708</v>
      </c>
      <c r="B709">
        <v>1</v>
      </c>
      <c r="C709" t="s">
        <v>1409</v>
      </c>
      <c r="D709" t="s">
        <v>13</v>
      </c>
      <c r="E709">
        <v>42</v>
      </c>
      <c r="F709">
        <v>0</v>
      </c>
      <c r="G709">
        <v>0</v>
      </c>
      <c r="H709" t="s">
        <v>1410</v>
      </c>
      <c r="I709">
        <v>26.287500000000001</v>
      </c>
      <c r="J709" t="s">
        <v>1400</v>
      </c>
      <c r="K709" t="s">
        <v>16</v>
      </c>
      <c r="L709">
        <v>1</v>
      </c>
      <c r="R709">
        <f t="shared" si="81"/>
        <v>42</v>
      </c>
      <c r="S709" t="str">
        <f t="shared" si="82"/>
        <v>S</v>
      </c>
      <c r="U709">
        <f t="shared" si="83"/>
        <v>0</v>
      </c>
      <c r="V709">
        <f t="shared" si="80"/>
        <v>1</v>
      </c>
      <c r="W709">
        <f t="shared" si="80"/>
        <v>0</v>
      </c>
      <c r="X709">
        <f t="shared" si="80"/>
        <v>0</v>
      </c>
      <c r="Y709">
        <f t="shared" si="84"/>
        <v>1</v>
      </c>
      <c r="Z709">
        <f t="shared" si="84"/>
        <v>0</v>
      </c>
      <c r="AA709">
        <f t="shared" si="84"/>
        <v>0</v>
      </c>
    </row>
    <row r="710" spans="1:27" x14ac:dyDescent="0.4">
      <c r="A710">
        <v>709</v>
      </c>
      <c r="B710">
        <v>1</v>
      </c>
      <c r="C710" t="s">
        <v>1411</v>
      </c>
      <c r="D710" t="s">
        <v>18</v>
      </c>
      <c r="E710">
        <v>22</v>
      </c>
      <c r="F710">
        <v>0</v>
      </c>
      <c r="G710">
        <v>0</v>
      </c>
      <c r="H710" t="s">
        <v>635</v>
      </c>
      <c r="I710">
        <v>151.55000000000001</v>
      </c>
      <c r="J710" t="s">
        <v>15</v>
      </c>
      <c r="K710" t="s">
        <v>16</v>
      </c>
      <c r="L710">
        <v>1</v>
      </c>
      <c r="R710">
        <f t="shared" si="81"/>
        <v>22</v>
      </c>
      <c r="S710" t="str">
        <f t="shared" si="82"/>
        <v>S</v>
      </c>
      <c r="U710">
        <f t="shared" si="83"/>
        <v>1</v>
      </c>
      <c r="V710">
        <f t="shared" si="80"/>
        <v>1</v>
      </c>
      <c r="W710">
        <f t="shared" si="80"/>
        <v>0</v>
      </c>
      <c r="X710">
        <f t="shared" si="80"/>
        <v>0</v>
      </c>
      <c r="Y710">
        <f t="shared" si="84"/>
        <v>1</v>
      </c>
      <c r="Z710">
        <f t="shared" si="84"/>
        <v>0</v>
      </c>
      <c r="AA710">
        <f t="shared" si="84"/>
        <v>0</v>
      </c>
    </row>
    <row r="711" spans="1:27" x14ac:dyDescent="0.4">
      <c r="A711">
        <v>710</v>
      </c>
      <c r="B711">
        <v>3</v>
      </c>
      <c r="C711" t="s">
        <v>1412</v>
      </c>
      <c r="D711" t="s">
        <v>13</v>
      </c>
      <c r="F711">
        <v>1</v>
      </c>
      <c r="G711">
        <v>1</v>
      </c>
      <c r="H711" t="s">
        <v>162</v>
      </c>
      <c r="I711">
        <v>15.245799999999999</v>
      </c>
      <c r="J711" t="s">
        <v>15</v>
      </c>
      <c r="K711" t="s">
        <v>21</v>
      </c>
      <c r="L711">
        <v>1</v>
      </c>
      <c r="R711">
        <f t="shared" si="81"/>
        <v>28</v>
      </c>
      <c r="S711" t="str">
        <f t="shared" si="82"/>
        <v>C</v>
      </c>
      <c r="U711">
        <f t="shared" si="83"/>
        <v>0</v>
      </c>
      <c r="V711">
        <f t="shared" si="80"/>
        <v>0</v>
      </c>
      <c r="W711">
        <f t="shared" si="80"/>
        <v>0</v>
      </c>
      <c r="X711">
        <f t="shared" si="80"/>
        <v>1</v>
      </c>
      <c r="Y711">
        <f t="shared" si="84"/>
        <v>0</v>
      </c>
      <c r="Z711">
        <f t="shared" si="84"/>
        <v>0</v>
      </c>
      <c r="AA711">
        <f t="shared" si="84"/>
        <v>1</v>
      </c>
    </row>
    <row r="712" spans="1:27" x14ac:dyDescent="0.4">
      <c r="A712">
        <v>711</v>
      </c>
      <c r="B712">
        <v>1</v>
      </c>
      <c r="C712" t="s">
        <v>1413</v>
      </c>
      <c r="D712" t="s">
        <v>18</v>
      </c>
      <c r="E712">
        <v>24</v>
      </c>
      <c r="F712">
        <v>0</v>
      </c>
      <c r="G712">
        <v>0</v>
      </c>
      <c r="H712" t="s">
        <v>1414</v>
      </c>
      <c r="I712">
        <v>49.504199999999997</v>
      </c>
      <c r="J712" t="s">
        <v>1415</v>
      </c>
      <c r="K712" t="s">
        <v>21</v>
      </c>
      <c r="L712">
        <v>1</v>
      </c>
      <c r="R712">
        <f t="shared" si="81"/>
        <v>24</v>
      </c>
      <c r="S712" t="str">
        <f t="shared" si="82"/>
        <v>C</v>
      </c>
      <c r="U712">
        <f t="shared" si="83"/>
        <v>1</v>
      </c>
      <c r="V712">
        <f t="shared" si="80"/>
        <v>1</v>
      </c>
      <c r="W712">
        <f t="shared" si="80"/>
        <v>0</v>
      </c>
      <c r="X712">
        <f t="shared" si="80"/>
        <v>0</v>
      </c>
      <c r="Y712">
        <f t="shared" si="84"/>
        <v>0</v>
      </c>
      <c r="Z712">
        <f t="shared" si="84"/>
        <v>0</v>
      </c>
      <c r="AA712">
        <f t="shared" si="84"/>
        <v>1</v>
      </c>
    </row>
    <row r="713" spans="1:27" x14ac:dyDescent="0.4">
      <c r="A713">
        <v>712</v>
      </c>
      <c r="B713">
        <v>1</v>
      </c>
      <c r="C713" t="s">
        <v>1416</v>
      </c>
      <c r="D713" t="s">
        <v>13</v>
      </c>
      <c r="F713">
        <v>0</v>
      </c>
      <c r="G713">
        <v>0</v>
      </c>
      <c r="H713" t="s">
        <v>1417</v>
      </c>
      <c r="I713">
        <v>26.55</v>
      </c>
      <c r="J713" t="s">
        <v>705</v>
      </c>
      <c r="K713" t="s">
        <v>16</v>
      </c>
      <c r="L713">
        <v>0</v>
      </c>
      <c r="R713">
        <f t="shared" si="81"/>
        <v>28</v>
      </c>
      <c r="S713" t="str">
        <f t="shared" si="82"/>
        <v>S</v>
      </c>
      <c r="U713">
        <f t="shared" si="83"/>
        <v>0</v>
      </c>
      <c r="V713">
        <f t="shared" si="80"/>
        <v>1</v>
      </c>
      <c r="W713">
        <f t="shared" si="80"/>
        <v>0</v>
      </c>
      <c r="X713">
        <f t="shared" si="80"/>
        <v>0</v>
      </c>
      <c r="Y713">
        <f t="shared" si="84"/>
        <v>1</v>
      </c>
      <c r="Z713">
        <f t="shared" si="84"/>
        <v>0</v>
      </c>
      <c r="AA713">
        <f t="shared" si="84"/>
        <v>0</v>
      </c>
    </row>
    <row r="714" spans="1:27" x14ac:dyDescent="0.4">
      <c r="A714">
        <v>713</v>
      </c>
      <c r="B714">
        <v>1</v>
      </c>
      <c r="C714" t="s">
        <v>1418</v>
      </c>
      <c r="D714" t="s">
        <v>13</v>
      </c>
      <c r="E714">
        <v>48</v>
      </c>
      <c r="F714">
        <v>1</v>
      </c>
      <c r="G714">
        <v>0</v>
      </c>
      <c r="H714" t="s">
        <v>1337</v>
      </c>
      <c r="I714">
        <v>52</v>
      </c>
      <c r="J714" t="s">
        <v>1338</v>
      </c>
      <c r="K714" t="s">
        <v>16</v>
      </c>
      <c r="L714">
        <v>1</v>
      </c>
      <c r="R714">
        <f t="shared" si="81"/>
        <v>48</v>
      </c>
      <c r="S714" t="str">
        <f t="shared" si="82"/>
        <v>S</v>
      </c>
      <c r="U714">
        <f t="shared" si="83"/>
        <v>0</v>
      </c>
      <c r="V714">
        <f t="shared" si="80"/>
        <v>1</v>
      </c>
      <c r="W714">
        <f t="shared" si="80"/>
        <v>0</v>
      </c>
      <c r="X714">
        <f t="shared" si="80"/>
        <v>0</v>
      </c>
      <c r="Y714">
        <f t="shared" si="84"/>
        <v>1</v>
      </c>
      <c r="Z714">
        <f t="shared" si="84"/>
        <v>0</v>
      </c>
      <c r="AA714">
        <f t="shared" si="84"/>
        <v>0</v>
      </c>
    </row>
    <row r="715" spans="1:27" x14ac:dyDescent="0.4">
      <c r="A715">
        <v>714</v>
      </c>
      <c r="B715">
        <v>3</v>
      </c>
      <c r="C715" t="s">
        <v>1419</v>
      </c>
      <c r="D715" t="s">
        <v>13</v>
      </c>
      <c r="E715">
        <v>29</v>
      </c>
      <c r="F715">
        <v>0</v>
      </c>
      <c r="G715">
        <v>0</v>
      </c>
      <c r="H715" t="s">
        <v>1420</v>
      </c>
      <c r="I715">
        <v>9.4832999999999998</v>
      </c>
      <c r="J715" t="s">
        <v>15</v>
      </c>
      <c r="K715" t="s">
        <v>16</v>
      </c>
      <c r="L715">
        <v>0</v>
      </c>
      <c r="R715">
        <f t="shared" si="81"/>
        <v>29</v>
      </c>
      <c r="S715" t="str">
        <f t="shared" si="82"/>
        <v>S</v>
      </c>
      <c r="U715">
        <f t="shared" si="83"/>
        <v>0</v>
      </c>
      <c r="V715">
        <f t="shared" si="80"/>
        <v>0</v>
      </c>
      <c r="W715">
        <f t="shared" si="80"/>
        <v>0</v>
      </c>
      <c r="X715">
        <f t="shared" si="80"/>
        <v>1</v>
      </c>
      <c r="Y715">
        <f t="shared" si="84"/>
        <v>1</v>
      </c>
      <c r="Z715">
        <f t="shared" si="84"/>
        <v>0</v>
      </c>
      <c r="AA715">
        <f t="shared" si="84"/>
        <v>0</v>
      </c>
    </row>
    <row r="716" spans="1:27" x14ac:dyDescent="0.4">
      <c r="A716">
        <v>715</v>
      </c>
      <c r="B716">
        <v>2</v>
      </c>
      <c r="C716" t="s">
        <v>1421</v>
      </c>
      <c r="D716" t="s">
        <v>13</v>
      </c>
      <c r="E716">
        <v>52</v>
      </c>
      <c r="F716">
        <v>0</v>
      </c>
      <c r="G716">
        <v>0</v>
      </c>
      <c r="H716" t="s">
        <v>1422</v>
      </c>
      <c r="I716">
        <v>13</v>
      </c>
      <c r="J716" t="s">
        <v>15</v>
      </c>
      <c r="K716" t="s">
        <v>16</v>
      </c>
      <c r="L716">
        <v>0</v>
      </c>
      <c r="R716">
        <f t="shared" si="81"/>
        <v>52</v>
      </c>
      <c r="S716" t="str">
        <f t="shared" si="82"/>
        <v>S</v>
      </c>
      <c r="U716">
        <f t="shared" si="83"/>
        <v>0</v>
      </c>
      <c r="V716">
        <f t="shared" si="80"/>
        <v>0</v>
      </c>
      <c r="W716">
        <f t="shared" si="80"/>
        <v>1</v>
      </c>
      <c r="X716">
        <f t="shared" si="80"/>
        <v>0</v>
      </c>
      <c r="Y716">
        <f t="shared" si="84"/>
        <v>1</v>
      </c>
      <c r="Z716">
        <f t="shared" si="84"/>
        <v>0</v>
      </c>
      <c r="AA716">
        <f t="shared" si="84"/>
        <v>0</v>
      </c>
    </row>
    <row r="717" spans="1:27" x14ac:dyDescent="0.4">
      <c r="A717">
        <v>716</v>
      </c>
      <c r="B717">
        <v>3</v>
      </c>
      <c r="C717" t="s">
        <v>1423</v>
      </c>
      <c r="D717" t="s">
        <v>13</v>
      </c>
      <c r="E717">
        <v>19</v>
      </c>
      <c r="F717">
        <v>0</v>
      </c>
      <c r="G717">
        <v>0</v>
      </c>
      <c r="H717" t="s">
        <v>1424</v>
      </c>
      <c r="I717">
        <v>7.65</v>
      </c>
      <c r="J717" t="s">
        <v>183</v>
      </c>
      <c r="K717" t="s">
        <v>16</v>
      </c>
      <c r="L717">
        <v>0</v>
      </c>
      <c r="R717">
        <f t="shared" si="81"/>
        <v>19</v>
      </c>
      <c r="S717" t="str">
        <f t="shared" si="82"/>
        <v>S</v>
      </c>
      <c r="U717">
        <f t="shared" si="83"/>
        <v>0</v>
      </c>
      <c r="V717">
        <f t="shared" si="80"/>
        <v>0</v>
      </c>
      <c r="W717">
        <f t="shared" si="80"/>
        <v>0</v>
      </c>
      <c r="X717">
        <f t="shared" si="80"/>
        <v>1</v>
      </c>
      <c r="Y717">
        <f t="shared" si="84"/>
        <v>1</v>
      </c>
      <c r="Z717">
        <f t="shared" si="84"/>
        <v>0</v>
      </c>
      <c r="AA717">
        <f t="shared" si="84"/>
        <v>0</v>
      </c>
    </row>
    <row r="718" spans="1:27" x14ac:dyDescent="0.4">
      <c r="A718">
        <v>717</v>
      </c>
      <c r="B718">
        <v>1</v>
      </c>
      <c r="C718" t="s">
        <v>1425</v>
      </c>
      <c r="D718" t="s">
        <v>18</v>
      </c>
      <c r="E718">
        <v>38</v>
      </c>
      <c r="F718">
        <v>0</v>
      </c>
      <c r="G718">
        <v>0</v>
      </c>
      <c r="H718" t="s">
        <v>798</v>
      </c>
      <c r="I718">
        <v>227.52500000000001</v>
      </c>
      <c r="J718" t="s">
        <v>1426</v>
      </c>
      <c r="K718" t="s">
        <v>21</v>
      </c>
      <c r="L718">
        <v>1</v>
      </c>
      <c r="R718">
        <f t="shared" si="81"/>
        <v>38</v>
      </c>
      <c r="S718" t="str">
        <f t="shared" si="82"/>
        <v>C</v>
      </c>
      <c r="U718">
        <f t="shared" si="83"/>
        <v>1</v>
      </c>
      <c r="V718">
        <f t="shared" si="80"/>
        <v>1</v>
      </c>
      <c r="W718">
        <f t="shared" si="80"/>
        <v>0</v>
      </c>
      <c r="X718">
        <f t="shared" si="80"/>
        <v>0</v>
      </c>
      <c r="Y718">
        <f t="shared" si="84"/>
        <v>0</v>
      </c>
      <c r="Z718">
        <f t="shared" si="84"/>
        <v>0</v>
      </c>
      <c r="AA718">
        <f t="shared" si="84"/>
        <v>1</v>
      </c>
    </row>
    <row r="719" spans="1:27" x14ac:dyDescent="0.4">
      <c r="A719">
        <v>718</v>
      </c>
      <c r="B719">
        <v>2</v>
      </c>
      <c r="C719" t="s">
        <v>1427</v>
      </c>
      <c r="D719" t="s">
        <v>18</v>
      </c>
      <c r="E719">
        <v>27</v>
      </c>
      <c r="F719">
        <v>0</v>
      </c>
      <c r="G719">
        <v>0</v>
      </c>
      <c r="H719" t="s">
        <v>1428</v>
      </c>
      <c r="I719">
        <v>10.5</v>
      </c>
      <c r="J719" t="s">
        <v>281</v>
      </c>
      <c r="K719" t="s">
        <v>16</v>
      </c>
      <c r="L719">
        <v>1</v>
      </c>
      <c r="R719">
        <f t="shared" si="81"/>
        <v>27</v>
      </c>
      <c r="S719" t="str">
        <f t="shared" si="82"/>
        <v>S</v>
      </c>
      <c r="U719">
        <f t="shared" si="83"/>
        <v>1</v>
      </c>
      <c r="V719">
        <f t="shared" si="80"/>
        <v>0</v>
      </c>
      <c r="W719">
        <f t="shared" si="80"/>
        <v>1</v>
      </c>
      <c r="X719">
        <f t="shared" si="80"/>
        <v>0</v>
      </c>
      <c r="Y719">
        <f t="shared" si="84"/>
        <v>1</v>
      </c>
      <c r="Z719">
        <f t="shared" si="84"/>
        <v>0</v>
      </c>
      <c r="AA719">
        <f t="shared" si="84"/>
        <v>0</v>
      </c>
    </row>
    <row r="720" spans="1:27" x14ac:dyDescent="0.4">
      <c r="A720">
        <v>719</v>
      </c>
      <c r="B720">
        <v>3</v>
      </c>
      <c r="C720" t="s">
        <v>1429</v>
      </c>
      <c r="D720" t="s">
        <v>13</v>
      </c>
      <c r="F720">
        <v>0</v>
      </c>
      <c r="G720">
        <v>0</v>
      </c>
      <c r="H720" t="s">
        <v>1430</v>
      </c>
      <c r="I720">
        <v>15.5</v>
      </c>
      <c r="J720" t="s">
        <v>15</v>
      </c>
      <c r="K720" t="s">
        <v>31</v>
      </c>
      <c r="L720">
        <v>0</v>
      </c>
      <c r="R720">
        <f t="shared" si="81"/>
        <v>28</v>
      </c>
      <c r="S720" t="str">
        <f t="shared" si="82"/>
        <v>Q</v>
      </c>
      <c r="U720">
        <f t="shared" si="83"/>
        <v>0</v>
      </c>
      <c r="V720">
        <f t="shared" si="80"/>
        <v>0</v>
      </c>
      <c r="W720">
        <f t="shared" si="80"/>
        <v>0</v>
      </c>
      <c r="X720">
        <f t="shared" si="80"/>
        <v>1</v>
      </c>
      <c r="Y720">
        <f t="shared" si="84"/>
        <v>0</v>
      </c>
      <c r="Z720">
        <f t="shared" si="84"/>
        <v>1</v>
      </c>
      <c r="AA720">
        <f t="shared" si="84"/>
        <v>0</v>
      </c>
    </row>
    <row r="721" spans="1:27" x14ac:dyDescent="0.4">
      <c r="A721">
        <v>720</v>
      </c>
      <c r="B721">
        <v>3</v>
      </c>
      <c r="C721" t="s">
        <v>1431</v>
      </c>
      <c r="D721" t="s">
        <v>13</v>
      </c>
      <c r="E721">
        <v>33</v>
      </c>
      <c r="F721">
        <v>0</v>
      </c>
      <c r="G721">
        <v>0</v>
      </c>
      <c r="H721" t="s">
        <v>1432</v>
      </c>
      <c r="I721">
        <v>7.7750000000000004</v>
      </c>
      <c r="J721" t="s">
        <v>15</v>
      </c>
      <c r="K721" t="s">
        <v>16</v>
      </c>
      <c r="L721">
        <v>0</v>
      </c>
      <c r="R721">
        <f t="shared" si="81"/>
        <v>33</v>
      </c>
      <c r="S721" t="str">
        <f t="shared" si="82"/>
        <v>S</v>
      </c>
      <c r="U721">
        <f t="shared" si="83"/>
        <v>0</v>
      </c>
      <c r="V721">
        <f t="shared" si="80"/>
        <v>0</v>
      </c>
      <c r="W721">
        <f t="shared" si="80"/>
        <v>0</v>
      </c>
      <c r="X721">
        <f t="shared" si="80"/>
        <v>1</v>
      </c>
      <c r="Y721">
        <f t="shared" si="84"/>
        <v>1</v>
      </c>
      <c r="Z721">
        <f t="shared" si="84"/>
        <v>0</v>
      </c>
      <c r="AA721">
        <f t="shared" si="84"/>
        <v>0</v>
      </c>
    </row>
    <row r="722" spans="1:27" x14ac:dyDescent="0.4">
      <c r="A722">
        <v>721</v>
      </c>
      <c r="B722">
        <v>2</v>
      </c>
      <c r="C722" t="s">
        <v>1433</v>
      </c>
      <c r="D722" t="s">
        <v>18</v>
      </c>
      <c r="E722">
        <v>6</v>
      </c>
      <c r="F722">
        <v>0</v>
      </c>
      <c r="G722">
        <v>1</v>
      </c>
      <c r="H722" t="s">
        <v>1209</v>
      </c>
      <c r="I722">
        <v>33</v>
      </c>
      <c r="J722" t="s">
        <v>15</v>
      </c>
      <c r="K722" t="s">
        <v>16</v>
      </c>
      <c r="L722">
        <v>1</v>
      </c>
      <c r="R722">
        <f t="shared" si="81"/>
        <v>6</v>
      </c>
      <c r="S722" t="str">
        <f t="shared" si="82"/>
        <v>S</v>
      </c>
      <c r="U722">
        <f t="shared" si="83"/>
        <v>1</v>
      </c>
      <c r="V722">
        <f t="shared" ref="V722:X741" si="85">IF("Pclass_"&amp;$B722=V$1,1,0)</f>
        <v>0</v>
      </c>
      <c r="W722">
        <f t="shared" si="85"/>
        <v>1</v>
      </c>
      <c r="X722">
        <f t="shared" si="85"/>
        <v>0</v>
      </c>
      <c r="Y722">
        <f t="shared" si="84"/>
        <v>1</v>
      </c>
      <c r="Z722">
        <f t="shared" si="84"/>
        <v>0</v>
      </c>
      <c r="AA722">
        <f t="shared" si="84"/>
        <v>0</v>
      </c>
    </row>
    <row r="723" spans="1:27" x14ac:dyDescent="0.4">
      <c r="A723">
        <v>722</v>
      </c>
      <c r="B723">
        <v>3</v>
      </c>
      <c r="C723" t="s">
        <v>1434</v>
      </c>
      <c r="D723" t="s">
        <v>13</v>
      </c>
      <c r="E723">
        <v>17</v>
      </c>
      <c r="F723">
        <v>1</v>
      </c>
      <c r="G723">
        <v>0</v>
      </c>
      <c r="H723" t="s">
        <v>1435</v>
      </c>
      <c r="I723">
        <v>7.0541999999999998</v>
      </c>
      <c r="J723" t="s">
        <v>15</v>
      </c>
      <c r="K723" t="s">
        <v>16</v>
      </c>
      <c r="L723">
        <v>0</v>
      </c>
      <c r="R723">
        <f t="shared" si="81"/>
        <v>17</v>
      </c>
      <c r="S723" t="str">
        <f t="shared" si="82"/>
        <v>S</v>
      </c>
      <c r="U723">
        <f t="shared" si="83"/>
        <v>0</v>
      </c>
      <c r="V723">
        <f t="shared" si="85"/>
        <v>0</v>
      </c>
      <c r="W723">
        <f t="shared" si="85"/>
        <v>0</v>
      </c>
      <c r="X723">
        <f t="shared" si="85"/>
        <v>1</v>
      </c>
      <c r="Y723">
        <f t="shared" si="84"/>
        <v>1</v>
      </c>
      <c r="Z723">
        <f t="shared" si="84"/>
        <v>0</v>
      </c>
      <c r="AA723">
        <f t="shared" si="84"/>
        <v>0</v>
      </c>
    </row>
    <row r="724" spans="1:27" x14ac:dyDescent="0.4">
      <c r="A724">
        <v>723</v>
      </c>
      <c r="B724">
        <v>2</v>
      </c>
      <c r="C724" t="s">
        <v>1436</v>
      </c>
      <c r="D724" t="s">
        <v>13</v>
      </c>
      <c r="E724">
        <v>34</v>
      </c>
      <c r="F724">
        <v>0</v>
      </c>
      <c r="G724">
        <v>0</v>
      </c>
      <c r="H724" t="s">
        <v>1437</v>
      </c>
      <c r="I724">
        <v>13</v>
      </c>
      <c r="J724" t="s">
        <v>15</v>
      </c>
      <c r="K724" t="s">
        <v>16</v>
      </c>
      <c r="L724">
        <v>0</v>
      </c>
      <c r="R724">
        <f t="shared" si="81"/>
        <v>34</v>
      </c>
      <c r="S724" t="str">
        <f t="shared" si="82"/>
        <v>S</v>
      </c>
      <c r="U724">
        <f t="shared" si="83"/>
        <v>0</v>
      </c>
      <c r="V724">
        <f t="shared" si="85"/>
        <v>0</v>
      </c>
      <c r="W724">
        <f t="shared" si="85"/>
        <v>1</v>
      </c>
      <c r="X724">
        <f t="shared" si="85"/>
        <v>0</v>
      </c>
      <c r="Y724">
        <f t="shared" si="84"/>
        <v>1</v>
      </c>
      <c r="Z724">
        <f t="shared" si="84"/>
        <v>0</v>
      </c>
      <c r="AA724">
        <f t="shared" si="84"/>
        <v>0</v>
      </c>
    </row>
    <row r="725" spans="1:27" x14ac:dyDescent="0.4">
      <c r="A725">
        <v>724</v>
      </c>
      <c r="B725">
        <v>2</v>
      </c>
      <c r="C725" t="s">
        <v>1438</v>
      </c>
      <c r="D725" t="s">
        <v>13</v>
      </c>
      <c r="E725">
        <v>50</v>
      </c>
      <c r="F725">
        <v>0</v>
      </c>
      <c r="G725">
        <v>0</v>
      </c>
      <c r="H725" t="s">
        <v>1439</v>
      </c>
      <c r="I725">
        <v>13</v>
      </c>
      <c r="J725" t="s">
        <v>15</v>
      </c>
      <c r="K725" t="s">
        <v>16</v>
      </c>
      <c r="L725">
        <v>0</v>
      </c>
      <c r="R725">
        <f t="shared" si="81"/>
        <v>50</v>
      </c>
      <c r="S725" t="str">
        <f t="shared" si="82"/>
        <v>S</v>
      </c>
      <c r="U725">
        <f t="shared" si="83"/>
        <v>0</v>
      </c>
      <c r="V725">
        <f t="shared" si="85"/>
        <v>0</v>
      </c>
      <c r="W725">
        <f t="shared" si="85"/>
        <v>1</v>
      </c>
      <c r="X725">
        <f t="shared" si="85"/>
        <v>0</v>
      </c>
      <c r="Y725">
        <f t="shared" si="84"/>
        <v>1</v>
      </c>
      <c r="Z725">
        <f t="shared" si="84"/>
        <v>0</v>
      </c>
      <c r="AA725">
        <f t="shared" si="84"/>
        <v>0</v>
      </c>
    </row>
    <row r="726" spans="1:27" x14ac:dyDescent="0.4">
      <c r="A726">
        <v>725</v>
      </c>
      <c r="B726">
        <v>1</v>
      </c>
      <c r="C726" t="s">
        <v>1440</v>
      </c>
      <c r="D726" t="s">
        <v>13</v>
      </c>
      <c r="E726">
        <v>27</v>
      </c>
      <c r="F726">
        <v>1</v>
      </c>
      <c r="G726">
        <v>0</v>
      </c>
      <c r="H726" t="s">
        <v>1441</v>
      </c>
      <c r="I726">
        <v>53.1</v>
      </c>
      <c r="J726" t="s">
        <v>1442</v>
      </c>
      <c r="K726" t="s">
        <v>16</v>
      </c>
      <c r="L726">
        <v>1</v>
      </c>
      <c r="R726">
        <f t="shared" si="81"/>
        <v>27</v>
      </c>
      <c r="S726" t="str">
        <f t="shared" si="82"/>
        <v>S</v>
      </c>
      <c r="U726">
        <f t="shared" si="83"/>
        <v>0</v>
      </c>
      <c r="V726">
        <f t="shared" si="85"/>
        <v>1</v>
      </c>
      <c r="W726">
        <f t="shared" si="85"/>
        <v>0</v>
      </c>
      <c r="X726">
        <f t="shared" si="85"/>
        <v>0</v>
      </c>
      <c r="Y726">
        <f t="shared" si="84"/>
        <v>1</v>
      </c>
      <c r="Z726">
        <f t="shared" si="84"/>
        <v>0</v>
      </c>
      <c r="AA726">
        <f t="shared" si="84"/>
        <v>0</v>
      </c>
    </row>
    <row r="727" spans="1:27" x14ac:dyDescent="0.4">
      <c r="A727">
        <v>726</v>
      </c>
      <c r="B727">
        <v>3</v>
      </c>
      <c r="C727" t="s">
        <v>1443</v>
      </c>
      <c r="D727" t="s">
        <v>13</v>
      </c>
      <c r="E727">
        <v>20</v>
      </c>
      <c r="F727">
        <v>0</v>
      </c>
      <c r="G727">
        <v>0</v>
      </c>
      <c r="H727" t="s">
        <v>1444</v>
      </c>
      <c r="I727">
        <v>8.6624999999999996</v>
      </c>
      <c r="J727" t="s">
        <v>15</v>
      </c>
      <c r="K727" t="s">
        <v>16</v>
      </c>
      <c r="L727">
        <v>0</v>
      </c>
      <c r="R727">
        <f t="shared" si="81"/>
        <v>20</v>
      </c>
      <c r="S727" t="str">
        <f t="shared" si="82"/>
        <v>S</v>
      </c>
      <c r="U727">
        <f t="shared" si="83"/>
        <v>0</v>
      </c>
      <c r="V727">
        <f t="shared" si="85"/>
        <v>0</v>
      </c>
      <c r="W727">
        <f t="shared" si="85"/>
        <v>0</v>
      </c>
      <c r="X727">
        <f t="shared" si="85"/>
        <v>1</v>
      </c>
      <c r="Y727">
        <f t="shared" si="84"/>
        <v>1</v>
      </c>
      <c r="Z727">
        <f t="shared" si="84"/>
        <v>0</v>
      </c>
      <c r="AA727">
        <f t="shared" si="84"/>
        <v>0</v>
      </c>
    </row>
    <row r="728" spans="1:27" x14ac:dyDescent="0.4">
      <c r="A728">
        <v>727</v>
      </c>
      <c r="B728">
        <v>2</v>
      </c>
      <c r="C728" t="s">
        <v>1445</v>
      </c>
      <c r="D728" t="s">
        <v>18</v>
      </c>
      <c r="E728">
        <v>30</v>
      </c>
      <c r="F728">
        <v>3</v>
      </c>
      <c r="G728">
        <v>0</v>
      </c>
      <c r="H728" t="s">
        <v>981</v>
      </c>
      <c r="I728">
        <v>21</v>
      </c>
      <c r="J728" t="s">
        <v>15</v>
      </c>
      <c r="K728" t="s">
        <v>16</v>
      </c>
      <c r="L728">
        <v>1</v>
      </c>
      <c r="R728">
        <f t="shared" si="81"/>
        <v>30</v>
      </c>
      <c r="S728" t="str">
        <f t="shared" si="82"/>
        <v>S</v>
      </c>
      <c r="U728">
        <f t="shared" si="83"/>
        <v>1</v>
      </c>
      <c r="V728">
        <f t="shared" si="85"/>
        <v>0</v>
      </c>
      <c r="W728">
        <f t="shared" si="85"/>
        <v>1</v>
      </c>
      <c r="X728">
        <f t="shared" si="85"/>
        <v>0</v>
      </c>
      <c r="Y728">
        <f t="shared" si="84"/>
        <v>1</v>
      </c>
      <c r="Z728">
        <f t="shared" si="84"/>
        <v>0</v>
      </c>
      <c r="AA728">
        <f t="shared" si="84"/>
        <v>0</v>
      </c>
    </row>
    <row r="729" spans="1:27" x14ac:dyDescent="0.4">
      <c r="A729">
        <v>728</v>
      </c>
      <c r="B729">
        <v>3</v>
      </c>
      <c r="C729" t="s">
        <v>1446</v>
      </c>
      <c r="D729" t="s">
        <v>18</v>
      </c>
      <c r="F729">
        <v>0</v>
      </c>
      <c r="G729">
        <v>0</v>
      </c>
      <c r="H729" t="s">
        <v>1447</v>
      </c>
      <c r="I729">
        <v>7.7374999999999998</v>
      </c>
      <c r="J729" t="s">
        <v>15</v>
      </c>
      <c r="K729" t="s">
        <v>31</v>
      </c>
      <c r="L729">
        <v>1</v>
      </c>
      <c r="R729">
        <f t="shared" si="81"/>
        <v>28</v>
      </c>
      <c r="S729" t="str">
        <f t="shared" si="82"/>
        <v>Q</v>
      </c>
      <c r="U729">
        <f t="shared" si="83"/>
        <v>1</v>
      </c>
      <c r="V729">
        <f t="shared" si="85"/>
        <v>0</v>
      </c>
      <c r="W729">
        <f t="shared" si="85"/>
        <v>0</v>
      </c>
      <c r="X729">
        <f t="shared" si="85"/>
        <v>1</v>
      </c>
      <c r="Y729">
        <f t="shared" si="84"/>
        <v>0</v>
      </c>
      <c r="Z729">
        <f t="shared" si="84"/>
        <v>1</v>
      </c>
      <c r="AA729">
        <f t="shared" si="84"/>
        <v>0</v>
      </c>
    </row>
    <row r="730" spans="1:27" x14ac:dyDescent="0.4">
      <c r="A730">
        <v>729</v>
      </c>
      <c r="B730">
        <v>2</v>
      </c>
      <c r="C730" t="s">
        <v>1448</v>
      </c>
      <c r="D730" t="s">
        <v>13</v>
      </c>
      <c r="E730">
        <v>25</v>
      </c>
      <c r="F730">
        <v>1</v>
      </c>
      <c r="G730">
        <v>0</v>
      </c>
      <c r="H730" t="s">
        <v>1449</v>
      </c>
      <c r="I730">
        <v>26</v>
      </c>
      <c r="J730" t="s">
        <v>15</v>
      </c>
      <c r="K730" t="s">
        <v>16</v>
      </c>
      <c r="L730">
        <v>0</v>
      </c>
      <c r="R730">
        <f t="shared" si="81"/>
        <v>25</v>
      </c>
      <c r="S730" t="str">
        <f t="shared" si="82"/>
        <v>S</v>
      </c>
      <c r="U730">
        <f t="shared" si="83"/>
        <v>0</v>
      </c>
      <c r="V730">
        <f t="shared" si="85"/>
        <v>0</v>
      </c>
      <c r="W730">
        <f t="shared" si="85"/>
        <v>1</v>
      </c>
      <c r="X730">
        <f t="shared" si="85"/>
        <v>0</v>
      </c>
      <c r="Y730">
        <f t="shared" si="84"/>
        <v>1</v>
      </c>
      <c r="Z730">
        <f t="shared" si="84"/>
        <v>0</v>
      </c>
      <c r="AA730">
        <f t="shared" si="84"/>
        <v>0</v>
      </c>
    </row>
    <row r="731" spans="1:27" x14ac:dyDescent="0.4">
      <c r="A731">
        <v>730</v>
      </c>
      <c r="B731">
        <v>3</v>
      </c>
      <c r="C731" t="s">
        <v>1450</v>
      </c>
      <c r="D731" t="s">
        <v>18</v>
      </c>
      <c r="E731">
        <v>25</v>
      </c>
      <c r="F731">
        <v>1</v>
      </c>
      <c r="G731">
        <v>0</v>
      </c>
      <c r="H731" t="s">
        <v>1451</v>
      </c>
      <c r="I731">
        <v>7.9249999999999998</v>
      </c>
      <c r="J731" t="s">
        <v>15</v>
      </c>
      <c r="K731" t="s">
        <v>16</v>
      </c>
      <c r="L731">
        <v>0</v>
      </c>
      <c r="R731">
        <f t="shared" si="81"/>
        <v>25</v>
      </c>
      <c r="S731" t="str">
        <f t="shared" si="82"/>
        <v>S</v>
      </c>
      <c r="U731">
        <f t="shared" si="83"/>
        <v>1</v>
      </c>
      <c r="V731">
        <f t="shared" si="85"/>
        <v>0</v>
      </c>
      <c r="W731">
        <f t="shared" si="85"/>
        <v>0</v>
      </c>
      <c r="X731">
        <f t="shared" si="85"/>
        <v>1</v>
      </c>
      <c r="Y731">
        <f t="shared" si="84"/>
        <v>1</v>
      </c>
      <c r="Z731">
        <f t="shared" si="84"/>
        <v>0</v>
      </c>
      <c r="AA731">
        <f t="shared" si="84"/>
        <v>0</v>
      </c>
    </row>
    <row r="732" spans="1:27" x14ac:dyDescent="0.4">
      <c r="A732">
        <v>731</v>
      </c>
      <c r="B732">
        <v>1</v>
      </c>
      <c r="C732" t="s">
        <v>1452</v>
      </c>
      <c r="D732" t="s">
        <v>18</v>
      </c>
      <c r="E732">
        <v>29</v>
      </c>
      <c r="F732">
        <v>0</v>
      </c>
      <c r="G732">
        <v>0</v>
      </c>
      <c r="H732" t="s">
        <v>1374</v>
      </c>
      <c r="I732">
        <v>211.33750000000001</v>
      </c>
      <c r="J732" t="s">
        <v>1375</v>
      </c>
      <c r="K732" t="s">
        <v>16</v>
      </c>
      <c r="L732">
        <v>1</v>
      </c>
      <c r="R732">
        <f t="shared" si="81"/>
        <v>29</v>
      </c>
      <c r="S732" t="str">
        <f t="shared" si="82"/>
        <v>S</v>
      </c>
      <c r="U732">
        <f t="shared" si="83"/>
        <v>1</v>
      </c>
      <c r="V732">
        <f t="shared" si="85"/>
        <v>1</v>
      </c>
      <c r="W732">
        <f t="shared" si="85"/>
        <v>0</v>
      </c>
      <c r="X732">
        <f t="shared" si="85"/>
        <v>0</v>
      </c>
      <c r="Y732">
        <f t="shared" si="84"/>
        <v>1</v>
      </c>
      <c r="Z732">
        <f t="shared" si="84"/>
        <v>0</v>
      </c>
      <c r="AA732">
        <f t="shared" si="84"/>
        <v>0</v>
      </c>
    </row>
    <row r="733" spans="1:27" x14ac:dyDescent="0.4">
      <c r="A733">
        <v>732</v>
      </c>
      <c r="B733">
        <v>3</v>
      </c>
      <c r="C733" t="s">
        <v>1453</v>
      </c>
      <c r="D733" t="s">
        <v>13</v>
      </c>
      <c r="E733">
        <v>11</v>
      </c>
      <c r="F733">
        <v>0</v>
      </c>
      <c r="G733">
        <v>0</v>
      </c>
      <c r="H733" t="s">
        <v>447</v>
      </c>
      <c r="I733">
        <v>18.787500000000001</v>
      </c>
      <c r="J733" t="s">
        <v>15</v>
      </c>
      <c r="K733" t="s">
        <v>21</v>
      </c>
      <c r="L733">
        <v>0</v>
      </c>
      <c r="R733">
        <f t="shared" si="81"/>
        <v>11</v>
      </c>
      <c r="S733" t="str">
        <f t="shared" si="82"/>
        <v>C</v>
      </c>
      <c r="U733">
        <f t="shared" si="83"/>
        <v>0</v>
      </c>
      <c r="V733">
        <f t="shared" si="85"/>
        <v>0</v>
      </c>
      <c r="W733">
        <f t="shared" si="85"/>
        <v>0</v>
      </c>
      <c r="X733">
        <f t="shared" si="85"/>
        <v>1</v>
      </c>
      <c r="Y733">
        <f t="shared" si="84"/>
        <v>0</v>
      </c>
      <c r="Z733">
        <f t="shared" si="84"/>
        <v>0</v>
      </c>
      <c r="AA733">
        <f t="shared" si="84"/>
        <v>1</v>
      </c>
    </row>
    <row r="734" spans="1:27" x14ac:dyDescent="0.4">
      <c r="A734">
        <v>733</v>
      </c>
      <c r="B734">
        <v>2</v>
      </c>
      <c r="C734" t="s">
        <v>1454</v>
      </c>
      <c r="D734" t="s">
        <v>13</v>
      </c>
      <c r="F734">
        <v>0</v>
      </c>
      <c r="G734">
        <v>0</v>
      </c>
      <c r="H734" t="s">
        <v>1455</v>
      </c>
      <c r="I734">
        <v>0</v>
      </c>
      <c r="J734" t="s">
        <v>15</v>
      </c>
      <c r="K734" t="s">
        <v>16</v>
      </c>
      <c r="L734">
        <v>0</v>
      </c>
      <c r="R734">
        <f t="shared" si="81"/>
        <v>28</v>
      </c>
      <c r="S734" t="str">
        <f t="shared" si="82"/>
        <v>S</v>
      </c>
      <c r="U734">
        <f t="shared" si="83"/>
        <v>0</v>
      </c>
      <c r="V734">
        <f t="shared" si="85"/>
        <v>0</v>
      </c>
      <c r="W734">
        <f t="shared" si="85"/>
        <v>1</v>
      </c>
      <c r="X734">
        <f t="shared" si="85"/>
        <v>0</v>
      </c>
      <c r="Y734">
        <f t="shared" si="84"/>
        <v>1</v>
      </c>
      <c r="Z734">
        <f t="shared" si="84"/>
        <v>0</v>
      </c>
      <c r="AA734">
        <f t="shared" si="84"/>
        <v>0</v>
      </c>
    </row>
    <row r="735" spans="1:27" x14ac:dyDescent="0.4">
      <c r="A735">
        <v>734</v>
      </c>
      <c r="B735">
        <v>2</v>
      </c>
      <c r="C735" t="s">
        <v>1456</v>
      </c>
      <c r="D735" t="s">
        <v>13</v>
      </c>
      <c r="E735">
        <v>23</v>
      </c>
      <c r="F735">
        <v>0</v>
      </c>
      <c r="G735">
        <v>0</v>
      </c>
      <c r="H735" t="s">
        <v>1457</v>
      </c>
      <c r="I735">
        <v>13</v>
      </c>
      <c r="J735" t="s">
        <v>15</v>
      </c>
      <c r="K735" t="s">
        <v>16</v>
      </c>
      <c r="L735">
        <v>0</v>
      </c>
      <c r="R735">
        <f t="shared" si="81"/>
        <v>23</v>
      </c>
      <c r="S735" t="str">
        <f t="shared" si="82"/>
        <v>S</v>
      </c>
      <c r="U735">
        <f t="shared" si="83"/>
        <v>0</v>
      </c>
      <c r="V735">
        <f t="shared" si="85"/>
        <v>0</v>
      </c>
      <c r="W735">
        <f t="shared" si="85"/>
        <v>1</v>
      </c>
      <c r="X735">
        <f t="shared" si="85"/>
        <v>0</v>
      </c>
      <c r="Y735">
        <f t="shared" si="84"/>
        <v>1</v>
      </c>
      <c r="Z735">
        <f t="shared" si="84"/>
        <v>0</v>
      </c>
      <c r="AA735">
        <f t="shared" si="84"/>
        <v>0</v>
      </c>
    </row>
    <row r="736" spans="1:27" x14ac:dyDescent="0.4">
      <c r="A736">
        <v>735</v>
      </c>
      <c r="B736">
        <v>2</v>
      </c>
      <c r="C736" t="s">
        <v>1458</v>
      </c>
      <c r="D736" t="s">
        <v>13</v>
      </c>
      <c r="E736">
        <v>23</v>
      </c>
      <c r="F736">
        <v>0</v>
      </c>
      <c r="G736">
        <v>0</v>
      </c>
      <c r="H736" t="s">
        <v>1459</v>
      </c>
      <c r="I736">
        <v>13</v>
      </c>
      <c r="J736" t="s">
        <v>15</v>
      </c>
      <c r="K736" t="s">
        <v>16</v>
      </c>
      <c r="L736">
        <v>0</v>
      </c>
      <c r="R736">
        <f t="shared" si="81"/>
        <v>23</v>
      </c>
      <c r="S736" t="str">
        <f t="shared" si="82"/>
        <v>S</v>
      </c>
      <c r="U736">
        <f t="shared" si="83"/>
        <v>0</v>
      </c>
      <c r="V736">
        <f t="shared" si="85"/>
        <v>0</v>
      </c>
      <c r="W736">
        <f t="shared" si="85"/>
        <v>1</v>
      </c>
      <c r="X736">
        <f t="shared" si="85"/>
        <v>0</v>
      </c>
      <c r="Y736">
        <f t="shared" si="84"/>
        <v>1</v>
      </c>
      <c r="Z736">
        <f t="shared" si="84"/>
        <v>0</v>
      </c>
      <c r="AA736">
        <f t="shared" si="84"/>
        <v>0</v>
      </c>
    </row>
    <row r="737" spans="1:27" x14ac:dyDescent="0.4">
      <c r="A737">
        <v>736</v>
      </c>
      <c r="B737">
        <v>3</v>
      </c>
      <c r="C737" t="s">
        <v>1460</v>
      </c>
      <c r="D737" t="s">
        <v>13</v>
      </c>
      <c r="E737">
        <v>28.5</v>
      </c>
      <c r="F737">
        <v>0</v>
      </c>
      <c r="G737">
        <v>0</v>
      </c>
      <c r="H737" t="s">
        <v>1256</v>
      </c>
      <c r="I737">
        <v>16.100000000000001</v>
      </c>
      <c r="J737" t="s">
        <v>15</v>
      </c>
      <c r="K737" t="s">
        <v>16</v>
      </c>
      <c r="L737">
        <v>0</v>
      </c>
      <c r="R737">
        <f t="shared" si="81"/>
        <v>28.5</v>
      </c>
      <c r="S737" t="str">
        <f t="shared" si="82"/>
        <v>S</v>
      </c>
      <c r="U737">
        <f t="shared" si="83"/>
        <v>0</v>
      </c>
      <c r="V737">
        <f t="shared" si="85"/>
        <v>0</v>
      </c>
      <c r="W737">
        <f t="shared" si="85"/>
        <v>0</v>
      </c>
      <c r="X737">
        <f t="shared" si="85"/>
        <v>1</v>
      </c>
      <c r="Y737">
        <f t="shared" si="84"/>
        <v>1</v>
      </c>
      <c r="Z737">
        <f t="shared" si="84"/>
        <v>0</v>
      </c>
      <c r="AA737">
        <f t="shared" si="84"/>
        <v>0</v>
      </c>
    </row>
    <row r="738" spans="1:27" x14ac:dyDescent="0.4">
      <c r="A738">
        <v>737</v>
      </c>
      <c r="B738">
        <v>3</v>
      </c>
      <c r="C738" t="s">
        <v>1461</v>
      </c>
      <c r="D738" t="s">
        <v>18</v>
      </c>
      <c r="E738">
        <v>48</v>
      </c>
      <c r="F738">
        <v>1</v>
      </c>
      <c r="G738">
        <v>3</v>
      </c>
      <c r="H738" t="s">
        <v>205</v>
      </c>
      <c r="I738">
        <v>34.375</v>
      </c>
      <c r="J738" t="s">
        <v>15</v>
      </c>
      <c r="K738" t="s">
        <v>16</v>
      </c>
      <c r="L738">
        <v>0</v>
      </c>
      <c r="R738">
        <f t="shared" si="81"/>
        <v>48</v>
      </c>
      <c r="S738" t="str">
        <f t="shared" si="82"/>
        <v>S</v>
      </c>
      <c r="U738">
        <f t="shared" si="83"/>
        <v>1</v>
      </c>
      <c r="V738">
        <f t="shared" si="85"/>
        <v>0</v>
      </c>
      <c r="W738">
        <f t="shared" si="85"/>
        <v>0</v>
      </c>
      <c r="X738">
        <f t="shared" si="85"/>
        <v>1</v>
      </c>
      <c r="Y738">
        <f t="shared" si="84"/>
        <v>1</v>
      </c>
      <c r="Z738">
        <f t="shared" si="84"/>
        <v>0</v>
      </c>
      <c r="AA738">
        <f t="shared" si="84"/>
        <v>0</v>
      </c>
    </row>
    <row r="739" spans="1:27" x14ac:dyDescent="0.4">
      <c r="A739">
        <v>738</v>
      </c>
      <c r="B739">
        <v>1</v>
      </c>
      <c r="C739" t="s">
        <v>1462</v>
      </c>
      <c r="D739" t="s">
        <v>13</v>
      </c>
      <c r="E739">
        <v>35</v>
      </c>
      <c r="F739">
        <v>0</v>
      </c>
      <c r="G739">
        <v>0</v>
      </c>
      <c r="H739" t="s">
        <v>552</v>
      </c>
      <c r="I739">
        <v>512.32920000000001</v>
      </c>
      <c r="J739" t="s">
        <v>1463</v>
      </c>
      <c r="K739" t="s">
        <v>21</v>
      </c>
      <c r="L739">
        <v>1</v>
      </c>
      <c r="R739">
        <f t="shared" si="81"/>
        <v>35</v>
      </c>
      <c r="S739" t="str">
        <f t="shared" si="82"/>
        <v>C</v>
      </c>
      <c r="U739">
        <f t="shared" si="83"/>
        <v>0</v>
      </c>
      <c r="V739">
        <f t="shared" si="85"/>
        <v>1</v>
      </c>
      <c r="W739">
        <f t="shared" si="85"/>
        <v>0</v>
      </c>
      <c r="X739">
        <f t="shared" si="85"/>
        <v>0</v>
      </c>
      <c r="Y739">
        <f t="shared" si="84"/>
        <v>0</v>
      </c>
      <c r="Z739">
        <f t="shared" si="84"/>
        <v>0</v>
      </c>
      <c r="AA739">
        <f t="shared" si="84"/>
        <v>1</v>
      </c>
    </row>
    <row r="740" spans="1:27" x14ac:dyDescent="0.4">
      <c r="A740">
        <v>739</v>
      </c>
      <c r="B740">
        <v>3</v>
      </c>
      <c r="C740" t="s">
        <v>1464</v>
      </c>
      <c r="D740" t="s">
        <v>13</v>
      </c>
      <c r="F740">
        <v>0</v>
      </c>
      <c r="G740">
        <v>0</v>
      </c>
      <c r="H740" t="s">
        <v>1465</v>
      </c>
      <c r="I740">
        <v>7.8958000000000004</v>
      </c>
      <c r="J740" t="s">
        <v>15</v>
      </c>
      <c r="K740" t="s">
        <v>16</v>
      </c>
      <c r="L740">
        <v>0</v>
      </c>
      <c r="R740">
        <f t="shared" si="81"/>
        <v>28</v>
      </c>
      <c r="S740" t="str">
        <f t="shared" si="82"/>
        <v>S</v>
      </c>
      <c r="U740">
        <f t="shared" si="83"/>
        <v>0</v>
      </c>
      <c r="V740">
        <f t="shared" si="85"/>
        <v>0</v>
      </c>
      <c r="W740">
        <f t="shared" si="85"/>
        <v>0</v>
      </c>
      <c r="X740">
        <f t="shared" si="85"/>
        <v>1</v>
      </c>
      <c r="Y740">
        <f t="shared" si="84"/>
        <v>1</v>
      </c>
      <c r="Z740">
        <f t="shared" si="84"/>
        <v>0</v>
      </c>
      <c r="AA740">
        <f t="shared" si="84"/>
        <v>0</v>
      </c>
    </row>
    <row r="741" spans="1:27" x14ac:dyDescent="0.4">
      <c r="A741">
        <v>740</v>
      </c>
      <c r="B741">
        <v>3</v>
      </c>
      <c r="C741" t="s">
        <v>1466</v>
      </c>
      <c r="D741" t="s">
        <v>13</v>
      </c>
      <c r="F741">
        <v>0</v>
      </c>
      <c r="G741">
        <v>0</v>
      </c>
      <c r="H741" t="s">
        <v>1467</v>
      </c>
      <c r="I741">
        <v>7.8958000000000004</v>
      </c>
      <c r="J741" t="s">
        <v>15</v>
      </c>
      <c r="K741" t="s">
        <v>16</v>
      </c>
      <c r="L741">
        <v>0</v>
      </c>
      <c r="R741">
        <f t="shared" si="81"/>
        <v>28</v>
      </c>
      <c r="S741" t="str">
        <f t="shared" si="82"/>
        <v>S</v>
      </c>
      <c r="U741">
        <f t="shared" si="83"/>
        <v>0</v>
      </c>
      <c r="V741">
        <f t="shared" si="85"/>
        <v>0</v>
      </c>
      <c r="W741">
        <f t="shared" si="85"/>
        <v>0</v>
      </c>
      <c r="X741">
        <f t="shared" si="85"/>
        <v>1</v>
      </c>
      <c r="Y741">
        <f t="shared" si="84"/>
        <v>1</v>
      </c>
      <c r="Z741">
        <f t="shared" si="84"/>
        <v>0</v>
      </c>
      <c r="AA741">
        <f t="shared" si="84"/>
        <v>0</v>
      </c>
    </row>
    <row r="742" spans="1:27" x14ac:dyDescent="0.4">
      <c r="A742">
        <v>741</v>
      </c>
      <c r="B742">
        <v>1</v>
      </c>
      <c r="C742" t="s">
        <v>1468</v>
      </c>
      <c r="D742" t="s">
        <v>13</v>
      </c>
      <c r="F742">
        <v>0</v>
      </c>
      <c r="G742">
        <v>0</v>
      </c>
      <c r="H742" t="s">
        <v>1469</v>
      </c>
      <c r="I742">
        <v>30</v>
      </c>
      <c r="J742" t="s">
        <v>1470</v>
      </c>
      <c r="K742" t="s">
        <v>16</v>
      </c>
      <c r="L742">
        <v>1</v>
      </c>
      <c r="R742">
        <f t="shared" si="81"/>
        <v>28</v>
      </c>
      <c r="S742" t="str">
        <f t="shared" si="82"/>
        <v>S</v>
      </c>
      <c r="U742">
        <f t="shared" si="83"/>
        <v>0</v>
      </c>
      <c r="V742">
        <f t="shared" ref="V742:X761" si="86">IF("Pclass_"&amp;$B742=V$1,1,0)</f>
        <v>1</v>
      </c>
      <c r="W742">
        <f t="shared" si="86"/>
        <v>0</v>
      </c>
      <c r="X742">
        <f t="shared" si="86"/>
        <v>0</v>
      </c>
      <c r="Y742">
        <f t="shared" si="84"/>
        <v>1</v>
      </c>
      <c r="Z742">
        <f t="shared" si="84"/>
        <v>0</v>
      </c>
      <c r="AA742">
        <f t="shared" si="84"/>
        <v>0</v>
      </c>
    </row>
    <row r="743" spans="1:27" x14ac:dyDescent="0.4">
      <c r="A743">
        <v>742</v>
      </c>
      <c r="B743">
        <v>1</v>
      </c>
      <c r="C743" t="s">
        <v>1471</v>
      </c>
      <c r="D743" t="s">
        <v>13</v>
      </c>
      <c r="E743">
        <v>36</v>
      </c>
      <c r="F743">
        <v>1</v>
      </c>
      <c r="G743">
        <v>0</v>
      </c>
      <c r="H743" t="s">
        <v>619</v>
      </c>
      <c r="I743">
        <v>78.849999999999994</v>
      </c>
      <c r="J743" t="s">
        <v>1472</v>
      </c>
      <c r="K743" t="s">
        <v>16</v>
      </c>
      <c r="L743">
        <v>0</v>
      </c>
      <c r="R743">
        <f t="shared" si="81"/>
        <v>36</v>
      </c>
      <c r="S743" t="str">
        <f t="shared" si="82"/>
        <v>S</v>
      </c>
      <c r="U743">
        <f t="shared" si="83"/>
        <v>0</v>
      </c>
      <c r="V743">
        <f t="shared" si="86"/>
        <v>1</v>
      </c>
      <c r="W743">
        <f t="shared" si="86"/>
        <v>0</v>
      </c>
      <c r="X743">
        <f t="shared" si="86"/>
        <v>0</v>
      </c>
      <c r="Y743">
        <f t="shared" si="84"/>
        <v>1</v>
      </c>
      <c r="Z743">
        <f t="shared" si="84"/>
        <v>0</v>
      </c>
      <c r="AA743">
        <f t="shared" si="84"/>
        <v>0</v>
      </c>
    </row>
    <row r="744" spans="1:27" x14ac:dyDescent="0.4">
      <c r="A744">
        <v>743</v>
      </c>
      <c r="B744">
        <v>1</v>
      </c>
      <c r="C744" t="s">
        <v>1473</v>
      </c>
      <c r="D744" t="s">
        <v>18</v>
      </c>
      <c r="E744">
        <v>21</v>
      </c>
      <c r="F744">
        <v>2</v>
      </c>
      <c r="G744">
        <v>2</v>
      </c>
      <c r="H744" t="s">
        <v>665</v>
      </c>
      <c r="I744">
        <v>262.375</v>
      </c>
      <c r="J744" t="s">
        <v>666</v>
      </c>
      <c r="K744" t="s">
        <v>21</v>
      </c>
      <c r="L744">
        <v>1</v>
      </c>
      <c r="R744">
        <f t="shared" si="81"/>
        <v>21</v>
      </c>
      <c r="S744" t="str">
        <f t="shared" si="82"/>
        <v>C</v>
      </c>
      <c r="U744">
        <f t="shared" si="83"/>
        <v>1</v>
      </c>
      <c r="V744">
        <f t="shared" si="86"/>
        <v>1</v>
      </c>
      <c r="W744">
        <f t="shared" si="86"/>
        <v>0</v>
      </c>
      <c r="X744">
        <f t="shared" si="86"/>
        <v>0</v>
      </c>
      <c r="Y744">
        <f t="shared" si="84"/>
        <v>0</v>
      </c>
      <c r="Z744">
        <f t="shared" si="84"/>
        <v>0</v>
      </c>
      <c r="AA744">
        <f t="shared" si="84"/>
        <v>1</v>
      </c>
    </row>
    <row r="745" spans="1:27" x14ac:dyDescent="0.4">
      <c r="A745">
        <v>744</v>
      </c>
      <c r="B745">
        <v>3</v>
      </c>
      <c r="C745" t="s">
        <v>1474</v>
      </c>
      <c r="D745" t="s">
        <v>13</v>
      </c>
      <c r="E745">
        <v>24</v>
      </c>
      <c r="F745">
        <v>1</v>
      </c>
      <c r="G745">
        <v>0</v>
      </c>
      <c r="H745" t="s">
        <v>1475</v>
      </c>
      <c r="I745">
        <v>16.100000000000001</v>
      </c>
      <c r="J745" t="s">
        <v>15</v>
      </c>
      <c r="K745" t="s">
        <v>16</v>
      </c>
      <c r="L745">
        <v>0</v>
      </c>
      <c r="R745">
        <f t="shared" si="81"/>
        <v>24</v>
      </c>
      <c r="S745" t="str">
        <f t="shared" si="82"/>
        <v>S</v>
      </c>
      <c r="U745">
        <f t="shared" si="83"/>
        <v>0</v>
      </c>
      <c r="V745">
        <f t="shared" si="86"/>
        <v>0</v>
      </c>
      <c r="W745">
        <f t="shared" si="86"/>
        <v>0</v>
      </c>
      <c r="X745">
        <f t="shared" si="86"/>
        <v>1</v>
      </c>
      <c r="Y745">
        <f t="shared" si="84"/>
        <v>1</v>
      </c>
      <c r="Z745">
        <f t="shared" si="84"/>
        <v>0</v>
      </c>
      <c r="AA745">
        <f t="shared" si="84"/>
        <v>0</v>
      </c>
    </row>
    <row r="746" spans="1:27" x14ac:dyDescent="0.4">
      <c r="A746">
        <v>745</v>
      </c>
      <c r="B746">
        <v>3</v>
      </c>
      <c r="C746" t="s">
        <v>1476</v>
      </c>
      <c r="D746" t="s">
        <v>13</v>
      </c>
      <c r="E746">
        <v>31</v>
      </c>
      <c r="F746">
        <v>0</v>
      </c>
      <c r="G746">
        <v>0</v>
      </c>
      <c r="H746" t="s">
        <v>1477</v>
      </c>
      <c r="I746">
        <v>7.9249999999999998</v>
      </c>
      <c r="J746" t="s">
        <v>15</v>
      </c>
      <c r="K746" t="s">
        <v>16</v>
      </c>
      <c r="L746">
        <v>1</v>
      </c>
      <c r="R746">
        <f t="shared" si="81"/>
        <v>31</v>
      </c>
      <c r="S746" t="str">
        <f t="shared" si="82"/>
        <v>S</v>
      </c>
      <c r="U746">
        <f t="shared" si="83"/>
        <v>0</v>
      </c>
      <c r="V746">
        <f t="shared" si="86"/>
        <v>0</v>
      </c>
      <c r="W746">
        <f t="shared" si="86"/>
        <v>0</v>
      </c>
      <c r="X746">
        <f t="shared" si="86"/>
        <v>1</v>
      </c>
      <c r="Y746">
        <f t="shared" si="84"/>
        <v>1</v>
      </c>
      <c r="Z746">
        <f t="shared" si="84"/>
        <v>0</v>
      </c>
      <c r="AA746">
        <f t="shared" si="84"/>
        <v>0</v>
      </c>
    </row>
    <row r="747" spans="1:27" x14ac:dyDescent="0.4">
      <c r="A747">
        <v>746</v>
      </c>
      <c r="B747">
        <v>1</v>
      </c>
      <c r="C747" t="s">
        <v>1478</v>
      </c>
      <c r="D747" t="s">
        <v>13</v>
      </c>
      <c r="E747">
        <v>70</v>
      </c>
      <c r="F747">
        <v>1</v>
      </c>
      <c r="G747">
        <v>1</v>
      </c>
      <c r="H747" t="s">
        <v>1104</v>
      </c>
      <c r="I747">
        <v>71</v>
      </c>
      <c r="J747" t="s">
        <v>1105</v>
      </c>
      <c r="K747" t="s">
        <v>16</v>
      </c>
      <c r="L747">
        <v>0</v>
      </c>
      <c r="R747">
        <f t="shared" si="81"/>
        <v>70</v>
      </c>
      <c r="S747" t="str">
        <f t="shared" si="82"/>
        <v>S</v>
      </c>
      <c r="U747">
        <f t="shared" si="83"/>
        <v>0</v>
      </c>
      <c r="V747">
        <f t="shared" si="86"/>
        <v>1</v>
      </c>
      <c r="W747">
        <f t="shared" si="86"/>
        <v>0</v>
      </c>
      <c r="X747">
        <f t="shared" si="86"/>
        <v>0</v>
      </c>
      <c r="Y747">
        <f t="shared" si="84"/>
        <v>1</v>
      </c>
      <c r="Z747">
        <f t="shared" si="84"/>
        <v>0</v>
      </c>
      <c r="AA747">
        <f t="shared" si="84"/>
        <v>0</v>
      </c>
    </row>
    <row r="748" spans="1:27" x14ac:dyDescent="0.4">
      <c r="A748">
        <v>747</v>
      </c>
      <c r="B748">
        <v>3</v>
      </c>
      <c r="C748" t="s">
        <v>1479</v>
      </c>
      <c r="D748" t="s">
        <v>13</v>
      </c>
      <c r="E748">
        <v>16</v>
      </c>
      <c r="F748">
        <v>1</v>
      </c>
      <c r="G748">
        <v>1</v>
      </c>
      <c r="H748" t="s">
        <v>596</v>
      </c>
      <c r="I748">
        <v>20.25</v>
      </c>
      <c r="J748" t="s">
        <v>15</v>
      </c>
      <c r="K748" t="s">
        <v>16</v>
      </c>
      <c r="L748">
        <v>0</v>
      </c>
      <c r="R748">
        <f t="shared" si="81"/>
        <v>16</v>
      </c>
      <c r="S748" t="str">
        <f t="shared" si="82"/>
        <v>S</v>
      </c>
      <c r="U748">
        <f t="shared" si="83"/>
        <v>0</v>
      </c>
      <c r="V748">
        <f t="shared" si="86"/>
        <v>0</v>
      </c>
      <c r="W748">
        <f t="shared" si="86"/>
        <v>0</v>
      </c>
      <c r="X748">
        <f t="shared" si="86"/>
        <v>1</v>
      </c>
      <c r="Y748">
        <f t="shared" si="84"/>
        <v>1</v>
      </c>
      <c r="Z748">
        <f t="shared" si="84"/>
        <v>0</v>
      </c>
      <c r="AA748">
        <f t="shared" si="84"/>
        <v>0</v>
      </c>
    </row>
    <row r="749" spans="1:27" x14ac:dyDescent="0.4">
      <c r="A749">
        <v>748</v>
      </c>
      <c r="B749">
        <v>2</v>
      </c>
      <c r="C749" t="s">
        <v>1480</v>
      </c>
      <c r="D749" t="s">
        <v>18</v>
      </c>
      <c r="E749">
        <v>30</v>
      </c>
      <c r="F749">
        <v>0</v>
      </c>
      <c r="G749">
        <v>0</v>
      </c>
      <c r="H749" t="s">
        <v>1481</v>
      </c>
      <c r="I749">
        <v>13</v>
      </c>
      <c r="J749" t="s">
        <v>15</v>
      </c>
      <c r="K749" t="s">
        <v>16</v>
      </c>
      <c r="L749">
        <v>1</v>
      </c>
      <c r="R749">
        <f t="shared" si="81"/>
        <v>30</v>
      </c>
      <c r="S749" t="str">
        <f t="shared" si="82"/>
        <v>S</v>
      </c>
      <c r="U749">
        <f t="shared" si="83"/>
        <v>1</v>
      </c>
      <c r="V749">
        <f t="shared" si="86"/>
        <v>0</v>
      </c>
      <c r="W749">
        <f t="shared" si="86"/>
        <v>1</v>
      </c>
      <c r="X749">
        <f t="shared" si="86"/>
        <v>0</v>
      </c>
      <c r="Y749">
        <f t="shared" si="84"/>
        <v>1</v>
      </c>
      <c r="Z749">
        <f t="shared" si="84"/>
        <v>0</v>
      </c>
      <c r="AA749">
        <f t="shared" si="84"/>
        <v>0</v>
      </c>
    </row>
    <row r="750" spans="1:27" x14ac:dyDescent="0.4">
      <c r="A750">
        <v>749</v>
      </c>
      <c r="B750">
        <v>1</v>
      </c>
      <c r="C750" t="s">
        <v>1482</v>
      </c>
      <c r="D750" t="s">
        <v>13</v>
      </c>
      <c r="E750">
        <v>19</v>
      </c>
      <c r="F750">
        <v>1</v>
      </c>
      <c r="G750">
        <v>0</v>
      </c>
      <c r="H750" t="s">
        <v>1483</v>
      </c>
      <c r="I750">
        <v>53.1</v>
      </c>
      <c r="J750" t="s">
        <v>1484</v>
      </c>
      <c r="K750" t="s">
        <v>16</v>
      </c>
      <c r="L750">
        <v>0</v>
      </c>
      <c r="R750">
        <f t="shared" si="81"/>
        <v>19</v>
      </c>
      <c r="S750" t="str">
        <f t="shared" si="82"/>
        <v>S</v>
      </c>
      <c r="U750">
        <f t="shared" si="83"/>
        <v>0</v>
      </c>
      <c r="V750">
        <f t="shared" si="86"/>
        <v>1</v>
      </c>
      <c r="W750">
        <f t="shared" si="86"/>
        <v>0</v>
      </c>
      <c r="X750">
        <f t="shared" si="86"/>
        <v>0</v>
      </c>
      <c r="Y750">
        <f t="shared" si="84"/>
        <v>1</v>
      </c>
      <c r="Z750">
        <f t="shared" si="84"/>
        <v>0</v>
      </c>
      <c r="AA750">
        <f t="shared" si="84"/>
        <v>0</v>
      </c>
    </row>
    <row r="751" spans="1:27" x14ac:dyDescent="0.4">
      <c r="A751">
        <v>750</v>
      </c>
      <c r="B751">
        <v>3</v>
      </c>
      <c r="C751" t="s">
        <v>1485</v>
      </c>
      <c r="D751" t="s">
        <v>13</v>
      </c>
      <c r="E751">
        <v>31</v>
      </c>
      <c r="F751">
        <v>0</v>
      </c>
      <c r="G751">
        <v>0</v>
      </c>
      <c r="H751" t="s">
        <v>1486</v>
      </c>
      <c r="I751">
        <v>7.75</v>
      </c>
      <c r="J751" t="s">
        <v>15</v>
      </c>
      <c r="K751" t="s">
        <v>31</v>
      </c>
      <c r="L751">
        <v>0</v>
      </c>
      <c r="R751">
        <f t="shared" si="81"/>
        <v>31</v>
      </c>
      <c r="S751" t="str">
        <f t="shared" si="82"/>
        <v>Q</v>
      </c>
      <c r="U751">
        <f t="shared" si="83"/>
        <v>0</v>
      </c>
      <c r="V751">
        <f t="shared" si="86"/>
        <v>0</v>
      </c>
      <c r="W751">
        <f t="shared" si="86"/>
        <v>0</v>
      </c>
      <c r="X751">
        <f t="shared" si="86"/>
        <v>1</v>
      </c>
      <c r="Y751">
        <f t="shared" si="84"/>
        <v>0</v>
      </c>
      <c r="Z751">
        <f t="shared" si="84"/>
        <v>1</v>
      </c>
      <c r="AA751">
        <f t="shared" si="84"/>
        <v>0</v>
      </c>
    </row>
    <row r="752" spans="1:27" x14ac:dyDescent="0.4">
      <c r="A752">
        <v>751</v>
      </c>
      <c r="B752">
        <v>2</v>
      </c>
      <c r="C752" t="s">
        <v>1487</v>
      </c>
      <c r="D752" t="s">
        <v>18</v>
      </c>
      <c r="E752">
        <v>4</v>
      </c>
      <c r="F752">
        <v>1</v>
      </c>
      <c r="G752">
        <v>1</v>
      </c>
      <c r="H752" t="s">
        <v>1488</v>
      </c>
      <c r="I752">
        <v>23</v>
      </c>
      <c r="J752" t="s">
        <v>15</v>
      </c>
      <c r="K752" t="s">
        <v>16</v>
      </c>
      <c r="L752">
        <v>1</v>
      </c>
      <c r="R752">
        <f t="shared" si="81"/>
        <v>4</v>
      </c>
      <c r="S752" t="str">
        <f t="shared" si="82"/>
        <v>S</v>
      </c>
      <c r="U752">
        <f t="shared" si="83"/>
        <v>1</v>
      </c>
      <c r="V752">
        <f t="shared" si="86"/>
        <v>0</v>
      </c>
      <c r="W752">
        <f t="shared" si="86"/>
        <v>1</v>
      </c>
      <c r="X752">
        <f t="shared" si="86"/>
        <v>0</v>
      </c>
      <c r="Y752">
        <f t="shared" si="84"/>
        <v>1</v>
      </c>
      <c r="Z752">
        <f t="shared" si="84"/>
        <v>0</v>
      </c>
      <c r="AA752">
        <f t="shared" si="84"/>
        <v>0</v>
      </c>
    </row>
    <row r="753" spans="1:27" x14ac:dyDescent="0.4">
      <c r="A753">
        <v>752</v>
      </c>
      <c r="B753">
        <v>3</v>
      </c>
      <c r="C753" t="s">
        <v>1489</v>
      </c>
      <c r="D753" t="s">
        <v>13</v>
      </c>
      <c r="E753">
        <v>6</v>
      </c>
      <c r="F753">
        <v>0</v>
      </c>
      <c r="G753">
        <v>1</v>
      </c>
      <c r="H753" t="s">
        <v>1490</v>
      </c>
      <c r="I753">
        <v>12.475</v>
      </c>
      <c r="J753" t="s">
        <v>1491</v>
      </c>
      <c r="K753" t="s">
        <v>16</v>
      </c>
      <c r="L753">
        <v>1</v>
      </c>
      <c r="R753">
        <f t="shared" si="81"/>
        <v>6</v>
      </c>
      <c r="S753" t="str">
        <f t="shared" si="82"/>
        <v>S</v>
      </c>
      <c r="U753">
        <f t="shared" si="83"/>
        <v>0</v>
      </c>
      <c r="V753">
        <f t="shared" si="86"/>
        <v>0</v>
      </c>
      <c r="W753">
        <f t="shared" si="86"/>
        <v>0</v>
      </c>
      <c r="X753">
        <f t="shared" si="86"/>
        <v>1</v>
      </c>
      <c r="Y753">
        <f t="shared" si="84"/>
        <v>1</v>
      </c>
      <c r="Z753">
        <f t="shared" si="84"/>
        <v>0</v>
      </c>
      <c r="AA753">
        <f t="shared" si="84"/>
        <v>0</v>
      </c>
    </row>
    <row r="754" spans="1:27" x14ac:dyDescent="0.4">
      <c r="A754">
        <v>753</v>
      </c>
      <c r="B754">
        <v>3</v>
      </c>
      <c r="C754" t="s">
        <v>1492</v>
      </c>
      <c r="D754" t="s">
        <v>13</v>
      </c>
      <c r="E754">
        <v>33</v>
      </c>
      <c r="F754">
        <v>0</v>
      </c>
      <c r="G754">
        <v>0</v>
      </c>
      <c r="H754" t="s">
        <v>1493</v>
      </c>
      <c r="I754">
        <v>9.5</v>
      </c>
      <c r="J754" t="s">
        <v>15</v>
      </c>
      <c r="K754" t="s">
        <v>16</v>
      </c>
      <c r="L754">
        <v>0</v>
      </c>
      <c r="R754">
        <f t="shared" si="81"/>
        <v>33</v>
      </c>
      <c r="S754" t="str">
        <f t="shared" si="82"/>
        <v>S</v>
      </c>
      <c r="U754">
        <f t="shared" si="83"/>
        <v>0</v>
      </c>
      <c r="V754">
        <f t="shared" si="86"/>
        <v>0</v>
      </c>
      <c r="W754">
        <f t="shared" si="86"/>
        <v>0</v>
      </c>
      <c r="X754">
        <f t="shared" si="86"/>
        <v>1</v>
      </c>
      <c r="Y754">
        <f t="shared" si="84"/>
        <v>1</v>
      </c>
      <c r="Z754">
        <f t="shared" si="84"/>
        <v>0</v>
      </c>
      <c r="AA754">
        <f t="shared" si="84"/>
        <v>0</v>
      </c>
    </row>
    <row r="755" spans="1:27" x14ac:dyDescent="0.4">
      <c r="A755">
        <v>754</v>
      </c>
      <c r="B755">
        <v>3</v>
      </c>
      <c r="C755" t="s">
        <v>1494</v>
      </c>
      <c r="D755" t="s">
        <v>13</v>
      </c>
      <c r="E755">
        <v>23</v>
      </c>
      <c r="F755">
        <v>0</v>
      </c>
      <c r="G755">
        <v>0</v>
      </c>
      <c r="H755" t="s">
        <v>1495</v>
      </c>
      <c r="I755">
        <v>7.8958000000000004</v>
      </c>
      <c r="J755" t="s">
        <v>15</v>
      </c>
      <c r="K755" t="s">
        <v>16</v>
      </c>
      <c r="L755">
        <v>0</v>
      </c>
      <c r="R755">
        <f t="shared" si="81"/>
        <v>23</v>
      </c>
      <c r="S755" t="str">
        <f t="shared" si="82"/>
        <v>S</v>
      </c>
      <c r="U755">
        <f t="shared" si="83"/>
        <v>0</v>
      </c>
      <c r="V755">
        <f t="shared" si="86"/>
        <v>0</v>
      </c>
      <c r="W755">
        <f t="shared" si="86"/>
        <v>0</v>
      </c>
      <c r="X755">
        <f t="shared" si="86"/>
        <v>1</v>
      </c>
      <c r="Y755">
        <f t="shared" si="84"/>
        <v>1</v>
      </c>
      <c r="Z755">
        <f t="shared" si="84"/>
        <v>0</v>
      </c>
      <c r="AA755">
        <f t="shared" si="84"/>
        <v>0</v>
      </c>
    </row>
    <row r="756" spans="1:27" x14ac:dyDescent="0.4">
      <c r="A756">
        <v>755</v>
      </c>
      <c r="B756">
        <v>2</v>
      </c>
      <c r="C756" t="s">
        <v>1496</v>
      </c>
      <c r="D756" t="s">
        <v>18</v>
      </c>
      <c r="E756">
        <v>48</v>
      </c>
      <c r="F756">
        <v>1</v>
      </c>
      <c r="G756">
        <v>2</v>
      </c>
      <c r="H756" t="s">
        <v>1241</v>
      </c>
      <c r="I756">
        <v>65</v>
      </c>
      <c r="J756" t="s">
        <v>15</v>
      </c>
      <c r="K756" t="s">
        <v>16</v>
      </c>
      <c r="L756">
        <v>1</v>
      </c>
      <c r="R756">
        <f t="shared" si="81"/>
        <v>48</v>
      </c>
      <c r="S756" t="str">
        <f t="shared" si="82"/>
        <v>S</v>
      </c>
      <c r="U756">
        <f t="shared" si="83"/>
        <v>1</v>
      </c>
      <c r="V756">
        <f t="shared" si="86"/>
        <v>0</v>
      </c>
      <c r="W756">
        <f t="shared" si="86"/>
        <v>1</v>
      </c>
      <c r="X756">
        <f t="shared" si="86"/>
        <v>0</v>
      </c>
      <c r="Y756">
        <f t="shared" si="84"/>
        <v>1</v>
      </c>
      <c r="Z756">
        <f t="shared" si="84"/>
        <v>0</v>
      </c>
      <c r="AA756">
        <f t="shared" si="84"/>
        <v>0</v>
      </c>
    </row>
    <row r="757" spans="1:27" x14ac:dyDescent="0.4">
      <c r="A757">
        <v>756</v>
      </c>
      <c r="B757">
        <v>2</v>
      </c>
      <c r="C757" t="s">
        <v>1497</v>
      </c>
      <c r="D757" t="s">
        <v>13</v>
      </c>
      <c r="E757">
        <v>0.67</v>
      </c>
      <c r="F757">
        <v>1</v>
      </c>
      <c r="G757">
        <v>1</v>
      </c>
      <c r="H757" t="s">
        <v>528</v>
      </c>
      <c r="I757">
        <v>14.5</v>
      </c>
      <c r="J757" t="s">
        <v>15</v>
      </c>
      <c r="K757" t="s">
        <v>16</v>
      </c>
      <c r="L757">
        <v>1</v>
      </c>
      <c r="R757">
        <f t="shared" si="81"/>
        <v>0.67</v>
      </c>
      <c r="S757" t="str">
        <f t="shared" si="82"/>
        <v>S</v>
      </c>
      <c r="U757">
        <f t="shared" si="83"/>
        <v>0</v>
      </c>
      <c r="V757">
        <f t="shared" si="86"/>
        <v>0</v>
      </c>
      <c r="W757">
        <f t="shared" si="86"/>
        <v>1</v>
      </c>
      <c r="X757">
        <f t="shared" si="86"/>
        <v>0</v>
      </c>
      <c r="Y757">
        <f t="shared" si="84"/>
        <v>1</v>
      </c>
      <c r="Z757">
        <f t="shared" si="84"/>
        <v>0</v>
      </c>
      <c r="AA757">
        <f t="shared" si="84"/>
        <v>0</v>
      </c>
    </row>
    <row r="758" spans="1:27" x14ac:dyDescent="0.4">
      <c r="A758">
        <v>757</v>
      </c>
      <c r="B758">
        <v>3</v>
      </c>
      <c r="C758" t="s">
        <v>1498</v>
      </c>
      <c r="D758" t="s">
        <v>13</v>
      </c>
      <c r="E758">
        <v>28</v>
      </c>
      <c r="F758">
        <v>0</v>
      </c>
      <c r="G758">
        <v>0</v>
      </c>
      <c r="H758" t="s">
        <v>1499</v>
      </c>
      <c r="I758">
        <v>7.7957999999999998</v>
      </c>
      <c r="J758" t="s">
        <v>15</v>
      </c>
      <c r="K758" t="s">
        <v>16</v>
      </c>
      <c r="L758">
        <v>0</v>
      </c>
      <c r="R758">
        <f t="shared" si="81"/>
        <v>28</v>
      </c>
      <c r="S758" t="str">
        <f t="shared" si="82"/>
        <v>S</v>
      </c>
      <c r="U758">
        <f t="shared" si="83"/>
        <v>0</v>
      </c>
      <c r="V758">
        <f t="shared" si="86"/>
        <v>0</v>
      </c>
      <c r="W758">
        <f t="shared" si="86"/>
        <v>0</v>
      </c>
      <c r="X758">
        <f t="shared" si="86"/>
        <v>1</v>
      </c>
      <c r="Y758">
        <f t="shared" si="84"/>
        <v>1</v>
      </c>
      <c r="Z758">
        <f t="shared" si="84"/>
        <v>0</v>
      </c>
      <c r="AA758">
        <f t="shared" si="84"/>
        <v>0</v>
      </c>
    </row>
    <row r="759" spans="1:27" x14ac:dyDescent="0.4">
      <c r="A759">
        <v>758</v>
      </c>
      <c r="B759">
        <v>2</v>
      </c>
      <c r="C759" t="s">
        <v>1500</v>
      </c>
      <c r="D759" t="s">
        <v>13</v>
      </c>
      <c r="E759">
        <v>18</v>
      </c>
      <c r="F759">
        <v>0</v>
      </c>
      <c r="G759">
        <v>0</v>
      </c>
      <c r="H759" t="s">
        <v>1501</v>
      </c>
      <c r="I759">
        <v>11.5</v>
      </c>
      <c r="J759" t="s">
        <v>15</v>
      </c>
      <c r="K759" t="s">
        <v>16</v>
      </c>
      <c r="L759">
        <v>0</v>
      </c>
      <c r="R759">
        <f t="shared" si="81"/>
        <v>18</v>
      </c>
      <c r="S759" t="str">
        <f t="shared" si="82"/>
        <v>S</v>
      </c>
      <c r="U759">
        <f t="shared" si="83"/>
        <v>0</v>
      </c>
      <c r="V759">
        <f t="shared" si="86"/>
        <v>0</v>
      </c>
      <c r="W759">
        <f t="shared" si="86"/>
        <v>1</v>
      </c>
      <c r="X759">
        <f t="shared" si="86"/>
        <v>0</v>
      </c>
      <c r="Y759">
        <f t="shared" si="84"/>
        <v>1</v>
      </c>
      <c r="Z759">
        <f t="shared" si="84"/>
        <v>0</v>
      </c>
      <c r="AA759">
        <f t="shared" si="84"/>
        <v>0</v>
      </c>
    </row>
    <row r="760" spans="1:27" x14ac:dyDescent="0.4">
      <c r="A760">
        <v>759</v>
      </c>
      <c r="B760">
        <v>3</v>
      </c>
      <c r="C760" t="s">
        <v>1502</v>
      </c>
      <c r="D760" t="s">
        <v>13</v>
      </c>
      <c r="E760">
        <v>34</v>
      </c>
      <c r="F760">
        <v>0</v>
      </c>
      <c r="G760">
        <v>0</v>
      </c>
      <c r="H760" t="s">
        <v>1503</v>
      </c>
      <c r="I760">
        <v>8.0500000000000007</v>
      </c>
      <c r="J760" t="s">
        <v>15</v>
      </c>
      <c r="K760" t="s">
        <v>16</v>
      </c>
      <c r="L760">
        <v>0</v>
      </c>
      <c r="R760">
        <f t="shared" si="81"/>
        <v>34</v>
      </c>
      <c r="S760" t="str">
        <f t="shared" si="82"/>
        <v>S</v>
      </c>
      <c r="U760">
        <f t="shared" si="83"/>
        <v>0</v>
      </c>
      <c r="V760">
        <f t="shared" si="86"/>
        <v>0</v>
      </c>
      <c r="W760">
        <f t="shared" si="86"/>
        <v>0</v>
      </c>
      <c r="X760">
        <f t="shared" si="86"/>
        <v>1</v>
      </c>
      <c r="Y760">
        <f t="shared" si="84"/>
        <v>1</v>
      </c>
      <c r="Z760">
        <f t="shared" si="84"/>
        <v>0</v>
      </c>
      <c r="AA760">
        <f t="shared" si="84"/>
        <v>0</v>
      </c>
    </row>
    <row r="761" spans="1:27" x14ac:dyDescent="0.4">
      <c r="A761">
        <v>760</v>
      </c>
      <c r="B761">
        <v>1</v>
      </c>
      <c r="C761" t="s">
        <v>1504</v>
      </c>
      <c r="D761" t="s">
        <v>18</v>
      </c>
      <c r="E761">
        <v>33</v>
      </c>
      <c r="F761">
        <v>0</v>
      </c>
      <c r="G761">
        <v>0</v>
      </c>
      <c r="H761" t="s">
        <v>549</v>
      </c>
      <c r="I761">
        <v>86.5</v>
      </c>
      <c r="J761" t="s">
        <v>550</v>
      </c>
      <c r="K761" t="s">
        <v>16</v>
      </c>
      <c r="L761">
        <v>1</v>
      </c>
      <c r="R761">
        <f t="shared" si="81"/>
        <v>33</v>
      </c>
      <c r="S761" t="str">
        <f t="shared" si="82"/>
        <v>S</v>
      </c>
      <c r="U761">
        <f t="shared" si="83"/>
        <v>1</v>
      </c>
      <c r="V761">
        <f t="shared" si="86"/>
        <v>1</v>
      </c>
      <c r="W761">
        <f t="shared" si="86"/>
        <v>0</v>
      </c>
      <c r="X761">
        <f t="shared" si="86"/>
        <v>0</v>
      </c>
      <c r="Y761">
        <f t="shared" si="84"/>
        <v>1</v>
      </c>
      <c r="Z761">
        <f t="shared" si="84"/>
        <v>0</v>
      </c>
      <c r="AA761">
        <f t="shared" si="84"/>
        <v>0</v>
      </c>
    </row>
    <row r="762" spans="1:27" x14ac:dyDescent="0.4">
      <c r="A762">
        <v>761</v>
      </c>
      <c r="B762">
        <v>3</v>
      </c>
      <c r="C762" t="s">
        <v>1505</v>
      </c>
      <c r="D762" t="s">
        <v>13</v>
      </c>
      <c r="F762">
        <v>0</v>
      </c>
      <c r="G762">
        <v>0</v>
      </c>
      <c r="H762" t="s">
        <v>1169</v>
      </c>
      <c r="I762">
        <v>14.5</v>
      </c>
      <c r="J762" t="s">
        <v>15</v>
      </c>
      <c r="K762" t="s">
        <v>16</v>
      </c>
      <c r="L762">
        <v>0</v>
      </c>
      <c r="R762">
        <f t="shared" si="81"/>
        <v>28</v>
      </c>
      <c r="S762" t="str">
        <f t="shared" si="82"/>
        <v>S</v>
      </c>
      <c r="U762">
        <f t="shared" si="83"/>
        <v>0</v>
      </c>
      <c r="V762">
        <f t="shared" ref="V762:X781" si="87">IF("Pclass_"&amp;$B762=V$1,1,0)</f>
        <v>0</v>
      </c>
      <c r="W762">
        <f t="shared" si="87"/>
        <v>0</v>
      </c>
      <c r="X762">
        <f t="shared" si="87"/>
        <v>1</v>
      </c>
      <c r="Y762">
        <f t="shared" si="84"/>
        <v>1</v>
      </c>
      <c r="Z762">
        <f t="shared" si="84"/>
        <v>0</v>
      </c>
      <c r="AA762">
        <f t="shared" si="84"/>
        <v>0</v>
      </c>
    </row>
    <row r="763" spans="1:27" x14ac:dyDescent="0.4">
      <c r="A763">
        <v>762</v>
      </c>
      <c r="B763">
        <v>3</v>
      </c>
      <c r="C763" t="s">
        <v>1506</v>
      </c>
      <c r="D763" t="s">
        <v>13</v>
      </c>
      <c r="E763">
        <v>41</v>
      </c>
      <c r="F763">
        <v>0</v>
      </c>
      <c r="G763">
        <v>0</v>
      </c>
      <c r="H763" t="s">
        <v>1507</v>
      </c>
      <c r="I763">
        <v>7.125</v>
      </c>
      <c r="J763" t="s">
        <v>15</v>
      </c>
      <c r="K763" t="s">
        <v>16</v>
      </c>
      <c r="L763">
        <v>0</v>
      </c>
      <c r="R763">
        <f t="shared" si="81"/>
        <v>41</v>
      </c>
      <c r="S763" t="str">
        <f t="shared" si="82"/>
        <v>S</v>
      </c>
      <c r="U763">
        <f t="shared" si="83"/>
        <v>0</v>
      </c>
      <c r="V763">
        <f t="shared" si="87"/>
        <v>0</v>
      </c>
      <c r="W763">
        <f t="shared" si="87"/>
        <v>0</v>
      </c>
      <c r="X763">
        <f t="shared" si="87"/>
        <v>1</v>
      </c>
      <c r="Y763">
        <f t="shared" si="84"/>
        <v>1</v>
      </c>
      <c r="Z763">
        <f t="shared" si="84"/>
        <v>0</v>
      </c>
      <c r="AA763">
        <f t="shared" si="84"/>
        <v>0</v>
      </c>
    </row>
    <row r="764" spans="1:27" x14ac:dyDescent="0.4">
      <c r="A764">
        <v>763</v>
      </c>
      <c r="B764">
        <v>3</v>
      </c>
      <c r="C764" t="s">
        <v>1508</v>
      </c>
      <c r="D764" t="s">
        <v>13</v>
      </c>
      <c r="E764">
        <v>20</v>
      </c>
      <c r="F764">
        <v>0</v>
      </c>
      <c r="G764">
        <v>0</v>
      </c>
      <c r="H764" t="s">
        <v>1509</v>
      </c>
      <c r="I764">
        <v>7.2291999999999996</v>
      </c>
      <c r="J764" t="s">
        <v>15</v>
      </c>
      <c r="K764" t="s">
        <v>21</v>
      </c>
      <c r="L764">
        <v>1</v>
      </c>
      <c r="R764">
        <f t="shared" si="81"/>
        <v>20</v>
      </c>
      <c r="S764" t="str">
        <f t="shared" si="82"/>
        <v>C</v>
      </c>
      <c r="U764">
        <f t="shared" si="83"/>
        <v>0</v>
      </c>
      <c r="V764">
        <f t="shared" si="87"/>
        <v>0</v>
      </c>
      <c r="W764">
        <f t="shared" si="87"/>
        <v>0</v>
      </c>
      <c r="X764">
        <f t="shared" si="87"/>
        <v>1</v>
      </c>
      <c r="Y764">
        <f t="shared" si="84"/>
        <v>0</v>
      </c>
      <c r="Z764">
        <f t="shared" si="84"/>
        <v>0</v>
      </c>
      <c r="AA764">
        <f t="shared" si="84"/>
        <v>1</v>
      </c>
    </row>
    <row r="765" spans="1:27" x14ac:dyDescent="0.4">
      <c r="A765">
        <v>764</v>
      </c>
      <c r="B765">
        <v>1</v>
      </c>
      <c r="C765" t="s">
        <v>1510</v>
      </c>
      <c r="D765" t="s">
        <v>18</v>
      </c>
      <c r="E765">
        <v>36</v>
      </c>
      <c r="F765">
        <v>1</v>
      </c>
      <c r="G765">
        <v>2</v>
      </c>
      <c r="H765" t="s">
        <v>815</v>
      </c>
      <c r="I765">
        <v>120</v>
      </c>
      <c r="J765" t="s">
        <v>816</v>
      </c>
      <c r="K765" t="s">
        <v>16</v>
      </c>
      <c r="L765">
        <v>1</v>
      </c>
      <c r="R765">
        <f t="shared" si="81"/>
        <v>36</v>
      </c>
      <c r="S765" t="str">
        <f t="shared" si="82"/>
        <v>S</v>
      </c>
      <c r="U765">
        <f t="shared" si="83"/>
        <v>1</v>
      </c>
      <c r="V765">
        <f t="shared" si="87"/>
        <v>1</v>
      </c>
      <c r="W765">
        <f t="shared" si="87"/>
        <v>0</v>
      </c>
      <c r="X765">
        <f t="shared" si="87"/>
        <v>0</v>
      </c>
      <c r="Y765">
        <f t="shared" si="84"/>
        <v>1</v>
      </c>
      <c r="Z765">
        <f t="shared" si="84"/>
        <v>0</v>
      </c>
      <c r="AA765">
        <f t="shared" si="84"/>
        <v>0</v>
      </c>
    </row>
    <row r="766" spans="1:27" x14ac:dyDescent="0.4">
      <c r="A766">
        <v>765</v>
      </c>
      <c r="B766">
        <v>3</v>
      </c>
      <c r="C766" t="s">
        <v>1511</v>
      </c>
      <c r="D766" t="s">
        <v>13</v>
      </c>
      <c r="E766">
        <v>16</v>
      </c>
      <c r="F766">
        <v>0</v>
      </c>
      <c r="G766">
        <v>0</v>
      </c>
      <c r="H766" t="s">
        <v>1512</v>
      </c>
      <c r="I766">
        <v>7.7750000000000004</v>
      </c>
      <c r="J766" t="s">
        <v>15</v>
      </c>
      <c r="K766" t="s">
        <v>16</v>
      </c>
      <c r="L766">
        <v>0</v>
      </c>
      <c r="R766">
        <f t="shared" si="81"/>
        <v>16</v>
      </c>
      <c r="S766" t="str">
        <f t="shared" si="82"/>
        <v>S</v>
      </c>
      <c r="U766">
        <f t="shared" si="83"/>
        <v>0</v>
      </c>
      <c r="V766">
        <f t="shared" si="87"/>
        <v>0</v>
      </c>
      <c r="W766">
        <f t="shared" si="87"/>
        <v>0</v>
      </c>
      <c r="X766">
        <f t="shared" si="87"/>
        <v>1</v>
      </c>
      <c r="Y766">
        <f t="shared" si="84"/>
        <v>1</v>
      </c>
      <c r="Z766">
        <f t="shared" si="84"/>
        <v>0</v>
      </c>
      <c r="AA766">
        <f t="shared" si="84"/>
        <v>0</v>
      </c>
    </row>
    <row r="767" spans="1:27" x14ac:dyDescent="0.4">
      <c r="A767">
        <v>766</v>
      </c>
      <c r="B767">
        <v>1</v>
      </c>
      <c r="C767" t="s">
        <v>1513</v>
      </c>
      <c r="D767" t="s">
        <v>18</v>
      </c>
      <c r="E767">
        <v>51</v>
      </c>
      <c r="F767">
        <v>1</v>
      </c>
      <c r="G767">
        <v>0</v>
      </c>
      <c r="H767" t="s">
        <v>588</v>
      </c>
      <c r="I767">
        <v>77.958299999999994</v>
      </c>
      <c r="J767" t="s">
        <v>1514</v>
      </c>
      <c r="K767" t="s">
        <v>16</v>
      </c>
      <c r="L767">
        <v>1</v>
      </c>
      <c r="R767">
        <f t="shared" si="81"/>
        <v>51</v>
      </c>
      <c r="S767" t="str">
        <f t="shared" si="82"/>
        <v>S</v>
      </c>
      <c r="U767">
        <f t="shared" si="83"/>
        <v>1</v>
      </c>
      <c r="V767">
        <f t="shared" si="87"/>
        <v>1</v>
      </c>
      <c r="W767">
        <f t="shared" si="87"/>
        <v>0</v>
      </c>
      <c r="X767">
        <f t="shared" si="87"/>
        <v>0</v>
      </c>
      <c r="Y767">
        <f t="shared" si="84"/>
        <v>1</v>
      </c>
      <c r="Z767">
        <f t="shared" si="84"/>
        <v>0</v>
      </c>
      <c r="AA767">
        <f t="shared" si="84"/>
        <v>0</v>
      </c>
    </row>
    <row r="768" spans="1:27" x14ac:dyDescent="0.4">
      <c r="A768">
        <v>767</v>
      </c>
      <c r="B768">
        <v>1</v>
      </c>
      <c r="C768" t="s">
        <v>1515</v>
      </c>
      <c r="D768" t="s">
        <v>13</v>
      </c>
      <c r="F768">
        <v>0</v>
      </c>
      <c r="G768">
        <v>0</v>
      </c>
      <c r="H768" t="s">
        <v>1516</v>
      </c>
      <c r="I768">
        <v>39.6</v>
      </c>
      <c r="J768" t="s">
        <v>15</v>
      </c>
      <c r="K768" t="s">
        <v>21</v>
      </c>
      <c r="L768">
        <v>0</v>
      </c>
      <c r="R768">
        <f t="shared" si="81"/>
        <v>28</v>
      </c>
      <c r="S768" t="str">
        <f t="shared" si="82"/>
        <v>C</v>
      </c>
      <c r="U768">
        <f t="shared" si="83"/>
        <v>0</v>
      </c>
      <c r="V768">
        <f t="shared" si="87"/>
        <v>1</v>
      </c>
      <c r="W768">
        <f t="shared" si="87"/>
        <v>0</v>
      </c>
      <c r="X768">
        <f t="shared" si="87"/>
        <v>0</v>
      </c>
      <c r="Y768">
        <f t="shared" si="84"/>
        <v>0</v>
      </c>
      <c r="Z768">
        <f t="shared" si="84"/>
        <v>0</v>
      </c>
      <c r="AA768">
        <f t="shared" si="84"/>
        <v>1</v>
      </c>
    </row>
    <row r="769" spans="1:27" x14ac:dyDescent="0.4">
      <c r="A769">
        <v>768</v>
      </c>
      <c r="B769">
        <v>3</v>
      </c>
      <c r="C769" t="s">
        <v>1517</v>
      </c>
      <c r="D769" t="s">
        <v>18</v>
      </c>
      <c r="E769">
        <v>30.5</v>
      </c>
      <c r="F769">
        <v>0</v>
      </c>
      <c r="G769">
        <v>0</v>
      </c>
      <c r="H769" t="s">
        <v>1518</v>
      </c>
      <c r="I769">
        <v>7.75</v>
      </c>
      <c r="J769" t="s">
        <v>15</v>
      </c>
      <c r="K769" t="s">
        <v>31</v>
      </c>
      <c r="L769">
        <v>0</v>
      </c>
      <c r="R769">
        <f t="shared" si="81"/>
        <v>30.5</v>
      </c>
      <c r="S769" t="str">
        <f t="shared" si="82"/>
        <v>Q</v>
      </c>
      <c r="U769">
        <f t="shared" si="83"/>
        <v>1</v>
      </c>
      <c r="V769">
        <f t="shared" si="87"/>
        <v>0</v>
      </c>
      <c r="W769">
        <f t="shared" si="87"/>
        <v>0</v>
      </c>
      <c r="X769">
        <f t="shared" si="87"/>
        <v>1</v>
      </c>
      <c r="Y769">
        <f t="shared" si="84"/>
        <v>0</v>
      </c>
      <c r="Z769">
        <f t="shared" si="84"/>
        <v>1</v>
      </c>
      <c r="AA769">
        <f t="shared" si="84"/>
        <v>0</v>
      </c>
    </row>
    <row r="770" spans="1:27" x14ac:dyDescent="0.4">
      <c r="A770">
        <v>769</v>
      </c>
      <c r="B770">
        <v>3</v>
      </c>
      <c r="C770" t="s">
        <v>1519</v>
      </c>
      <c r="D770" t="s">
        <v>13</v>
      </c>
      <c r="F770">
        <v>1</v>
      </c>
      <c r="G770">
        <v>0</v>
      </c>
      <c r="H770" t="s">
        <v>254</v>
      </c>
      <c r="I770">
        <v>24.15</v>
      </c>
      <c r="J770" t="s">
        <v>15</v>
      </c>
      <c r="K770" t="s">
        <v>31</v>
      </c>
      <c r="L770">
        <v>0</v>
      </c>
      <c r="R770">
        <f t="shared" si="81"/>
        <v>28</v>
      </c>
      <c r="S770" t="str">
        <f t="shared" si="82"/>
        <v>Q</v>
      </c>
      <c r="U770">
        <f t="shared" si="83"/>
        <v>0</v>
      </c>
      <c r="V770">
        <f t="shared" si="87"/>
        <v>0</v>
      </c>
      <c r="W770">
        <f t="shared" si="87"/>
        <v>0</v>
      </c>
      <c r="X770">
        <f t="shared" si="87"/>
        <v>1</v>
      </c>
      <c r="Y770">
        <f t="shared" si="84"/>
        <v>0</v>
      </c>
      <c r="Z770">
        <f t="shared" si="84"/>
        <v>1</v>
      </c>
      <c r="AA770">
        <f t="shared" si="84"/>
        <v>0</v>
      </c>
    </row>
    <row r="771" spans="1:27" x14ac:dyDescent="0.4">
      <c r="A771">
        <v>770</v>
      </c>
      <c r="B771">
        <v>3</v>
      </c>
      <c r="C771" t="s">
        <v>1520</v>
      </c>
      <c r="D771" t="s">
        <v>13</v>
      </c>
      <c r="E771">
        <v>32</v>
      </c>
      <c r="F771">
        <v>0</v>
      </c>
      <c r="G771">
        <v>0</v>
      </c>
      <c r="H771" t="s">
        <v>1521</v>
      </c>
      <c r="I771">
        <v>8.3625000000000007</v>
      </c>
      <c r="J771" t="s">
        <v>15</v>
      </c>
      <c r="K771" t="s">
        <v>16</v>
      </c>
      <c r="L771">
        <v>0</v>
      </c>
      <c r="R771">
        <f t="shared" ref="R771:R834" si="88">IF(E771&lt;&gt;"",E771,$O$18)</f>
        <v>32</v>
      </c>
      <c r="S771" t="str">
        <f t="shared" ref="S771:S834" si="89">IF(K771&lt;&gt;"",K771,$N$9)</f>
        <v>S</v>
      </c>
      <c r="U771">
        <f t="shared" ref="U771:U834" si="90">IF(D771="male",0,1)</f>
        <v>0</v>
      </c>
      <c r="V771">
        <f t="shared" si="87"/>
        <v>0</v>
      </c>
      <c r="W771">
        <f t="shared" si="87"/>
        <v>0</v>
      </c>
      <c r="X771">
        <f t="shared" si="87"/>
        <v>1</v>
      </c>
      <c r="Y771">
        <f t="shared" ref="Y771:AA834" si="91">IF($S771=RIGHT(Y$1,1),1,0)</f>
        <v>1</v>
      </c>
      <c r="Z771">
        <f t="shared" si="91"/>
        <v>0</v>
      </c>
      <c r="AA771">
        <f t="shared" si="91"/>
        <v>0</v>
      </c>
    </row>
    <row r="772" spans="1:27" x14ac:dyDescent="0.4">
      <c r="A772">
        <v>771</v>
      </c>
      <c r="B772">
        <v>3</v>
      </c>
      <c r="C772" t="s">
        <v>1522</v>
      </c>
      <c r="D772" t="s">
        <v>13</v>
      </c>
      <c r="E772">
        <v>24</v>
      </c>
      <c r="F772">
        <v>0</v>
      </c>
      <c r="G772">
        <v>0</v>
      </c>
      <c r="H772" t="s">
        <v>1523</v>
      </c>
      <c r="I772">
        <v>9.5</v>
      </c>
      <c r="J772" t="s">
        <v>15</v>
      </c>
      <c r="K772" t="s">
        <v>16</v>
      </c>
      <c r="L772">
        <v>0</v>
      </c>
      <c r="R772">
        <f t="shared" si="88"/>
        <v>24</v>
      </c>
      <c r="S772" t="str">
        <f t="shared" si="89"/>
        <v>S</v>
      </c>
      <c r="U772">
        <f t="shared" si="90"/>
        <v>0</v>
      </c>
      <c r="V772">
        <f t="shared" si="87"/>
        <v>0</v>
      </c>
      <c r="W772">
        <f t="shared" si="87"/>
        <v>0</v>
      </c>
      <c r="X772">
        <f t="shared" si="87"/>
        <v>1</v>
      </c>
      <c r="Y772">
        <f t="shared" si="91"/>
        <v>1</v>
      </c>
      <c r="Z772">
        <f t="shared" si="91"/>
        <v>0</v>
      </c>
      <c r="AA772">
        <f t="shared" si="91"/>
        <v>0</v>
      </c>
    </row>
    <row r="773" spans="1:27" x14ac:dyDescent="0.4">
      <c r="A773">
        <v>772</v>
      </c>
      <c r="B773">
        <v>3</v>
      </c>
      <c r="C773" t="s">
        <v>1524</v>
      </c>
      <c r="D773" t="s">
        <v>13</v>
      </c>
      <c r="E773">
        <v>48</v>
      </c>
      <c r="F773">
        <v>0</v>
      </c>
      <c r="G773">
        <v>0</v>
      </c>
      <c r="H773" t="s">
        <v>1525</v>
      </c>
      <c r="I773">
        <v>7.8541999999999996</v>
      </c>
      <c r="J773" t="s">
        <v>15</v>
      </c>
      <c r="K773" t="s">
        <v>16</v>
      </c>
      <c r="L773">
        <v>0</v>
      </c>
      <c r="R773">
        <f t="shared" si="88"/>
        <v>48</v>
      </c>
      <c r="S773" t="str">
        <f t="shared" si="89"/>
        <v>S</v>
      </c>
      <c r="U773">
        <f t="shared" si="90"/>
        <v>0</v>
      </c>
      <c r="V773">
        <f t="shared" si="87"/>
        <v>0</v>
      </c>
      <c r="W773">
        <f t="shared" si="87"/>
        <v>0</v>
      </c>
      <c r="X773">
        <f t="shared" si="87"/>
        <v>1</v>
      </c>
      <c r="Y773">
        <f t="shared" si="91"/>
        <v>1</v>
      </c>
      <c r="Z773">
        <f t="shared" si="91"/>
        <v>0</v>
      </c>
      <c r="AA773">
        <f t="shared" si="91"/>
        <v>0</v>
      </c>
    </row>
    <row r="774" spans="1:27" x14ac:dyDescent="0.4">
      <c r="A774">
        <v>773</v>
      </c>
      <c r="B774">
        <v>2</v>
      </c>
      <c r="C774" t="s">
        <v>1526</v>
      </c>
      <c r="D774" t="s">
        <v>18</v>
      </c>
      <c r="E774">
        <v>57</v>
      </c>
      <c r="F774">
        <v>0</v>
      </c>
      <c r="G774">
        <v>0</v>
      </c>
      <c r="H774" t="s">
        <v>1527</v>
      </c>
      <c r="I774">
        <v>10.5</v>
      </c>
      <c r="J774" t="s">
        <v>1528</v>
      </c>
      <c r="K774" t="s">
        <v>16</v>
      </c>
      <c r="L774">
        <v>0</v>
      </c>
      <c r="R774">
        <f t="shared" si="88"/>
        <v>57</v>
      </c>
      <c r="S774" t="str">
        <f t="shared" si="89"/>
        <v>S</v>
      </c>
      <c r="U774">
        <f t="shared" si="90"/>
        <v>1</v>
      </c>
      <c r="V774">
        <f t="shared" si="87"/>
        <v>0</v>
      </c>
      <c r="W774">
        <f t="shared" si="87"/>
        <v>1</v>
      </c>
      <c r="X774">
        <f t="shared" si="87"/>
        <v>0</v>
      </c>
      <c r="Y774">
        <f t="shared" si="91"/>
        <v>1</v>
      </c>
      <c r="Z774">
        <f t="shared" si="91"/>
        <v>0</v>
      </c>
      <c r="AA774">
        <f t="shared" si="91"/>
        <v>0</v>
      </c>
    </row>
    <row r="775" spans="1:27" x14ac:dyDescent="0.4">
      <c r="A775">
        <v>774</v>
      </c>
      <c r="B775">
        <v>3</v>
      </c>
      <c r="C775" t="s">
        <v>1529</v>
      </c>
      <c r="D775" t="s">
        <v>13</v>
      </c>
      <c r="F775">
        <v>0</v>
      </c>
      <c r="G775">
        <v>0</v>
      </c>
      <c r="H775" t="s">
        <v>1530</v>
      </c>
      <c r="I775">
        <v>7.2249999999999996</v>
      </c>
      <c r="J775" t="s">
        <v>15</v>
      </c>
      <c r="K775" t="s">
        <v>21</v>
      </c>
      <c r="L775">
        <v>0</v>
      </c>
      <c r="R775">
        <f t="shared" si="88"/>
        <v>28</v>
      </c>
      <c r="S775" t="str">
        <f t="shared" si="89"/>
        <v>C</v>
      </c>
      <c r="U775">
        <f t="shared" si="90"/>
        <v>0</v>
      </c>
      <c r="V775">
        <f t="shared" si="87"/>
        <v>0</v>
      </c>
      <c r="W775">
        <f t="shared" si="87"/>
        <v>0</v>
      </c>
      <c r="X775">
        <f t="shared" si="87"/>
        <v>1</v>
      </c>
      <c r="Y775">
        <f t="shared" si="91"/>
        <v>0</v>
      </c>
      <c r="Z775">
        <f t="shared" si="91"/>
        <v>0</v>
      </c>
      <c r="AA775">
        <f t="shared" si="91"/>
        <v>1</v>
      </c>
    </row>
    <row r="776" spans="1:27" x14ac:dyDescent="0.4">
      <c r="A776">
        <v>775</v>
      </c>
      <c r="B776">
        <v>2</v>
      </c>
      <c r="C776" t="s">
        <v>1531</v>
      </c>
      <c r="D776" t="s">
        <v>18</v>
      </c>
      <c r="E776">
        <v>54</v>
      </c>
      <c r="F776">
        <v>1</v>
      </c>
      <c r="G776">
        <v>3</v>
      </c>
      <c r="H776" t="s">
        <v>1532</v>
      </c>
      <c r="I776">
        <v>23</v>
      </c>
      <c r="J776" t="s">
        <v>15</v>
      </c>
      <c r="K776" t="s">
        <v>16</v>
      </c>
      <c r="L776">
        <v>1</v>
      </c>
      <c r="R776">
        <f t="shared" si="88"/>
        <v>54</v>
      </c>
      <c r="S776" t="str">
        <f t="shared" si="89"/>
        <v>S</v>
      </c>
      <c r="U776">
        <f t="shared" si="90"/>
        <v>1</v>
      </c>
      <c r="V776">
        <f t="shared" si="87"/>
        <v>0</v>
      </c>
      <c r="W776">
        <f t="shared" si="87"/>
        <v>1</v>
      </c>
      <c r="X776">
        <f t="shared" si="87"/>
        <v>0</v>
      </c>
      <c r="Y776">
        <f t="shared" si="91"/>
        <v>1</v>
      </c>
      <c r="Z776">
        <f t="shared" si="91"/>
        <v>0</v>
      </c>
      <c r="AA776">
        <f t="shared" si="91"/>
        <v>0</v>
      </c>
    </row>
    <row r="777" spans="1:27" x14ac:dyDescent="0.4">
      <c r="A777">
        <v>776</v>
      </c>
      <c r="B777">
        <v>3</v>
      </c>
      <c r="C777" t="s">
        <v>1533</v>
      </c>
      <c r="D777" t="s">
        <v>13</v>
      </c>
      <c r="E777">
        <v>18</v>
      </c>
      <c r="F777">
        <v>0</v>
      </c>
      <c r="G777">
        <v>0</v>
      </c>
      <c r="H777" t="s">
        <v>1534</v>
      </c>
      <c r="I777">
        <v>7.75</v>
      </c>
      <c r="J777" t="s">
        <v>15</v>
      </c>
      <c r="K777" t="s">
        <v>16</v>
      </c>
      <c r="L777">
        <v>0</v>
      </c>
      <c r="R777">
        <f t="shared" si="88"/>
        <v>18</v>
      </c>
      <c r="S777" t="str">
        <f t="shared" si="89"/>
        <v>S</v>
      </c>
      <c r="U777">
        <f t="shared" si="90"/>
        <v>0</v>
      </c>
      <c r="V777">
        <f t="shared" si="87"/>
        <v>0</v>
      </c>
      <c r="W777">
        <f t="shared" si="87"/>
        <v>0</v>
      </c>
      <c r="X777">
        <f t="shared" si="87"/>
        <v>1</v>
      </c>
      <c r="Y777">
        <f t="shared" si="91"/>
        <v>1</v>
      </c>
      <c r="Z777">
        <f t="shared" si="91"/>
        <v>0</v>
      </c>
      <c r="AA777">
        <f t="shared" si="91"/>
        <v>0</v>
      </c>
    </row>
    <row r="778" spans="1:27" x14ac:dyDescent="0.4">
      <c r="A778">
        <v>777</v>
      </c>
      <c r="B778">
        <v>3</v>
      </c>
      <c r="C778" t="s">
        <v>1535</v>
      </c>
      <c r="D778" t="s">
        <v>13</v>
      </c>
      <c r="F778">
        <v>0</v>
      </c>
      <c r="G778">
        <v>0</v>
      </c>
      <c r="H778" t="s">
        <v>1536</v>
      </c>
      <c r="I778">
        <v>7.75</v>
      </c>
      <c r="J778" t="s">
        <v>1537</v>
      </c>
      <c r="K778" t="s">
        <v>31</v>
      </c>
      <c r="L778">
        <v>0</v>
      </c>
      <c r="R778">
        <f t="shared" si="88"/>
        <v>28</v>
      </c>
      <c r="S778" t="str">
        <f t="shared" si="89"/>
        <v>Q</v>
      </c>
      <c r="U778">
        <f t="shared" si="90"/>
        <v>0</v>
      </c>
      <c r="V778">
        <f t="shared" si="87"/>
        <v>0</v>
      </c>
      <c r="W778">
        <f t="shared" si="87"/>
        <v>0</v>
      </c>
      <c r="X778">
        <f t="shared" si="87"/>
        <v>1</v>
      </c>
      <c r="Y778">
        <f t="shared" si="91"/>
        <v>0</v>
      </c>
      <c r="Z778">
        <f t="shared" si="91"/>
        <v>1</v>
      </c>
      <c r="AA778">
        <f t="shared" si="91"/>
        <v>0</v>
      </c>
    </row>
    <row r="779" spans="1:27" x14ac:dyDescent="0.4">
      <c r="A779">
        <v>778</v>
      </c>
      <c r="B779">
        <v>3</v>
      </c>
      <c r="C779" t="s">
        <v>1538</v>
      </c>
      <c r="D779" t="s">
        <v>18</v>
      </c>
      <c r="E779">
        <v>5</v>
      </c>
      <c r="F779">
        <v>0</v>
      </c>
      <c r="G779">
        <v>0</v>
      </c>
      <c r="H779" t="s">
        <v>191</v>
      </c>
      <c r="I779">
        <v>12.475</v>
      </c>
      <c r="J779" t="s">
        <v>15</v>
      </c>
      <c r="K779" t="s">
        <v>16</v>
      </c>
      <c r="L779">
        <v>1</v>
      </c>
      <c r="R779">
        <f t="shared" si="88"/>
        <v>5</v>
      </c>
      <c r="S779" t="str">
        <f t="shared" si="89"/>
        <v>S</v>
      </c>
      <c r="U779">
        <f t="shared" si="90"/>
        <v>1</v>
      </c>
      <c r="V779">
        <f t="shared" si="87"/>
        <v>0</v>
      </c>
      <c r="W779">
        <f t="shared" si="87"/>
        <v>0</v>
      </c>
      <c r="X779">
        <f t="shared" si="87"/>
        <v>1</v>
      </c>
      <c r="Y779">
        <f t="shared" si="91"/>
        <v>1</v>
      </c>
      <c r="Z779">
        <f t="shared" si="91"/>
        <v>0</v>
      </c>
      <c r="AA779">
        <f t="shared" si="91"/>
        <v>0</v>
      </c>
    </row>
    <row r="780" spans="1:27" x14ac:dyDescent="0.4">
      <c r="A780">
        <v>779</v>
      </c>
      <c r="B780">
        <v>3</v>
      </c>
      <c r="C780" t="s">
        <v>1539</v>
      </c>
      <c r="D780" t="s">
        <v>13</v>
      </c>
      <c r="F780">
        <v>0</v>
      </c>
      <c r="G780">
        <v>0</v>
      </c>
      <c r="H780" t="s">
        <v>1540</v>
      </c>
      <c r="I780">
        <v>7.7374999999999998</v>
      </c>
      <c r="J780" t="s">
        <v>15</v>
      </c>
      <c r="K780" t="s">
        <v>31</v>
      </c>
      <c r="L780">
        <v>0</v>
      </c>
      <c r="R780">
        <f t="shared" si="88"/>
        <v>28</v>
      </c>
      <c r="S780" t="str">
        <f t="shared" si="89"/>
        <v>Q</v>
      </c>
      <c r="U780">
        <f t="shared" si="90"/>
        <v>0</v>
      </c>
      <c r="V780">
        <f t="shared" si="87"/>
        <v>0</v>
      </c>
      <c r="W780">
        <f t="shared" si="87"/>
        <v>0</v>
      </c>
      <c r="X780">
        <f t="shared" si="87"/>
        <v>1</v>
      </c>
      <c r="Y780">
        <f t="shared" si="91"/>
        <v>0</v>
      </c>
      <c r="Z780">
        <f t="shared" si="91"/>
        <v>1</v>
      </c>
      <c r="AA780">
        <f t="shared" si="91"/>
        <v>0</v>
      </c>
    </row>
    <row r="781" spans="1:27" x14ac:dyDescent="0.4">
      <c r="A781">
        <v>780</v>
      </c>
      <c r="B781">
        <v>1</v>
      </c>
      <c r="C781" t="s">
        <v>1541</v>
      </c>
      <c r="D781" t="s">
        <v>18</v>
      </c>
      <c r="E781">
        <v>43</v>
      </c>
      <c r="F781">
        <v>0</v>
      </c>
      <c r="G781">
        <v>1</v>
      </c>
      <c r="H781" t="s">
        <v>1374</v>
      </c>
      <c r="I781">
        <v>211.33750000000001</v>
      </c>
      <c r="J781" t="s">
        <v>1542</v>
      </c>
      <c r="K781" t="s">
        <v>16</v>
      </c>
      <c r="L781">
        <v>1</v>
      </c>
      <c r="R781">
        <f t="shared" si="88"/>
        <v>43</v>
      </c>
      <c r="S781" t="str">
        <f t="shared" si="89"/>
        <v>S</v>
      </c>
      <c r="U781">
        <f t="shared" si="90"/>
        <v>1</v>
      </c>
      <c r="V781">
        <f t="shared" si="87"/>
        <v>1</v>
      </c>
      <c r="W781">
        <f t="shared" si="87"/>
        <v>0</v>
      </c>
      <c r="X781">
        <f t="shared" si="87"/>
        <v>0</v>
      </c>
      <c r="Y781">
        <f t="shared" si="91"/>
        <v>1</v>
      </c>
      <c r="Z781">
        <f t="shared" si="91"/>
        <v>0</v>
      </c>
      <c r="AA781">
        <f t="shared" si="91"/>
        <v>0</v>
      </c>
    </row>
    <row r="782" spans="1:27" x14ac:dyDescent="0.4">
      <c r="A782">
        <v>781</v>
      </c>
      <c r="B782">
        <v>3</v>
      </c>
      <c r="C782" t="s">
        <v>1543</v>
      </c>
      <c r="D782" t="s">
        <v>18</v>
      </c>
      <c r="E782">
        <v>13</v>
      </c>
      <c r="F782">
        <v>0</v>
      </c>
      <c r="G782">
        <v>0</v>
      </c>
      <c r="H782" t="s">
        <v>1544</v>
      </c>
      <c r="I782">
        <v>7.2291999999999996</v>
      </c>
      <c r="J782" t="s">
        <v>15</v>
      </c>
      <c r="K782" t="s">
        <v>21</v>
      </c>
      <c r="L782">
        <v>1</v>
      </c>
      <c r="R782">
        <f t="shared" si="88"/>
        <v>13</v>
      </c>
      <c r="S782" t="str">
        <f t="shared" si="89"/>
        <v>C</v>
      </c>
      <c r="U782">
        <f t="shared" si="90"/>
        <v>1</v>
      </c>
      <c r="V782">
        <f t="shared" ref="V782:X801" si="92">IF("Pclass_"&amp;$B782=V$1,1,0)</f>
        <v>0</v>
      </c>
      <c r="W782">
        <f t="shared" si="92"/>
        <v>0</v>
      </c>
      <c r="X782">
        <f t="shared" si="92"/>
        <v>1</v>
      </c>
      <c r="Y782">
        <f t="shared" si="91"/>
        <v>0</v>
      </c>
      <c r="Z782">
        <f t="shared" si="91"/>
        <v>0</v>
      </c>
      <c r="AA782">
        <f t="shared" si="91"/>
        <v>1</v>
      </c>
    </row>
    <row r="783" spans="1:27" x14ac:dyDescent="0.4">
      <c r="A783">
        <v>782</v>
      </c>
      <c r="B783">
        <v>1</v>
      </c>
      <c r="C783" t="s">
        <v>1545</v>
      </c>
      <c r="D783" t="s">
        <v>18</v>
      </c>
      <c r="E783">
        <v>17</v>
      </c>
      <c r="F783">
        <v>1</v>
      </c>
      <c r="G783">
        <v>0</v>
      </c>
      <c r="H783" t="s">
        <v>1377</v>
      </c>
      <c r="I783">
        <v>57</v>
      </c>
      <c r="J783" t="s">
        <v>1378</v>
      </c>
      <c r="K783" t="s">
        <v>16</v>
      </c>
      <c r="L783">
        <v>1</v>
      </c>
      <c r="R783">
        <f t="shared" si="88"/>
        <v>17</v>
      </c>
      <c r="S783" t="str">
        <f t="shared" si="89"/>
        <v>S</v>
      </c>
      <c r="U783">
        <f t="shared" si="90"/>
        <v>1</v>
      </c>
      <c r="V783">
        <f t="shared" si="92"/>
        <v>1</v>
      </c>
      <c r="W783">
        <f t="shared" si="92"/>
        <v>0</v>
      </c>
      <c r="X783">
        <f t="shared" si="92"/>
        <v>0</v>
      </c>
      <c r="Y783">
        <f t="shared" si="91"/>
        <v>1</v>
      </c>
      <c r="Z783">
        <f t="shared" si="91"/>
        <v>0</v>
      </c>
      <c r="AA783">
        <f t="shared" si="91"/>
        <v>0</v>
      </c>
    </row>
    <row r="784" spans="1:27" x14ac:dyDescent="0.4">
      <c r="A784">
        <v>783</v>
      </c>
      <c r="B784">
        <v>1</v>
      </c>
      <c r="C784" t="s">
        <v>1546</v>
      </c>
      <c r="D784" t="s">
        <v>13</v>
      </c>
      <c r="E784">
        <v>29</v>
      </c>
      <c r="F784">
        <v>0</v>
      </c>
      <c r="G784">
        <v>0</v>
      </c>
      <c r="H784" t="s">
        <v>1547</v>
      </c>
      <c r="I784">
        <v>30</v>
      </c>
      <c r="J784" t="s">
        <v>1548</v>
      </c>
      <c r="K784" t="s">
        <v>16</v>
      </c>
      <c r="L784">
        <v>0</v>
      </c>
      <c r="R784">
        <f t="shared" si="88"/>
        <v>29</v>
      </c>
      <c r="S784" t="str">
        <f t="shared" si="89"/>
        <v>S</v>
      </c>
      <c r="U784">
        <f t="shared" si="90"/>
        <v>0</v>
      </c>
      <c r="V784">
        <f t="shared" si="92"/>
        <v>1</v>
      </c>
      <c r="W784">
        <f t="shared" si="92"/>
        <v>0</v>
      </c>
      <c r="X784">
        <f t="shared" si="92"/>
        <v>0</v>
      </c>
      <c r="Y784">
        <f t="shared" si="91"/>
        <v>1</v>
      </c>
      <c r="Z784">
        <f t="shared" si="91"/>
        <v>0</v>
      </c>
      <c r="AA784">
        <f t="shared" si="91"/>
        <v>0</v>
      </c>
    </row>
    <row r="785" spans="1:27" x14ac:dyDescent="0.4">
      <c r="A785">
        <v>784</v>
      </c>
      <c r="B785">
        <v>3</v>
      </c>
      <c r="C785" t="s">
        <v>1549</v>
      </c>
      <c r="D785" t="s">
        <v>13</v>
      </c>
      <c r="F785">
        <v>1</v>
      </c>
      <c r="G785">
        <v>2</v>
      </c>
      <c r="H785" t="s">
        <v>1550</v>
      </c>
      <c r="I785">
        <v>23.45</v>
      </c>
      <c r="J785" t="s">
        <v>15</v>
      </c>
      <c r="K785" t="s">
        <v>16</v>
      </c>
      <c r="L785">
        <v>0</v>
      </c>
      <c r="R785">
        <f t="shared" si="88"/>
        <v>28</v>
      </c>
      <c r="S785" t="str">
        <f t="shared" si="89"/>
        <v>S</v>
      </c>
      <c r="U785">
        <f t="shared" si="90"/>
        <v>0</v>
      </c>
      <c r="V785">
        <f t="shared" si="92"/>
        <v>0</v>
      </c>
      <c r="W785">
        <f t="shared" si="92"/>
        <v>0</v>
      </c>
      <c r="X785">
        <f t="shared" si="92"/>
        <v>1</v>
      </c>
      <c r="Y785">
        <f t="shared" si="91"/>
        <v>1</v>
      </c>
      <c r="Z785">
        <f t="shared" si="91"/>
        <v>0</v>
      </c>
      <c r="AA785">
        <f t="shared" si="91"/>
        <v>0</v>
      </c>
    </row>
    <row r="786" spans="1:27" x14ac:dyDescent="0.4">
      <c r="A786">
        <v>785</v>
      </c>
      <c r="B786">
        <v>3</v>
      </c>
      <c r="C786" t="s">
        <v>1551</v>
      </c>
      <c r="D786" t="s">
        <v>13</v>
      </c>
      <c r="E786">
        <v>25</v>
      </c>
      <c r="F786">
        <v>0</v>
      </c>
      <c r="G786">
        <v>0</v>
      </c>
      <c r="H786" t="s">
        <v>1552</v>
      </c>
      <c r="I786">
        <v>7.05</v>
      </c>
      <c r="J786" t="s">
        <v>15</v>
      </c>
      <c r="K786" t="s">
        <v>16</v>
      </c>
      <c r="L786">
        <v>0</v>
      </c>
      <c r="R786">
        <f t="shared" si="88"/>
        <v>25</v>
      </c>
      <c r="S786" t="str">
        <f t="shared" si="89"/>
        <v>S</v>
      </c>
      <c r="U786">
        <f t="shared" si="90"/>
        <v>0</v>
      </c>
      <c r="V786">
        <f t="shared" si="92"/>
        <v>0</v>
      </c>
      <c r="W786">
        <f t="shared" si="92"/>
        <v>0</v>
      </c>
      <c r="X786">
        <f t="shared" si="92"/>
        <v>1</v>
      </c>
      <c r="Y786">
        <f t="shared" si="91"/>
        <v>1</v>
      </c>
      <c r="Z786">
        <f t="shared" si="91"/>
        <v>0</v>
      </c>
      <c r="AA786">
        <f t="shared" si="91"/>
        <v>0</v>
      </c>
    </row>
    <row r="787" spans="1:27" x14ac:dyDescent="0.4">
      <c r="A787">
        <v>786</v>
      </c>
      <c r="B787">
        <v>3</v>
      </c>
      <c r="C787" t="s">
        <v>1553</v>
      </c>
      <c r="D787" t="s">
        <v>13</v>
      </c>
      <c r="E787">
        <v>25</v>
      </c>
      <c r="F787">
        <v>0</v>
      </c>
      <c r="G787">
        <v>0</v>
      </c>
      <c r="H787" t="s">
        <v>1554</v>
      </c>
      <c r="I787">
        <v>7.25</v>
      </c>
      <c r="J787" t="s">
        <v>15</v>
      </c>
      <c r="K787" t="s">
        <v>16</v>
      </c>
      <c r="L787">
        <v>0</v>
      </c>
      <c r="R787">
        <f t="shared" si="88"/>
        <v>25</v>
      </c>
      <c r="S787" t="str">
        <f t="shared" si="89"/>
        <v>S</v>
      </c>
      <c r="U787">
        <f t="shared" si="90"/>
        <v>0</v>
      </c>
      <c r="V787">
        <f t="shared" si="92"/>
        <v>0</v>
      </c>
      <c r="W787">
        <f t="shared" si="92"/>
        <v>0</v>
      </c>
      <c r="X787">
        <f t="shared" si="92"/>
        <v>1</v>
      </c>
      <c r="Y787">
        <f t="shared" si="91"/>
        <v>1</v>
      </c>
      <c r="Z787">
        <f t="shared" si="91"/>
        <v>0</v>
      </c>
      <c r="AA787">
        <f t="shared" si="91"/>
        <v>0</v>
      </c>
    </row>
    <row r="788" spans="1:27" x14ac:dyDescent="0.4">
      <c r="A788">
        <v>787</v>
      </c>
      <c r="B788">
        <v>3</v>
      </c>
      <c r="C788" t="s">
        <v>1555</v>
      </c>
      <c r="D788" t="s">
        <v>18</v>
      </c>
      <c r="E788">
        <v>18</v>
      </c>
      <c r="F788">
        <v>0</v>
      </c>
      <c r="G788">
        <v>0</v>
      </c>
      <c r="H788" t="s">
        <v>1556</v>
      </c>
      <c r="I788">
        <v>7.4958</v>
      </c>
      <c r="J788" t="s">
        <v>15</v>
      </c>
      <c r="K788" t="s">
        <v>16</v>
      </c>
      <c r="L788">
        <v>1</v>
      </c>
      <c r="R788">
        <f t="shared" si="88"/>
        <v>18</v>
      </c>
      <c r="S788" t="str">
        <f t="shared" si="89"/>
        <v>S</v>
      </c>
      <c r="U788">
        <f t="shared" si="90"/>
        <v>1</v>
      </c>
      <c r="V788">
        <f t="shared" si="92"/>
        <v>0</v>
      </c>
      <c r="W788">
        <f t="shared" si="92"/>
        <v>0</v>
      </c>
      <c r="X788">
        <f t="shared" si="92"/>
        <v>1</v>
      </c>
      <c r="Y788">
        <f t="shared" si="91"/>
        <v>1</v>
      </c>
      <c r="Z788">
        <f t="shared" si="91"/>
        <v>0</v>
      </c>
      <c r="AA788">
        <f t="shared" si="91"/>
        <v>0</v>
      </c>
    </row>
    <row r="789" spans="1:27" x14ac:dyDescent="0.4">
      <c r="A789">
        <v>788</v>
      </c>
      <c r="B789">
        <v>3</v>
      </c>
      <c r="C789" t="s">
        <v>1557</v>
      </c>
      <c r="D789" t="s">
        <v>13</v>
      </c>
      <c r="E789">
        <v>8</v>
      </c>
      <c r="F789">
        <v>4</v>
      </c>
      <c r="G789">
        <v>1</v>
      </c>
      <c r="H789" t="s">
        <v>56</v>
      </c>
      <c r="I789">
        <v>29.125</v>
      </c>
      <c r="J789" t="s">
        <v>15</v>
      </c>
      <c r="K789" t="s">
        <v>31</v>
      </c>
      <c r="L789">
        <v>0</v>
      </c>
      <c r="R789">
        <f t="shared" si="88"/>
        <v>8</v>
      </c>
      <c r="S789" t="str">
        <f t="shared" si="89"/>
        <v>Q</v>
      </c>
      <c r="U789">
        <f t="shared" si="90"/>
        <v>0</v>
      </c>
      <c r="V789">
        <f t="shared" si="92"/>
        <v>0</v>
      </c>
      <c r="W789">
        <f t="shared" si="92"/>
        <v>0</v>
      </c>
      <c r="X789">
        <f t="shared" si="92"/>
        <v>1</v>
      </c>
      <c r="Y789">
        <f t="shared" si="91"/>
        <v>0</v>
      </c>
      <c r="Z789">
        <f t="shared" si="91"/>
        <v>1</v>
      </c>
      <c r="AA789">
        <f t="shared" si="91"/>
        <v>0</v>
      </c>
    </row>
    <row r="790" spans="1:27" x14ac:dyDescent="0.4">
      <c r="A790">
        <v>789</v>
      </c>
      <c r="B790">
        <v>3</v>
      </c>
      <c r="C790" t="s">
        <v>1558</v>
      </c>
      <c r="D790" t="s">
        <v>13</v>
      </c>
      <c r="E790">
        <v>1</v>
      </c>
      <c r="F790">
        <v>1</v>
      </c>
      <c r="G790">
        <v>2</v>
      </c>
      <c r="H790" t="s">
        <v>219</v>
      </c>
      <c r="I790">
        <v>20.574999999999999</v>
      </c>
      <c r="J790" t="s">
        <v>15</v>
      </c>
      <c r="K790" t="s">
        <v>16</v>
      </c>
      <c r="L790">
        <v>1</v>
      </c>
      <c r="R790">
        <f t="shared" si="88"/>
        <v>1</v>
      </c>
      <c r="S790" t="str">
        <f t="shared" si="89"/>
        <v>S</v>
      </c>
      <c r="U790">
        <f t="shared" si="90"/>
        <v>0</v>
      </c>
      <c r="V790">
        <f t="shared" si="92"/>
        <v>0</v>
      </c>
      <c r="W790">
        <f t="shared" si="92"/>
        <v>0</v>
      </c>
      <c r="X790">
        <f t="shared" si="92"/>
        <v>1</v>
      </c>
      <c r="Y790">
        <f t="shared" si="91"/>
        <v>1</v>
      </c>
      <c r="Z790">
        <f t="shared" si="91"/>
        <v>0</v>
      </c>
      <c r="AA790">
        <f t="shared" si="91"/>
        <v>0</v>
      </c>
    </row>
    <row r="791" spans="1:27" x14ac:dyDescent="0.4">
      <c r="A791">
        <v>790</v>
      </c>
      <c r="B791">
        <v>1</v>
      </c>
      <c r="C791" t="s">
        <v>1559</v>
      </c>
      <c r="D791" t="s">
        <v>13</v>
      </c>
      <c r="E791">
        <v>46</v>
      </c>
      <c r="F791">
        <v>0</v>
      </c>
      <c r="G791">
        <v>0</v>
      </c>
      <c r="H791" t="s">
        <v>312</v>
      </c>
      <c r="I791">
        <v>79.2</v>
      </c>
      <c r="J791" t="s">
        <v>1560</v>
      </c>
      <c r="K791" t="s">
        <v>21</v>
      </c>
      <c r="L791">
        <v>0</v>
      </c>
      <c r="R791">
        <f t="shared" si="88"/>
        <v>46</v>
      </c>
      <c r="S791" t="str">
        <f t="shared" si="89"/>
        <v>C</v>
      </c>
      <c r="U791">
        <f t="shared" si="90"/>
        <v>0</v>
      </c>
      <c r="V791">
        <f t="shared" si="92"/>
        <v>1</v>
      </c>
      <c r="W791">
        <f t="shared" si="92"/>
        <v>0</v>
      </c>
      <c r="X791">
        <f t="shared" si="92"/>
        <v>0</v>
      </c>
      <c r="Y791">
        <f t="shared" si="91"/>
        <v>0</v>
      </c>
      <c r="Z791">
        <f t="shared" si="91"/>
        <v>0</v>
      </c>
      <c r="AA791">
        <f t="shared" si="91"/>
        <v>1</v>
      </c>
    </row>
    <row r="792" spans="1:27" x14ac:dyDescent="0.4">
      <c r="A792">
        <v>791</v>
      </c>
      <c r="B792">
        <v>3</v>
      </c>
      <c r="C792" t="s">
        <v>1561</v>
      </c>
      <c r="D792" t="s">
        <v>13</v>
      </c>
      <c r="F792">
        <v>0</v>
      </c>
      <c r="G792">
        <v>0</v>
      </c>
      <c r="H792" t="s">
        <v>1562</v>
      </c>
      <c r="I792">
        <v>7.75</v>
      </c>
      <c r="J792" t="s">
        <v>15</v>
      </c>
      <c r="K792" t="s">
        <v>31</v>
      </c>
      <c r="L792">
        <v>0</v>
      </c>
      <c r="R792">
        <f t="shared" si="88"/>
        <v>28</v>
      </c>
      <c r="S792" t="str">
        <f t="shared" si="89"/>
        <v>Q</v>
      </c>
      <c r="U792">
        <f t="shared" si="90"/>
        <v>0</v>
      </c>
      <c r="V792">
        <f t="shared" si="92"/>
        <v>0</v>
      </c>
      <c r="W792">
        <f t="shared" si="92"/>
        <v>0</v>
      </c>
      <c r="X792">
        <f t="shared" si="92"/>
        <v>1</v>
      </c>
      <c r="Y792">
        <f t="shared" si="91"/>
        <v>0</v>
      </c>
      <c r="Z792">
        <f t="shared" si="91"/>
        <v>1</v>
      </c>
      <c r="AA792">
        <f t="shared" si="91"/>
        <v>0</v>
      </c>
    </row>
    <row r="793" spans="1:27" x14ac:dyDescent="0.4">
      <c r="A793">
        <v>792</v>
      </c>
      <c r="B793">
        <v>2</v>
      </c>
      <c r="C793" t="s">
        <v>1563</v>
      </c>
      <c r="D793" t="s">
        <v>13</v>
      </c>
      <c r="E793">
        <v>16</v>
      </c>
      <c r="F793">
        <v>0</v>
      </c>
      <c r="G793">
        <v>0</v>
      </c>
      <c r="H793" t="s">
        <v>64</v>
      </c>
      <c r="I793">
        <v>26</v>
      </c>
      <c r="J793" t="s">
        <v>15</v>
      </c>
      <c r="K793" t="s">
        <v>16</v>
      </c>
      <c r="L793">
        <v>0</v>
      </c>
      <c r="R793">
        <f t="shared" si="88"/>
        <v>16</v>
      </c>
      <c r="S793" t="str">
        <f t="shared" si="89"/>
        <v>S</v>
      </c>
      <c r="U793">
        <f t="shared" si="90"/>
        <v>0</v>
      </c>
      <c r="V793">
        <f t="shared" si="92"/>
        <v>0</v>
      </c>
      <c r="W793">
        <f t="shared" si="92"/>
        <v>1</v>
      </c>
      <c r="X793">
        <f t="shared" si="92"/>
        <v>0</v>
      </c>
      <c r="Y793">
        <f t="shared" si="91"/>
        <v>1</v>
      </c>
      <c r="Z793">
        <f t="shared" si="91"/>
        <v>0</v>
      </c>
      <c r="AA793">
        <f t="shared" si="91"/>
        <v>0</v>
      </c>
    </row>
    <row r="794" spans="1:27" x14ac:dyDescent="0.4">
      <c r="A794">
        <v>793</v>
      </c>
      <c r="B794">
        <v>3</v>
      </c>
      <c r="C794" t="s">
        <v>1564</v>
      </c>
      <c r="D794" t="s">
        <v>18</v>
      </c>
      <c r="F794">
        <v>8</v>
      </c>
      <c r="G794">
        <v>2</v>
      </c>
      <c r="H794" t="s">
        <v>354</v>
      </c>
      <c r="I794">
        <v>69.55</v>
      </c>
      <c r="J794" t="s">
        <v>15</v>
      </c>
      <c r="K794" t="s">
        <v>16</v>
      </c>
      <c r="L794">
        <v>0</v>
      </c>
      <c r="R794">
        <f t="shared" si="88"/>
        <v>28</v>
      </c>
      <c r="S794" t="str">
        <f t="shared" si="89"/>
        <v>S</v>
      </c>
      <c r="U794">
        <f t="shared" si="90"/>
        <v>1</v>
      </c>
      <c r="V794">
        <f t="shared" si="92"/>
        <v>0</v>
      </c>
      <c r="W794">
        <f t="shared" si="92"/>
        <v>0</v>
      </c>
      <c r="X794">
        <f t="shared" si="92"/>
        <v>1</v>
      </c>
      <c r="Y794">
        <f t="shared" si="91"/>
        <v>1</v>
      </c>
      <c r="Z794">
        <f t="shared" si="91"/>
        <v>0</v>
      </c>
      <c r="AA794">
        <f t="shared" si="91"/>
        <v>0</v>
      </c>
    </row>
    <row r="795" spans="1:27" x14ac:dyDescent="0.4">
      <c r="A795">
        <v>794</v>
      </c>
      <c r="B795">
        <v>1</v>
      </c>
      <c r="C795" t="s">
        <v>1565</v>
      </c>
      <c r="D795" t="s">
        <v>13</v>
      </c>
      <c r="F795">
        <v>0</v>
      </c>
      <c r="G795">
        <v>0</v>
      </c>
      <c r="H795" t="s">
        <v>1566</v>
      </c>
      <c r="I795">
        <v>30.695799999999998</v>
      </c>
      <c r="J795" t="s">
        <v>15</v>
      </c>
      <c r="K795" t="s">
        <v>21</v>
      </c>
      <c r="L795">
        <v>0</v>
      </c>
      <c r="R795">
        <f t="shared" si="88"/>
        <v>28</v>
      </c>
      <c r="S795" t="str">
        <f t="shared" si="89"/>
        <v>C</v>
      </c>
      <c r="U795">
        <f t="shared" si="90"/>
        <v>0</v>
      </c>
      <c r="V795">
        <f t="shared" si="92"/>
        <v>1</v>
      </c>
      <c r="W795">
        <f t="shared" si="92"/>
        <v>0</v>
      </c>
      <c r="X795">
        <f t="shared" si="92"/>
        <v>0</v>
      </c>
      <c r="Y795">
        <f t="shared" si="91"/>
        <v>0</v>
      </c>
      <c r="Z795">
        <f t="shared" si="91"/>
        <v>0</v>
      </c>
      <c r="AA795">
        <f t="shared" si="91"/>
        <v>1</v>
      </c>
    </row>
    <row r="796" spans="1:27" x14ac:dyDescent="0.4">
      <c r="A796">
        <v>795</v>
      </c>
      <c r="B796">
        <v>3</v>
      </c>
      <c r="C796" t="s">
        <v>1567</v>
      </c>
      <c r="D796" t="s">
        <v>13</v>
      </c>
      <c r="E796">
        <v>25</v>
      </c>
      <c r="F796">
        <v>0</v>
      </c>
      <c r="G796">
        <v>0</v>
      </c>
      <c r="H796" t="s">
        <v>1568</v>
      </c>
      <c r="I796">
        <v>7.8958000000000004</v>
      </c>
      <c r="J796" t="s">
        <v>15</v>
      </c>
      <c r="K796" t="s">
        <v>16</v>
      </c>
      <c r="L796">
        <v>0</v>
      </c>
      <c r="R796">
        <f t="shared" si="88"/>
        <v>25</v>
      </c>
      <c r="S796" t="str">
        <f t="shared" si="89"/>
        <v>S</v>
      </c>
      <c r="U796">
        <f t="shared" si="90"/>
        <v>0</v>
      </c>
      <c r="V796">
        <f t="shared" si="92"/>
        <v>0</v>
      </c>
      <c r="W796">
        <f t="shared" si="92"/>
        <v>0</v>
      </c>
      <c r="X796">
        <f t="shared" si="92"/>
        <v>1</v>
      </c>
      <c r="Y796">
        <f t="shared" si="91"/>
        <v>1</v>
      </c>
      <c r="Z796">
        <f t="shared" si="91"/>
        <v>0</v>
      </c>
      <c r="AA796">
        <f t="shared" si="91"/>
        <v>0</v>
      </c>
    </row>
    <row r="797" spans="1:27" x14ac:dyDescent="0.4">
      <c r="A797">
        <v>796</v>
      </c>
      <c r="B797">
        <v>2</v>
      </c>
      <c r="C797" t="s">
        <v>1569</v>
      </c>
      <c r="D797" t="s">
        <v>13</v>
      </c>
      <c r="E797">
        <v>39</v>
      </c>
      <c r="F797">
        <v>0</v>
      </c>
      <c r="G797">
        <v>0</v>
      </c>
      <c r="H797" t="s">
        <v>1570</v>
      </c>
      <c r="I797">
        <v>13</v>
      </c>
      <c r="J797" t="s">
        <v>15</v>
      </c>
      <c r="K797" t="s">
        <v>16</v>
      </c>
      <c r="L797">
        <v>0</v>
      </c>
      <c r="R797">
        <f t="shared" si="88"/>
        <v>39</v>
      </c>
      <c r="S797" t="str">
        <f t="shared" si="89"/>
        <v>S</v>
      </c>
      <c r="U797">
        <f t="shared" si="90"/>
        <v>0</v>
      </c>
      <c r="V797">
        <f t="shared" si="92"/>
        <v>0</v>
      </c>
      <c r="W797">
        <f t="shared" si="92"/>
        <v>1</v>
      </c>
      <c r="X797">
        <f t="shared" si="92"/>
        <v>0</v>
      </c>
      <c r="Y797">
        <f t="shared" si="91"/>
        <v>1</v>
      </c>
      <c r="Z797">
        <f t="shared" si="91"/>
        <v>0</v>
      </c>
      <c r="AA797">
        <f t="shared" si="91"/>
        <v>0</v>
      </c>
    </row>
    <row r="798" spans="1:27" x14ac:dyDescent="0.4">
      <c r="A798">
        <v>797</v>
      </c>
      <c r="B798">
        <v>1</v>
      </c>
      <c r="C798" t="s">
        <v>1571</v>
      </c>
      <c r="D798" t="s">
        <v>18</v>
      </c>
      <c r="E798">
        <v>49</v>
      </c>
      <c r="F798">
        <v>0</v>
      </c>
      <c r="G798">
        <v>0</v>
      </c>
      <c r="H798" t="s">
        <v>1572</v>
      </c>
      <c r="I798">
        <v>25.929200000000002</v>
      </c>
      <c r="J798" t="s">
        <v>1573</v>
      </c>
      <c r="K798" t="s">
        <v>16</v>
      </c>
      <c r="L798">
        <v>1</v>
      </c>
      <c r="R798">
        <f t="shared" si="88"/>
        <v>49</v>
      </c>
      <c r="S798" t="str">
        <f t="shared" si="89"/>
        <v>S</v>
      </c>
      <c r="U798">
        <f t="shared" si="90"/>
        <v>1</v>
      </c>
      <c r="V798">
        <f t="shared" si="92"/>
        <v>1</v>
      </c>
      <c r="W798">
        <f t="shared" si="92"/>
        <v>0</v>
      </c>
      <c r="X798">
        <f t="shared" si="92"/>
        <v>0</v>
      </c>
      <c r="Y798">
        <f t="shared" si="91"/>
        <v>1</v>
      </c>
      <c r="Z798">
        <f t="shared" si="91"/>
        <v>0</v>
      </c>
      <c r="AA798">
        <f t="shared" si="91"/>
        <v>0</v>
      </c>
    </row>
    <row r="799" spans="1:27" x14ac:dyDescent="0.4">
      <c r="A799">
        <v>798</v>
      </c>
      <c r="B799">
        <v>3</v>
      </c>
      <c r="C799" t="s">
        <v>1574</v>
      </c>
      <c r="D799" t="s">
        <v>18</v>
      </c>
      <c r="E799">
        <v>31</v>
      </c>
      <c r="F799">
        <v>0</v>
      </c>
      <c r="G799">
        <v>0</v>
      </c>
      <c r="H799" t="s">
        <v>1575</v>
      </c>
      <c r="I799">
        <v>8.6832999999999991</v>
      </c>
      <c r="J799" t="s">
        <v>15</v>
      </c>
      <c r="K799" t="s">
        <v>16</v>
      </c>
      <c r="L799">
        <v>1</v>
      </c>
      <c r="R799">
        <f t="shared" si="88"/>
        <v>31</v>
      </c>
      <c r="S799" t="str">
        <f t="shared" si="89"/>
        <v>S</v>
      </c>
      <c r="U799">
        <f t="shared" si="90"/>
        <v>1</v>
      </c>
      <c r="V799">
        <f t="shared" si="92"/>
        <v>0</v>
      </c>
      <c r="W799">
        <f t="shared" si="92"/>
        <v>0</v>
      </c>
      <c r="X799">
        <f t="shared" si="92"/>
        <v>1</v>
      </c>
      <c r="Y799">
        <f t="shared" si="91"/>
        <v>1</v>
      </c>
      <c r="Z799">
        <f t="shared" si="91"/>
        <v>0</v>
      </c>
      <c r="AA799">
        <f t="shared" si="91"/>
        <v>0</v>
      </c>
    </row>
    <row r="800" spans="1:27" x14ac:dyDescent="0.4">
      <c r="A800">
        <v>799</v>
      </c>
      <c r="B800">
        <v>3</v>
      </c>
      <c r="C800" t="s">
        <v>1576</v>
      </c>
      <c r="D800" t="s">
        <v>13</v>
      </c>
      <c r="E800">
        <v>30</v>
      </c>
      <c r="F800">
        <v>0</v>
      </c>
      <c r="G800">
        <v>0</v>
      </c>
      <c r="H800" t="s">
        <v>1577</v>
      </c>
      <c r="I800">
        <v>7.2291999999999996</v>
      </c>
      <c r="J800" t="s">
        <v>15</v>
      </c>
      <c r="K800" t="s">
        <v>21</v>
      </c>
      <c r="L800">
        <v>0</v>
      </c>
      <c r="R800">
        <f t="shared" si="88"/>
        <v>30</v>
      </c>
      <c r="S800" t="str">
        <f t="shared" si="89"/>
        <v>C</v>
      </c>
      <c r="U800">
        <f t="shared" si="90"/>
        <v>0</v>
      </c>
      <c r="V800">
        <f t="shared" si="92"/>
        <v>0</v>
      </c>
      <c r="W800">
        <f t="shared" si="92"/>
        <v>0</v>
      </c>
      <c r="X800">
        <f t="shared" si="92"/>
        <v>1</v>
      </c>
      <c r="Y800">
        <f t="shared" si="91"/>
        <v>0</v>
      </c>
      <c r="Z800">
        <f t="shared" si="91"/>
        <v>0</v>
      </c>
      <c r="AA800">
        <f t="shared" si="91"/>
        <v>1</v>
      </c>
    </row>
    <row r="801" spans="1:27" x14ac:dyDescent="0.4">
      <c r="A801">
        <v>800</v>
      </c>
      <c r="B801">
        <v>3</v>
      </c>
      <c r="C801" t="s">
        <v>1578</v>
      </c>
      <c r="D801" t="s">
        <v>18</v>
      </c>
      <c r="E801">
        <v>30</v>
      </c>
      <c r="F801">
        <v>1</v>
      </c>
      <c r="G801">
        <v>1</v>
      </c>
      <c r="H801" t="s">
        <v>868</v>
      </c>
      <c r="I801">
        <v>24.15</v>
      </c>
      <c r="J801" t="s">
        <v>15</v>
      </c>
      <c r="K801" t="s">
        <v>16</v>
      </c>
      <c r="L801">
        <v>0</v>
      </c>
      <c r="R801">
        <f t="shared" si="88"/>
        <v>30</v>
      </c>
      <c r="S801" t="str">
        <f t="shared" si="89"/>
        <v>S</v>
      </c>
      <c r="U801">
        <f t="shared" si="90"/>
        <v>1</v>
      </c>
      <c r="V801">
        <f t="shared" si="92"/>
        <v>0</v>
      </c>
      <c r="W801">
        <f t="shared" si="92"/>
        <v>0</v>
      </c>
      <c r="X801">
        <f t="shared" si="92"/>
        <v>1</v>
      </c>
      <c r="Y801">
        <f t="shared" si="91"/>
        <v>1</v>
      </c>
      <c r="Z801">
        <f t="shared" si="91"/>
        <v>0</v>
      </c>
      <c r="AA801">
        <f t="shared" si="91"/>
        <v>0</v>
      </c>
    </row>
    <row r="802" spans="1:27" x14ac:dyDescent="0.4">
      <c r="A802">
        <v>801</v>
      </c>
      <c r="B802">
        <v>2</v>
      </c>
      <c r="C802" t="s">
        <v>1579</v>
      </c>
      <c r="D802" t="s">
        <v>13</v>
      </c>
      <c r="E802">
        <v>34</v>
      </c>
      <c r="F802">
        <v>0</v>
      </c>
      <c r="G802">
        <v>0</v>
      </c>
      <c r="H802" t="s">
        <v>1422</v>
      </c>
      <c r="I802">
        <v>13</v>
      </c>
      <c r="J802" t="s">
        <v>15</v>
      </c>
      <c r="K802" t="s">
        <v>16</v>
      </c>
      <c r="L802">
        <v>0</v>
      </c>
      <c r="R802">
        <f t="shared" si="88"/>
        <v>34</v>
      </c>
      <c r="S802" t="str">
        <f t="shared" si="89"/>
        <v>S</v>
      </c>
      <c r="U802">
        <f t="shared" si="90"/>
        <v>0</v>
      </c>
      <c r="V802">
        <f t="shared" ref="V802:X821" si="93">IF("Pclass_"&amp;$B802=V$1,1,0)</f>
        <v>0</v>
      </c>
      <c r="W802">
        <f t="shared" si="93"/>
        <v>1</v>
      </c>
      <c r="X802">
        <f t="shared" si="93"/>
        <v>0</v>
      </c>
      <c r="Y802">
        <f t="shared" si="91"/>
        <v>1</v>
      </c>
      <c r="Z802">
        <f t="shared" si="91"/>
        <v>0</v>
      </c>
      <c r="AA802">
        <f t="shared" si="91"/>
        <v>0</v>
      </c>
    </row>
    <row r="803" spans="1:27" x14ac:dyDescent="0.4">
      <c r="A803">
        <v>802</v>
      </c>
      <c r="B803">
        <v>2</v>
      </c>
      <c r="C803" t="s">
        <v>1580</v>
      </c>
      <c r="D803" t="s">
        <v>18</v>
      </c>
      <c r="E803">
        <v>31</v>
      </c>
      <c r="F803">
        <v>1</v>
      </c>
      <c r="G803">
        <v>1</v>
      </c>
      <c r="H803" t="s">
        <v>508</v>
      </c>
      <c r="I803">
        <v>26.25</v>
      </c>
      <c r="J803" t="s">
        <v>15</v>
      </c>
      <c r="K803" t="s">
        <v>16</v>
      </c>
      <c r="L803">
        <v>1</v>
      </c>
      <c r="R803">
        <f t="shared" si="88"/>
        <v>31</v>
      </c>
      <c r="S803" t="str">
        <f t="shared" si="89"/>
        <v>S</v>
      </c>
      <c r="U803">
        <f t="shared" si="90"/>
        <v>1</v>
      </c>
      <c r="V803">
        <f t="shared" si="93"/>
        <v>0</v>
      </c>
      <c r="W803">
        <f t="shared" si="93"/>
        <v>1</v>
      </c>
      <c r="X803">
        <f t="shared" si="93"/>
        <v>0</v>
      </c>
      <c r="Y803">
        <f t="shared" si="91"/>
        <v>1</v>
      </c>
      <c r="Z803">
        <f t="shared" si="91"/>
        <v>0</v>
      </c>
      <c r="AA803">
        <f t="shared" si="91"/>
        <v>0</v>
      </c>
    </row>
    <row r="804" spans="1:27" x14ac:dyDescent="0.4">
      <c r="A804">
        <v>803</v>
      </c>
      <c r="B804">
        <v>1</v>
      </c>
      <c r="C804" t="s">
        <v>1581</v>
      </c>
      <c r="D804" t="s">
        <v>13</v>
      </c>
      <c r="E804">
        <v>11</v>
      </c>
      <c r="F804">
        <v>1</v>
      </c>
      <c r="G804">
        <v>2</v>
      </c>
      <c r="H804" t="s">
        <v>815</v>
      </c>
      <c r="I804">
        <v>120</v>
      </c>
      <c r="J804" t="s">
        <v>816</v>
      </c>
      <c r="K804" t="s">
        <v>16</v>
      </c>
      <c r="L804">
        <v>1</v>
      </c>
      <c r="R804">
        <f t="shared" si="88"/>
        <v>11</v>
      </c>
      <c r="S804" t="str">
        <f t="shared" si="89"/>
        <v>S</v>
      </c>
      <c r="U804">
        <f t="shared" si="90"/>
        <v>0</v>
      </c>
      <c r="V804">
        <f t="shared" si="93"/>
        <v>1</v>
      </c>
      <c r="W804">
        <f t="shared" si="93"/>
        <v>0</v>
      </c>
      <c r="X804">
        <f t="shared" si="93"/>
        <v>0</v>
      </c>
      <c r="Y804">
        <f t="shared" si="91"/>
        <v>1</v>
      </c>
      <c r="Z804">
        <f t="shared" si="91"/>
        <v>0</v>
      </c>
      <c r="AA804">
        <f t="shared" si="91"/>
        <v>0</v>
      </c>
    </row>
    <row r="805" spans="1:27" x14ac:dyDescent="0.4">
      <c r="A805">
        <v>804</v>
      </c>
      <c r="B805">
        <v>3</v>
      </c>
      <c r="C805" t="s">
        <v>1582</v>
      </c>
      <c r="D805" t="s">
        <v>13</v>
      </c>
      <c r="E805">
        <v>0.42</v>
      </c>
      <c r="F805">
        <v>0</v>
      </c>
      <c r="G805">
        <v>1</v>
      </c>
      <c r="H805" t="s">
        <v>1583</v>
      </c>
      <c r="I805">
        <v>8.5167000000000002</v>
      </c>
      <c r="J805" t="s">
        <v>15</v>
      </c>
      <c r="K805" t="s">
        <v>21</v>
      </c>
      <c r="L805">
        <v>1</v>
      </c>
      <c r="R805">
        <f t="shared" si="88"/>
        <v>0.42</v>
      </c>
      <c r="S805" t="str">
        <f t="shared" si="89"/>
        <v>C</v>
      </c>
      <c r="U805">
        <f t="shared" si="90"/>
        <v>0</v>
      </c>
      <c r="V805">
        <f t="shared" si="93"/>
        <v>0</v>
      </c>
      <c r="W805">
        <f t="shared" si="93"/>
        <v>0</v>
      </c>
      <c r="X805">
        <f t="shared" si="93"/>
        <v>1</v>
      </c>
      <c r="Y805">
        <f t="shared" si="91"/>
        <v>0</v>
      </c>
      <c r="Z805">
        <f t="shared" si="91"/>
        <v>0</v>
      </c>
      <c r="AA805">
        <f t="shared" si="91"/>
        <v>1</v>
      </c>
    </row>
    <row r="806" spans="1:27" x14ac:dyDescent="0.4">
      <c r="A806">
        <v>805</v>
      </c>
      <c r="B806">
        <v>3</v>
      </c>
      <c r="C806" t="s">
        <v>1584</v>
      </c>
      <c r="D806" t="s">
        <v>13</v>
      </c>
      <c r="E806">
        <v>27</v>
      </c>
      <c r="F806">
        <v>0</v>
      </c>
      <c r="G806">
        <v>0</v>
      </c>
      <c r="H806" t="s">
        <v>1585</v>
      </c>
      <c r="I806">
        <v>6.9749999999999996</v>
      </c>
      <c r="J806" t="s">
        <v>15</v>
      </c>
      <c r="K806" t="s">
        <v>16</v>
      </c>
      <c r="L806">
        <v>1</v>
      </c>
      <c r="R806">
        <f t="shared" si="88"/>
        <v>27</v>
      </c>
      <c r="S806" t="str">
        <f t="shared" si="89"/>
        <v>S</v>
      </c>
      <c r="U806">
        <f t="shared" si="90"/>
        <v>0</v>
      </c>
      <c r="V806">
        <f t="shared" si="93"/>
        <v>0</v>
      </c>
      <c r="W806">
        <f t="shared" si="93"/>
        <v>0</v>
      </c>
      <c r="X806">
        <f t="shared" si="93"/>
        <v>1</v>
      </c>
      <c r="Y806">
        <f t="shared" si="91"/>
        <v>1</v>
      </c>
      <c r="Z806">
        <f t="shared" si="91"/>
        <v>0</v>
      </c>
      <c r="AA806">
        <f t="shared" si="91"/>
        <v>0</v>
      </c>
    </row>
    <row r="807" spans="1:27" x14ac:dyDescent="0.4">
      <c r="A807">
        <v>806</v>
      </c>
      <c r="B807">
        <v>3</v>
      </c>
      <c r="C807" t="s">
        <v>1586</v>
      </c>
      <c r="D807" t="s">
        <v>13</v>
      </c>
      <c r="E807">
        <v>31</v>
      </c>
      <c r="F807">
        <v>0</v>
      </c>
      <c r="G807">
        <v>0</v>
      </c>
      <c r="H807" t="s">
        <v>1587</v>
      </c>
      <c r="I807">
        <v>7.7750000000000004</v>
      </c>
      <c r="J807" t="s">
        <v>15</v>
      </c>
      <c r="K807" t="s">
        <v>16</v>
      </c>
      <c r="L807">
        <v>0</v>
      </c>
      <c r="R807">
        <f t="shared" si="88"/>
        <v>31</v>
      </c>
      <c r="S807" t="str">
        <f t="shared" si="89"/>
        <v>S</v>
      </c>
      <c r="U807">
        <f t="shared" si="90"/>
        <v>0</v>
      </c>
      <c r="V807">
        <f t="shared" si="93"/>
        <v>0</v>
      </c>
      <c r="W807">
        <f t="shared" si="93"/>
        <v>0</v>
      </c>
      <c r="X807">
        <f t="shared" si="93"/>
        <v>1</v>
      </c>
      <c r="Y807">
        <f t="shared" si="91"/>
        <v>1</v>
      </c>
      <c r="Z807">
        <f t="shared" si="91"/>
        <v>0</v>
      </c>
      <c r="AA807">
        <f t="shared" si="91"/>
        <v>0</v>
      </c>
    </row>
    <row r="808" spans="1:27" x14ac:dyDescent="0.4">
      <c r="A808">
        <v>807</v>
      </c>
      <c r="B808">
        <v>1</v>
      </c>
      <c r="C808" t="s">
        <v>1588</v>
      </c>
      <c r="D808" t="s">
        <v>13</v>
      </c>
      <c r="E808">
        <v>39</v>
      </c>
      <c r="F808">
        <v>0</v>
      </c>
      <c r="G808">
        <v>0</v>
      </c>
      <c r="H808" t="s">
        <v>1589</v>
      </c>
      <c r="I808">
        <v>0</v>
      </c>
      <c r="J808" t="s">
        <v>1590</v>
      </c>
      <c r="K808" t="s">
        <v>16</v>
      </c>
      <c r="L808">
        <v>0</v>
      </c>
      <c r="R808">
        <f t="shared" si="88"/>
        <v>39</v>
      </c>
      <c r="S808" t="str">
        <f t="shared" si="89"/>
        <v>S</v>
      </c>
      <c r="U808">
        <f t="shared" si="90"/>
        <v>0</v>
      </c>
      <c r="V808">
        <f t="shared" si="93"/>
        <v>1</v>
      </c>
      <c r="W808">
        <f t="shared" si="93"/>
        <v>0</v>
      </c>
      <c r="X808">
        <f t="shared" si="93"/>
        <v>0</v>
      </c>
      <c r="Y808">
        <f t="shared" si="91"/>
        <v>1</v>
      </c>
      <c r="Z808">
        <f t="shared" si="91"/>
        <v>0</v>
      </c>
      <c r="AA808">
        <f t="shared" si="91"/>
        <v>0</v>
      </c>
    </row>
    <row r="809" spans="1:27" x14ac:dyDescent="0.4">
      <c r="A809">
        <v>808</v>
      </c>
      <c r="B809">
        <v>3</v>
      </c>
      <c r="C809" t="s">
        <v>1591</v>
      </c>
      <c r="D809" t="s">
        <v>18</v>
      </c>
      <c r="E809">
        <v>18</v>
      </c>
      <c r="F809">
        <v>0</v>
      </c>
      <c r="G809">
        <v>0</v>
      </c>
      <c r="H809" t="s">
        <v>1592</v>
      </c>
      <c r="I809">
        <v>7.7750000000000004</v>
      </c>
      <c r="J809" t="s">
        <v>15</v>
      </c>
      <c r="K809" t="s">
        <v>16</v>
      </c>
      <c r="L809">
        <v>0</v>
      </c>
      <c r="R809">
        <f t="shared" si="88"/>
        <v>18</v>
      </c>
      <c r="S809" t="str">
        <f t="shared" si="89"/>
        <v>S</v>
      </c>
      <c r="U809">
        <f t="shared" si="90"/>
        <v>1</v>
      </c>
      <c r="V809">
        <f t="shared" si="93"/>
        <v>0</v>
      </c>
      <c r="W809">
        <f t="shared" si="93"/>
        <v>0</v>
      </c>
      <c r="X809">
        <f t="shared" si="93"/>
        <v>1</v>
      </c>
      <c r="Y809">
        <f t="shared" si="91"/>
        <v>1</v>
      </c>
      <c r="Z809">
        <f t="shared" si="91"/>
        <v>0</v>
      </c>
      <c r="AA809">
        <f t="shared" si="91"/>
        <v>0</v>
      </c>
    </row>
    <row r="810" spans="1:27" x14ac:dyDescent="0.4">
      <c r="A810">
        <v>809</v>
      </c>
      <c r="B810">
        <v>2</v>
      </c>
      <c r="C810" t="s">
        <v>1593</v>
      </c>
      <c r="D810" t="s">
        <v>13</v>
      </c>
      <c r="E810">
        <v>39</v>
      </c>
      <c r="F810">
        <v>0</v>
      </c>
      <c r="G810">
        <v>0</v>
      </c>
      <c r="H810" t="s">
        <v>1594</v>
      </c>
      <c r="I810">
        <v>13</v>
      </c>
      <c r="J810" t="s">
        <v>15</v>
      </c>
      <c r="K810" t="s">
        <v>16</v>
      </c>
      <c r="L810">
        <v>0</v>
      </c>
      <c r="R810">
        <f t="shared" si="88"/>
        <v>39</v>
      </c>
      <c r="S810" t="str">
        <f t="shared" si="89"/>
        <v>S</v>
      </c>
      <c r="U810">
        <f t="shared" si="90"/>
        <v>0</v>
      </c>
      <c r="V810">
        <f t="shared" si="93"/>
        <v>0</v>
      </c>
      <c r="W810">
        <f t="shared" si="93"/>
        <v>1</v>
      </c>
      <c r="X810">
        <f t="shared" si="93"/>
        <v>0</v>
      </c>
      <c r="Y810">
        <f t="shared" si="91"/>
        <v>1</v>
      </c>
      <c r="Z810">
        <f t="shared" si="91"/>
        <v>0</v>
      </c>
      <c r="AA810">
        <f t="shared" si="91"/>
        <v>0</v>
      </c>
    </row>
    <row r="811" spans="1:27" x14ac:dyDescent="0.4">
      <c r="A811">
        <v>810</v>
      </c>
      <c r="B811">
        <v>1</v>
      </c>
      <c r="C811" t="s">
        <v>1595</v>
      </c>
      <c r="D811" t="s">
        <v>18</v>
      </c>
      <c r="E811">
        <v>33</v>
      </c>
      <c r="F811">
        <v>1</v>
      </c>
      <c r="G811">
        <v>0</v>
      </c>
      <c r="H811" t="s">
        <v>1441</v>
      </c>
      <c r="I811">
        <v>53.1</v>
      </c>
      <c r="J811" t="s">
        <v>1442</v>
      </c>
      <c r="K811" t="s">
        <v>16</v>
      </c>
      <c r="L811">
        <v>1</v>
      </c>
      <c r="R811">
        <f t="shared" si="88"/>
        <v>33</v>
      </c>
      <c r="S811" t="str">
        <f t="shared" si="89"/>
        <v>S</v>
      </c>
      <c r="U811">
        <f t="shared" si="90"/>
        <v>1</v>
      </c>
      <c r="V811">
        <f t="shared" si="93"/>
        <v>1</v>
      </c>
      <c r="W811">
        <f t="shared" si="93"/>
        <v>0</v>
      </c>
      <c r="X811">
        <f t="shared" si="93"/>
        <v>0</v>
      </c>
      <c r="Y811">
        <f t="shared" si="91"/>
        <v>1</v>
      </c>
      <c r="Z811">
        <f t="shared" si="91"/>
        <v>0</v>
      </c>
      <c r="AA811">
        <f t="shared" si="91"/>
        <v>0</v>
      </c>
    </row>
    <row r="812" spans="1:27" x14ac:dyDescent="0.4">
      <c r="A812">
        <v>811</v>
      </c>
      <c r="B812">
        <v>3</v>
      </c>
      <c r="C812" t="s">
        <v>1596</v>
      </c>
      <c r="D812" t="s">
        <v>13</v>
      </c>
      <c r="E812">
        <v>26</v>
      </c>
      <c r="F812">
        <v>0</v>
      </c>
      <c r="G812">
        <v>0</v>
      </c>
      <c r="H812" t="s">
        <v>1597</v>
      </c>
      <c r="I812">
        <v>7.8875000000000002</v>
      </c>
      <c r="J812" t="s">
        <v>15</v>
      </c>
      <c r="K812" t="s">
        <v>16</v>
      </c>
      <c r="L812">
        <v>0</v>
      </c>
      <c r="R812">
        <f t="shared" si="88"/>
        <v>26</v>
      </c>
      <c r="S812" t="str">
        <f t="shared" si="89"/>
        <v>S</v>
      </c>
      <c r="U812">
        <f t="shared" si="90"/>
        <v>0</v>
      </c>
      <c r="V812">
        <f t="shared" si="93"/>
        <v>0</v>
      </c>
      <c r="W812">
        <f t="shared" si="93"/>
        <v>0</v>
      </c>
      <c r="X812">
        <f t="shared" si="93"/>
        <v>1</v>
      </c>
      <c r="Y812">
        <f t="shared" si="91"/>
        <v>1</v>
      </c>
      <c r="Z812">
        <f t="shared" si="91"/>
        <v>0</v>
      </c>
      <c r="AA812">
        <f t="shared" si="91"/>
        <v>0</v>
      </c>
    </row>
    <row r="813" spans="1:27" x14ac:dyDescent="0.4">
      <c r="A813">
        <v>812</v>
      </c>
      <c r="B813">
        <v>3</v>
      </c>
      <c r="C813" t="s">
        <v>1598</v>
      </c>
      <c r="D813" t="s">
        <v>13</v>
      </c>
      <c r="E813">
        <v>39</v>
      </c>
      <c r="F813">
        <v>0</v>
      </c>
      <c r="G813">
        <v>0</v>
      </c>
      <c r="H813" t="s">
        <v>1149</v>
      </c>
      <c r="I813">
        <v>24.15</v>
      </c>
      <c r="J813" t="s">
        <v>15</v>
      </c>
      <c r="K813" t="s">
        <v>16</v>
      </c>
      <c r="L813">
        <v>0</v>
      </c>
      <c r="R813">
        <f t="shared" si="88"/>
        <v>39</v>
      </c>
      <c r="S813" t="str">
        <f t="shared" si="89"/>
        <v>S</v>
      </c>
      <c r="U813">
        <f t="shared" si="90"/>
        <v>0</v>
      </c>
      <c r="V813">
        <f t="shared" si="93"/>
        <v>0</v>
      </c>
      <c r="W813">
        <f t="shared" si="93"/>
        <v>0</v>
      </c>
      <c r="X813">
        <f t="shared" si="93"/>
        <v>1</v>
      </c>
      <c r="Y813">
        <f t="shared" si="91"/>
        <v>1</v>
      </c>
      <c r="Z813">
        <f t="shared" si="91"/>
        <v>0</v>
      </c>
      <c r="AA813">
        <f t="shared" si="91"/>
        <v>0</v>
      </c>
    </row>
    <row r="814" spans="1:27" x14ac:dyDescent="0.4">
      <c r="A814">
        <v>813</v>
      </c>
      <c r="B814">
        <v>2</v>
      </c>
      <c r="C814" t="s">
        <v>1599</v>
      </c>
      <c r="D814" t="s">
        <v>13</v>
      </c>
      <c r="E814">
        <v>35</v>
      </c>
      <c r="F814">
        <v>0</v>
      </c>
      <c r="G814">
        <v>0</v>
      </c>
      <c r="H814" t="s">
        <v>1600</v>
      </c>
      <c r="I814">
        <v>10.5</v>
      </c>
      <c r="J814" t="s">
        <v>15</v>
      </c>
      <c r="K814" t="s">
        <v>16</v>
      </c>
      <c r="L814">
        <v>0</v>
      </c>
      <c r="R814">
        <f t="shared" si="88"/>
        <v>35</v>
      </c>
      <c r="S814" t="str">
        <f t="shared" si="89"/>
        <v>S</v>
      </c>
      <c r="U814">
        <f t="shared" si="90"/>
        <v>0</v>
      </c>
      <c r="V814">
        <f t="shared" si="93"/>
        <v>0</v>
      </c>
      <c r="W814">
        <f t="shared" si="93"/>
        <v>1</v>
      </c>
      <c r="X814">
        <f t="shared" si="93"/>
        <v>0</v>
      </c>
      <c r="Y814">
        <f t="shared" si="91"/>
        <v>1</v>
      </c>
      <c r="Z814">
        <f t="shared" si="91"/>
        <v>0</v>
      </c>
      <c r="AA814">
        <f t="shared" si="91"/>
        <v>0</v>
      </c>
    </row>
    <row r="815" spans="1:27" x14ac:dyDescent="0.4">
      <c r="A815">
        <v>814</v>
      </c>
      <c r="B815">
        <v>3</v>
      </c>
      <c r="C815" t="s">
        <v>1601</v>
      </c>
      <c r="D815" t="s">
        <v>18</v>
      </c>
      <c r="E815">
        <v>6</v>
      </c>
      <c r="F815">
        <v>4</v>
      </c>
      <c r="G815">
        <v>2</v>
      </c>
      <c r="H815" t="s">
        <v>50</v>
      </c>
      <c r="I815">
        <v>31.274999999999999</v>
      </c>
      <c r="J815" t="s">
        <v>15</v>
      </c>
      <c r="K815" t="s">
        <v>16</v>
      </c>
      <c r="L815">
        <v>0</v>
      </c>
      <c r="R815">
        <f t="shared" si="88"/>
        <v>6</v>
      </c>
      <c r="S815" t="str">
        <f t="shared" si="89"/>
        <v>S</v>
      </c>
      <c r="U815">
        <f t="shared" si="90"/>
        <v>1</v>
      </c>
      <c r="V815">
        <f t="shared" si="93"/>
        <v>0</v>
      </c>
      <c r="W815">
        <f t="shared" si="93"/>
        <v>0</v>
      </c>
      <c r="X815">
        <f t="shared" si="93"/>
        <v>1</v>
      </c>
      <c r="Y815">
        <f t="shared" si="91"/>
        <v>1</v>
      </c>
      <c r="Z815">
        <f t="shared" si="91"/>
        <v>0</v>
      </c>
      <c r="AA815">
        <f t="shared" si="91"/>
        <v>0</v>
      </c>
    </row>
    <row r="816" spans="1:27" x14ac:dyDescent="0.4">
      <c r="A816">
        <v>815</v>
      </c>
      <c r="B816">
        <v>3</v>
      </c>
      <c r="C816" t="s">
        <v>1602</v>
      </c>
      <c r="D816" t="s">
        <v>13</v>
      </c>
      <c r="E816">
        <v>30.5</v>
      </c>
      <c r="F816">
        <v>0</v>
      </c>
      <c r="G816">
        <v>0</v>
      </c>
      <c r="H816" t="s">
        <v>1603</v>
      </c>
      <c r="I816">
        <v>8.0500000000000007</v>
      </c>
      <c r="J816" t="s">
        <v>15</v>
      </c>
      <c r="K816" t="s">
        <v>16</v>
      </c>
      <c r="L816">
        <v>0</v>
      </c>
      <c r="R816">
        <f t="shared" si="88"/>
        <v>30.5</v>
      </c>
      <c r="S816" t="str">
        <f t="shared" si="89"/>
        <v>S</v>
      </c>
      <c r="U816">
        <f t="shared" si="90"/>
        <v>0</v>
      </c>
      <c r="V816">
        <f t="shared" si="93"/>
        <v>0</v>
      </c>
      <c r="W816">
        <f t="shared" si="93"/>
        <v>0</v>
      </c>
      <c r="X816">
        <f t="shared" si="93"/>
        <v>1</v>
      </c>
      <c r="Y816">
        <f t="shared" si="91"/>
        <v>1</v>
      </c>
      <c r="Z816">
        <f t="shared" si="91"/>
        <v>0</v>
      </c>
      <c r="AA816">
        <f t="shared" si="91"/>
        <v>0</v>
      </c>
    </row>
    <row r="817" spans="1:27" x14ac:dyDescent="0.4">
      <c r="A817">
        <v>816</v>
      </c>
      <c r="B817">
        <v>1</v>
      </c>
      <c r="C817" t="s">
        <v>1604</v>
      </c>
      <c r="D817" t="s">
        <v>13</v>
      </c>
      <c r="F817">
        <v>0</v>
      </c>
      <c r="G817">
        <v>0</v>
      </c>
      <c r="H817" t="s">
        <v>1605</v>
      </c>
      <c r="I817">
        <v>0</v>
      </c>
      <c r="J817" t="s">
        <v>1606</v>
      </c>
      <c r="K817" t="s">
        <v>16</v>
      </c>
      <c r="L817">
        <v>0</v>
      </c>
      <c r="R817">
        <f t="shared" si="88"/>
        <v>28</v>
      </c>
      <c r="S817" t="str">
        <f t="shared" si="89"/>
        <v>S</v>
      </c>
      <c r="U817">
        <f t="shared" si="90"/>
        <v>0</v>
      </c>
      <c r="V817">
        <f t="shared" si="93"/>
        <v>1</v>
      </c>
      <c r="W817">
        <f t="shared" si="93"/>
        <v>0</v>
      </c>
      <c r="X817">
        <f t="shared" si="93"/>
        <v>0</v>
      </c>
      <c r="Y817">
        <f t="shared" si="91"/>
        <v>1</v>
      </c>
      <c r="Z817">
        <f t="shared" si="91"/>
        <v>0</v>
      </c>
      <c r="AA817">
        <f t="shared" si="91"/>
        <v>0</v>
      </c>
    </row>
    <row r="818" spans="1:27" x14ac:dyDescent="0.4">
      <c r="A818">
        <v>817</v>
      </c>
      <c r="B818">
        <v>3</v>
      </c>
      <c r="C818" t="s">
        <v>1607</v>
      </c>
      <c r="D818" t="s">
        <v>18</v>
      </c>
      <c r="E818">
        <v>23</v>
      </c>
      <c r="F818">
        <v>0</v>
      </c>
      <c r="G818">
        <v>0</v>
      </c>
      <c r="H818" t="s">
        <v>1608</v>
      </c>
      <c r="I818">
        <v>7.9249999999999998</v>
      </c>
      <c r="J818" t="s">
        <v>15</v>
      </c>
      <c r="K818" t="s">
        <v>16</v>
      </c>
      <c r="L818">
        <v>0</v>
      </c>
      <c r="R818">
        <f t="shared" si="88"/>
        <v>23</v>
      </c>
      <c r="S818" t="str">
        <f t="shared" si="89"/>
        <v>S</v>
      </c>
      <c r="U818">
        <f t="shared" si="90"/>
        <v>1</v>
      </c>
      <c r="V818">
        <f t="shared" si="93"/>
        <v>0</v>
      </c>
      <c r="W818">
        <f t="shared" si="93"/>
        <v>0</v>
      </c>
      <c r="X818">
        <f t="shared" si="93"/>
        <v>1</v>
      </c>
      <c r="Y818">
        <f t="shared" si="91"/>
        <v>1</v>
      </c>
      <c r="Z818">
        <f t="shared" si="91"/>
        <v>0</v>
      </c>
      <c r="AA818">
        <f t="shared" si="91"/>
        <v>0</v>
      </c>
    </row>
    <row r="819" spans="1:27" x14ac:dyDescent="0.4">
      <c r="A819">
        <v>818</v>
      </c>
      <c r="B819">
        <v>2</v>
      </c>
      <c r="C819" t="s">
        <v>1609</v>
      </c>
      <c r="D819" t="s">
        <v>13</v>
      </c>
      <c r="E819">
        <v>31</v>
      </c>
      <c r="F819">
        <v>1</v>
      </c>
      <c r="G819">
        <v>1</v>
      </c>
      <c r="H819" t="s">
        <v>1610</v>
      </c>
      <c r="I819">
        <v>37.004199999999997</v>
      </c>
      <c r="J819" t="s">
        <v>15</v>
      </c>
      <c r="K819" t="s">
        <v>21</v>
      </c>
      <c r="L819">
        <v>0</v>
      </c>
      <c r="R819">
        <f t="shared" si="88"/>
        <v>31</v>
      </c>
      <c r="S819" t="str">
        <f t="shared" si="89"/>
        <v>C</v>
      </c>
      <c r="U819">
        <f t="shared" si="90"/>
        <v>0</v>
      </c>
      <c r="V819">
        <f t="shared" si="93"/>
        <v>0</v>
      </c>
      <c r="W819">
        <f t="shared" si="93"/>
        <v>1</v>
      </c>
      <c r="X819">
        <f t="shared" si="93"/>
        <v>0</v>
      </c>
      <c r="Y819">
        <f t="shared" si="91"/>
        <v>0</v>
      </c>
      <c r="Z819">
        <f t="shared" si="91"/>
        <v>0</v>
      </c>
      <c r="AA819">
        <f t="shared" si="91"/>
        <v>1</v>
      </c>
    </row>
    <row r="820" spans="1:27" x14ac:dyDescent="0.4">
      <c r="A820">
        <v>819</v>
      </c>
      <c r="B820">
        <v>3</v>
      </c>
      <c r="C820" t="s">
        <v>1611</v>
      </c>
      <c r="D820" t="s">
        <v>13</v>
      </c>
      <c r="E820">
        <v>43</v>
      </c>
      <c r="F820">
        <v>0</v>
      </c>
      <c r="G820">
        <v>0</v>
      </c>
      <c r="H820" t="s">
        <v>1612</v>
      </c>
      <c r="I820">
        <v>6.45</v>
      </c>
      <c r="J820" t="s">
        <v>15</v>
      </c>
      <c r="K820" t="s">
        <v>16</v>
      </c>
      <c r="L820">
        <v>0</v>
      </c>
      <c r="R820">
        <f t="shared" si="88"/>
        <v>43</v>
      </c>
      <c r="S820" t="str">
        <f t="shared" si="89"/>
        <v>S</v>
      </c>
      <c r="U820">
        <f t="shared" si="90"/>
        <v>0</v>
      </c>
      <c r="V820">
        <f t="shared" si="93"/>
        <v>0</v>
      </c>
      <c r="W820">
        <f t="shared" si="93"/>
        <v>0</v>
      </c>
      <c r="X820">
        <f t="shared" si="93"/>
        <v>1</v>
      </c>
      <c r="Y820">
        <f t="shared" si="91"/>
        <v>1</v>
      </c>
      <c r="Z820">
        <f t="shared" si="91"/>
        <v>0</v>
      </c>
      <c r="AA820">
        <f t="shared" si="91"/>
        <v>0</v>
      </c>
    </row>
    <row r="821" spans="1:27" x14ac:dyDescent="0.4">
      <c r="A821">
        <v>820</v>
      </c>
      <c r="B821">
        <v>3</v>
      </c>
      <c r="C821" t="s">
        <v>1613</v>
      </c>
      <c r="D821" t="s">
        <v>13</v>
      </c>
      <c r="E821">
        <v>10</v>
      </c>
      <c r="F821">
        <v>3</v>
      </c>
      <c r="G821">
        <v>2</v>
      </c>
      <c r="H821" t="s">
        <v>158</v>
      </c>
      <c r="I821">
        <v>27.9</v>
      </c>
      <c r="J821" t="s">
        <v>15</v>
      </c>
      <c r="K821" t="s">
        <v>16</v>
      </c>
      <c r="L821">
        <v>0</v>
      </c>
      <c r="R821">
        <f t="shared" si="88"/>
        <v>10</v>
      </c>
      <c r="S821" t="str">
        <f t="shared" si="89"/>
        <v>S</v>
      </c>
      <c r="U821">
        <f t="shared" si="90"/>
        <v>0</v>
      </c>
      <c r="V821">
        <f t="shared" si="93"/>
        <v>0</v>
      </c>
      <c r="W821">
        <f t="shared" si="93"/>
        <v>0</v>
      </c>
      <c r="X821">
        <f t="shared" si="93"/>
        <v>1</v>
      </c>
      <c r="Y821">
        <f t="shared" si="91"/>
        <v>1</v>
      </c>
      <c r="Z821">
        <f t="shared" si="91"/>
        <v>0</v>
      </c>
      <c r="AA821">
        <f t="shared" si="91"/>
        <v>0</v>
      </c>
    </row>
    <row r="822" spans="1:27" x14ac:dyDescent="0.4">
      <c r="A822">
        <v>821</v>
      </c>
      <c r="B822">
        <v>1</v>
      </c>
      <c r="C822" t="s">
        <v>1614</v>
      </c>
      <c r="D822" t="s">
        <v>18</v>
      </c>
      <c r="E822">
        <v>52</v>
      </c>
      <c r="F822">
        <v>1</v>
      </c>
      <c r="G822">
        <v>1</v>
      </c>
      <c r="H822" t="s">
        <v>1064</v>
      </c>
      <c r="I822">
        <v>93.5</v>
      </c>
      <c r="J822" t="s">
        <v>1615</v>
      </c>
      <c r="K822" t="s">
        <v>16</v>
      </c>
      <c r="L822">
        <v>1</v>
      </c>
      <c r="R822">
        <f t="shared" si="88"/>
        <v>52</v>
      </c>
      <c r="S822" t="str">
        <f t="shared" si="89"/>
        <v>S</v>
      </c>
      <c r="U822">
        <f t="shared" si="90"/>
        <v>1</v>
      </c>
      <c r="V822">
        <f t="shared" ref="V822:X841" si="94">IF("Pclass_"&amp;$B822=V$1,1,0)</f>
        <v>1</v>
      </c>
      <c r="W822">
        <f t="shared" si="94"/>
        <v>0</v>
      </c>
      <c r="X822">
        <f t="shared" si="94"/>
        <v>0</v>
      </c>
      <c r="Y822">
        <f t="shared" si="91"/>
        <v>1</v>
      </c>
      <c r="Z822">
        <f t="shared" si="91"/>
        <v>0</v>
      </c>
      <c r="AA822">
        <f t="shared" si="91"/>
        <v>0</v>
      </c>
    </row>
    <row r="823" spans="1:27" x14ac:dyDescent="0.4">
      <c r="A823">
        <v>822</v>
      </c>
      <c r="B823">
        <v>3</v>
      </c>
      <c r="C823" t="s">
        <v>1616</v>
      </c>
      <c r="D823" t="s">
        <v>13</v>
      </c>
      <c r="E823">
        <v>27</v>
      </c>
      <c r="F823">
        <v>0</v>
      </c>
      <c r="G823">
        <v>0</v>
      </c>
      <c r="H823" t="s">
        <v>1617</v>
      </c>
      <c r="I823">
        <v>8.6624999999999996</v>
      </c>
      <c r="J823" t="s">
        <v>15</v>
      </c>
      <c r="K823" t="s">
        <v>16</v>
      </c>
      <c r="L823">
        <v>1</v>
      </c>
      <c r="R823">
        <f t="shared" si="88"/>
        <v>27</v>
      </c>
      <c r="S823" t="str">
        <f t="shared" si="89"/>
        <v>S</v>
      </c>
      <c r="U823">
        <f t="shared" si="90"/>
        <v>0</v>
      </c>
      <c r="V823">
        <f t="shared" si="94"/>
        <v>0</v>
      </c>
      <c r="W823">
        <f t="shared" si="94"/>
        <v>0</v>
      </c>
      <c r="X823">
        <f t="shared" si="94"/>
        <v>1</v>
      </c>
      <c r="Y823">
        <f t="shared" si="91"/>
        <v>1</v>
      </c>
      <c r="Z823">
        <f t="shared" si="91"/>
        <v>0</v>
      </c>
      <c r="AA823">
        <f t="shared" si="91"/>
        <v>0</v>
      </c>
    </row>
    <row r="824" spans="1:27" x14ac:dyDescent="0.4">
      <c r="A824">
        <v>823</v>
      </c>
      <c r="B824">
        <v>1</v>
      </c>
      <c r="C824" t="s">
        <v>1618</v>
      </c>
      <c r="D824" t="s">
        <v>13</v>
      </c>
      <c r="E824">
        <v>38</v>
      </c>
      <c r="F824">
        <v>0</v>
      </c>
      <c r="G824">
        <v>0</v>
      </c>
      <c r="H824" t="s">
        <v>1619</v>
      </c>
      <c r="I824">
        <v>0</v>
      </c>
      <c r="J824" t="s">
        <v>15</v>
      </c>
      <c r="K824" t="s">
        <v>16</v>
      </c>
      <c r="L824">
        <v>0</v>
      </c>
      <c r="R824">
        <f t="shared" si="88"/>
        <v>38</v>
      </c>
      <c r="S824" t="str">
        <f t="shared" si="89"/>
        <v>S</v>
      </c>
      <c r="U824">
        <f t="shared" si="90"/>
        <v>0</v>
      </c>
      <c r="V824">
        <f t="shared" si="94"/>
        <v>1</v>
      </c>
      <c r="W824">
        <f t="shared" si="94"/>
        <v>0</v>
      </c>
      <c r="X824">
        <f t="shared" si="94"/>
        <v>0</v>
      </c>
      <c r="Y824">
        <f t="shared" si="91"/>
        <v>1</v>
      </c>
      <c r="Z824">
        <f t="shared" si="91"/>
        <v>0</v>
      </c>
      <c r="AA824">
        <f t="shared" si="91"/>
        <v>0</v>
      </c>
    </row>
    <row r="825" spans="1:27" x14ac:dyDescent="0.4">
      <c r="A825">
        <v>824</v>
      </c>
      <c r="B825">
        <v>3</v>
      </c>
      <c r="C825" t="s">
        <v>1620</v>
      </c>
      <c r="D825" t="s">
        <v>18</v>
      </c>
      <c r="E825">
        <v>27</v>
      </c>
      <c r="F825">
        <v>0</v>
      </c>
      <c r="G825">
        <v>1</v>
      </c>
      <c r="H825" t="s">
        <v>1490</v>
      </c>
      <c r="I825">
        <v>12.475</v>
      </c>
      <c r="J825" t="s">
        <v>1491</v>
      </c>
      <c r="K825" t="s">
        <v>16</v>
      </c>
      <c r="L825">
        <v>1</v>
      </c>
      <c r="R825">
        <f t="shared" si="88"/>
        <v>27</v>
      </c>
      <c r="S825" t="str">
        <f t="shared" si="89"/>
        <v>S</v>
      </c>
      <c r="U825">
        <f t="shared" si="90"/>
        <v>1</v>
      </c>
      <c r="V825">
        <f t="shared" si="94"/>
        <v>0</v>
      </c>
      <c r="W825">
        <f t="shared" si="94"/>
        <v>0</v>
      </c>
      <c r="X825">
        <f t="shared" si="94"/>
        <v>1</v>
      </c>
      <c r="Y825">
        <f t="shared" si="91"/>
        <v>1</v>
      </c>
      <c r="Z825">
        <f t="shared" si="91"/>
        <v>0</v>
      </c>
      <c r="AA825">
        <f t="shared" si="91"/>
        <v>0</v>
      </c>
    </row>
    <row r="826" spans="1:27" x14ac:dyDescent="0.4">
      <c r="A826">
        <v>825</v>
      </c>
      <c r="B826">
        <v>3</v>
      </c>
      <c r="C826" t="s">
        <v>1621</v>
      </c>
      <c r="D826" t="s">
        <v>13</v>
      </c>
      <c r="E826">
        <v>2</v>
      </c>
      <c r="F826">
        <v>4</v>
      </c>
      <c r="G826">
        <v>1</v>
      </c>
      <c r="H826" t="s">
        <v>127</v>
      </c>
      <c r="I826">
        <v>39.6875</v>
      </c>
      <c r="J826" t="s">
        <v>15</v>
      </c>
      <c r="K826" t="s">
        <v>16</v>
      </c>
      <c r="L826">
        <v>0</v>
      </c>
      <c r="R826">
        <f t="shared" si="88"/>
        <v>2</v>
      </c>
      <c r="S826" t="str">
        <f t="shared" si="89"/>
        <v>S</v>
      </c>
      <c r="U826">
        <f t="shared" si="90"/>
        <v>0</v>
      </c>
      <c r="V826">
        <f t="shared" si="94"/>
        <v>0</v>
      </c>
      <c r="W826">
        <f t="shared" si="94"/>
        <v>0</v>
      </c>
      <c r="X826">
        <f t="shared" si="94"/>
        <v>1</v>
      </c>
      <c r="Y826">
        <f t="shared" si="91"/>
        <v>1</v>
      </c>
      <c r="Z826">
        <f t="shared" si="91"/>
        <v>0</v>
      </c>
      <c r="AA826">
        <f t="shared" si="91"/>
        <v>0</v>
      </c>
    </row>
    <row r="827" spans="1:27" x14ac:dyDescent="0.4">
      <c r="A827">
        <v>826</v>
      </c>
      <c r="B827">
        <v>3</v>
      </c>
      <c r="C827" t="s">
        <v>1622</v>
      </c>
      <c r="D827" t="s">
        <v>13</v>
      </c>
      <c r="F827">
        <v>0</v>
      </c>
      <c r="G827">
        <v>0</v>
      </c>
      <c r="H827" t="s">
        <v>1623</v>
      </c>
      <c r="I827">
        <v>6.95</v>
      </c>
      <c r="J827" t="s">
        <v>15</v>
      </c>
      <c r="K827" t="s">
        <v>31</v>
      </c>
      <c r="L827">
        <v>0</v>
      </c>
      <c r="R827">
        <f t="shared" si="88"/>
        <v>28</v>
      </c>
      <c r="S827" t="str">
        <f t="shared" si="89"/>
        <v>Q</v>
      </c>
      <c r="U827">
        <f t="shared" si="90"/>
        <v>0</v>
      </c>
      <c r="V827">
        <f t="shared" si="94"/>
        <v>0</v>
      </c>
      <c r="W827">
        <f t="shared" si="94"/>
        <v>0</v>
      </c>
      <c r="X827">
        <f t="shared" si="94"/>
        <v>1</v>
      </c>
      <c r="Y827">
        <f t="shared" si="91"/>
        <v>0</v>
      </c>
      <c r="Z827">
        <f t="shared" si="91"/>
        <v>1</v>
      </c>
      <c r="AA827">
        <f t="shared" si="91"/>
        <v>0</v>
      </c>
    </row>
    <row r="828" spans="1:27" x14ac:dyDescent="0.4">
      <c r="A828">
        <v>827</v>
      </c>
      <c r="B828">
        <v>3</v>
      </c>
      <c r="C828" t="s">
        <v>1624</v>
      </c>
      <c r="D828" t="s">
        <v>13</v>
      </c>
      <c r="F828">
        <v>0</v>
      </c>
      <c r="G828">
        <v>0</v>
      </c>
      <c r="H828" t="s">
        <v>180</v>
      </c>
      <c r="I828">
        <v>56.495800000000003</v>
      </c>
      <c r="J828" t="s">
        <v>15</v>
      </c>
      <c r="K828" t="s">
        <v>16</v>
      </c>
      <c r="L828">
        <v>0</v>
      </c>
      <c r="R828">
        <f t="shared" si="88"/>
        <v>28</v>
      </c>
      <c r="S828" t="str">
        <f t="shared" si="89"/>
        <v>S</v>
      </c>
      <c r="U828">
        <f t="shared" si="90"/>
        <v>0</v>
      </c>
      <c r="V828">
        <f t="shared" si="94"/>
        <v>0</v>
      </c>
      <c r="W828">
        <f t="shared" si="94"/>
        <v>0</v>
      </c>
      <c r="X828">
        <f t="shared" si="94"/>
        <v>1</v>
      </c>
      <c r="Y828">
        <f t="shared" si="91"/>
        <v>1</v>
      </c>
      <c r="Z828">
        <f t="shared" si="91"/>
        <v>0</v>
      </c>
      <c r="AA828">
        <f t="shared" si="91"/>
        <v>0</v>
      </c>
    </row>
    <row r="829" spans="1:27" x14ac:dyDescent="0.4">
      <c r="A829">
        <v>828</v>
      </c>
      <c r="B829">
        <v>2</v>
      </c>
      <c r="C829" t="s">
        <v>1625</v>
      </c>
      <c r="D829" t="s">
        <v>13</v>
      </c>
      <c r="E829">
        <v>1</v>
      </c>
      <c r="F829">
        <v>0</v>
      </c>
      <c r="G829">
        <v>2</v>
      </c>
      <c r="H829" t="s">
        <v>1610</v>
      </c>
      <c r="I829">
        <v>37.004199999999997</v>
      </c>
      <c r="J829" t="s">
        <v>15</v>
      </c>
      <c r="K829" t="s">
        <v>21</v>
      </c>
      <c r="L829">
        <v>1</v>
      </c>
      <c r="R829">
        <f t="shared" si="88"/>
        <v>1</v>
      </c>
      <c r="S829" t="str">
        <f t="shared" si="89"/>
        <v>C</v>
      </c>
      <c r="U829">
        <f t="shared" si="90"/>
        <v>0</v>
      </c>
      <c r="V829">
        <f t="shared" si="94"/>
        <v>0</v>
      </c>
      <c r="W829">
        <f t="shared" si="94"/>
        <v>1</v>
      </c>
      <c r="X829">
        <f t="shared" si="94"/>
        <v>0</v>
      </c>
      <c r="Y829">
        <f t="shared" si="91"/>
        <v>0</v>
      </c>
      <c r="Z829">
        <f t="shared" si="91"/>
        <v>0</v>
      </c>
      <c r="AA829">
        <f t="shared" si="91"/>
        <v>1</v>
      </c>
    </row>
    <row r="830" spans="1:27" x14ac:dyDescent="0.4">
      <c r="A830">
        <v>829</v>
      </c>
      <c r="B830">
        <v>3</v>
      </c>
      <c r="C830" t="s">
        <v>1626</v>
      </c>
      <c r="D830" t="s">
        <v>13</v>
      </c>
      <c r="F830">
        <v>0</v>
      </c>
      <c r="G830">
        <v>0</v>
      </c>
      <c r="H830" t="s">
        <v>1627</v>
      </c>
      <c r="I830">
        <v>7.75</v>
      </c>
      <c r="J830" t="s">
        <v>15</v>
      </c>
      <c r="K830" t="s">
        <v>31</v>
      </c>
      <c r="L830">
        <v>1</v>
      </c>
      <c r="R830">
        <f t="shared" si="88"/>
        <v>28</v>
      </c>
      <c r="S830" t="str">
        <f t="shared" si="89"/>
        <v>Q</v>
      </c>
      <c r="U830">
        <f t="shared" si="90"/>
        <v>0</v>
      </c>
      <c r="V830">
        <f t="shared" si="94"/>
        <v>0</v>
      </c>
      <c r="W830">
        <f t="shared" si="94"/>
        <v>0</v>
      </c>
      <c r="X830">
        <f t="shared" si="94"/>
        <v>1</v>
      </c>
      <c r="Y830">
        <f t="shared" si="91"/>
        <v>0</v>
      </c>
      <c r="Z830">
        <f t="shared" si="91"/>
        <v>1</v>
      </c>
      <c r="AA830">
        <f t="shared" si="91"/>
        <v>0</v>
      </c>
    </row>
    <row r="831" spans="1:27" x14ac:dyDescent="0.4">
      <c r="A831">
        <v>830</v>
      </c>
      <c r="B831">
        <v>1</v>
      </c>
      <c r="C831" t="s">
        <v>1628</v>
      </c>
      <c r="D831" t="s">
        <v>18</v>
      </c>
      <c r="E831">
        <v>62</v>
      </c>
      <c r="F831">
        <v>0</v>
      </c>
      <c r="G831">
        <v>0</v>
      </c>
      <c r="H831" t="s">
        <v>152</v>
      </c>
      <c r="I831">
        <v>80</v>
      </c>
      <c r="J831" t="s">
        <v>153</v>
      </c>
      <c r="K831" t="s">
        <v>15</v>
      </c>
      <c r="L831">
        <v>1</v>
      </c>
      <c r="R831">
        <f t="shared" si="88"/>
        <v>62</v>
      </c>
      <c r="S831" t="str">
        <f t="shared" si="89"/>
        <v>S</v>
      </c>
      <c r="U831">
        <f t="shared" si="90"/>
        <v>1</v>
      </c>
      <c r="V831">
        <f t="shared" si="94"/>
        <v>1</v>
      </c>
      <c r="W831">
        <f t="shared" si="94"/>
        <v>0</v>
      </c>
      <c r="X831">
        <f t="shared" si="94"/>
        <v>0</v>
      </c>
      <c r="Y831">
        <f t="shared" si="91"/>
        <v>1</v>
      </c>
      <c r="Z831">
        <f t="shared" si="91"/>
        <v>0</v>
      </c>
      <c r="AA831">
        <f t="shared" si="91"/>
        <v>0</v>
      </c>
    </row>
    <row r="832" spans="1:27" x14ac:dyDescent="0.4">
      <c r="A832">
        <v>831</v>
      </c>
      <c r="B832">
        <v>3</v>
      </c>
      <c r="C832" t="s">
        <v>1629</v>
      </c>
      <c r="D832" t="s">
        <v>18</v>
      </c>
      <c r="E832">
        <v>15</v>
      </c>
      <c r="F832">
        <v>1</v>
      </c>
      <c r="G832">
        <v>0</v>
      </c>
      <c r="H832" t="s">
        <v>1248</v>
      </c>
      <c r="I832">
        <v>14.4542</v>
      </c>
      <c r="J832" t="s">
        <v>15</v>
      </c>
      <c r="K832" t="s">
        <v>21</v>
      </c>
      <c r="L832">
        <v>1</v>
      </c>
      <c r="R832">
        <f t="shared" si="88"/>
        <v>15</v>
      </c>
      <c r="S832" t="str">
        <f t="shared" si="89"/>
        <v>C</v>
      </c>
      <c r="U832">
        <f t="shared" si="90"/>
        <v>1</v>
      </c>
      <c r="V832">
        <f t="shared" si="94"/>
        <v>0</v>
      </c>
      <c r="W832">
        <f t="shared" si="94"/>
        <v>0</v>
      </c>
      <c r="X832">
        <f t="shared" si="94"/>
        <v>1</v>
      </c>
      <c r="Y832">
        <f t="shared" si="91"/>
        <v>0</v>
      </c>
      <c r="Z832">
        <f t="shared" si="91"/>
        <v>0</v>
      </c>
      <c r="AA832">
        <f t="shared" si="91"/>
        <v>1</v>
      </c>
    </row>
    <row r="833" spans="1:27" x14ac:dyDescent="0.4">
      <c r="A833">
        <v>832</v>
      </c>
      <c r="B833">
        <v>2</v>
      </c>
      <c r="C833" t="s">
        <v>1630</v>
      </c>
      <c r="D833" t="s">
        <v>13</v>
      </c>
      <c r="E833">
        <v>0.83</v>
      </c>
      <c r="F833">
        <v>1</v>
      </c>
      <c r="G833">
        <v>1</v>
      </c>
      <c r="H833" t="s">
        <v>847</v>
      </c>
      <c r="I833">
        <v>18.75</v>
      </c>
      <c r="J833" t="s">
        <v>15</v>
      </c>
      <c r="K833" t="s">
        <v>16</v>
      </c>
      <c r="L833">
        <v>1</v>
      </c>
      <c r="R833">
        <f t="shared" si="88"/>
        <v>0.83</v>
      </c>
      <c r="S833" t="str">
        <f t="shared" si="89"/>
        <v>S</v>
      </c>
      <c r="U833">
        <f t="shared" si="90"/>
        <v>0</v>
      </c>
      <c r="V833">
        <f t="shared" si="94"/>
        <v>0</v>
      </c>
      <c r="W833">
        <f t="shared" si="94"/>
        <v>1</v>
      </c>
      <c r="X833">
        <f t="shared" si="94"/>
        <v>0</v>
      </c>
      <c r="Y833">
        <f t="shared" si="91"/>
        <v>1</v>
      </c>
      <c r="Z833">
        <f t="shared" si="91"/>
        <v>0</v>
      </c>
      <c r="AA833">
        <f t="shared" si="91"/>
        <v>0</v>
      </c>
    </row>
    <row r="834" spans="1:27" x14ac:dyDescent="0.4">
      <c r="A834">
        <v>833</v>
      </c>
      <c r="B834">
        <v>3</v>
      </c>
      <c r="C834" t="s">
        <v>1631</v>
      </c>
      <c r="D834" t="s">
        <v>13</v>
      </c>
      <c r="F834">
        <v>0</v>
      </c>
      <c r="G834">
        <v>0</v>
      </c>
      <c r="H834" t="s">
        <v>1632</v>
      </c>
      <c r="I834">
        <v>7.2291999999999996</v>
      </c>
      <c r="J834" t="s">
        <v>15</v>
      </c>
      <c r="K834" t="s">
        <v>21</v>
      </c>
      <c r="L834">
        <v>0</v>
      </c>
      <c r="R834">
        <f t="shared" si="88"/>
        <v>28</v>
      </c>
      <c r="S834" t="str">
        <f t="shared" si="89"/>
        <v>C</v>
      </c>
      <c r="U834">
        <f t="shared" si="90"/>
        <v>0</v>
      </c>
      <c r="V834">
        <f t="shared" si="94"/>
        <v>0</v>
      </c>
      <c r="W834">
        <f t="shared" si="94"/>
        <v>0</v>
      </c>
      <c r="X834">
        <f t="shared" si="94"/>
        <v>1</v>
      </c>
      <c r="Y834">
        <f t="shared" si="91"/>
        <v>0</v>
      </c>
      <c r="Z834">
        <f t="shared" si="91"/>
        <v>0</v>
      </c>
      <c r="AA834">
        <f t="shared" si="91"/>
        <v>1</v>
      </c>
    </row>
    <row r="835" spans="1:27" x14ac:dyDescent="0.4">
      <c r="A835">
        <v>834</v>
      </c>
      <c r="B835">
        <v>3</v>
      </c>
      <c r="C835" t="s">
        <v>1633</v>
      </c>
      <c r="D835" t="s">
        <v>13</v>
      </c>
      <c r="E835">
        <v>23</v>
      </c>
      <c r="F835">
        <v>0</v>
      </c>
      <c r="G835">
        <v>0</v>
      </c>
      <c r="H835" t="s">
        <v>1634</v>
      </c>
      <c r="I835">
        <v>7.8541999999999996</v>
      </c>
      <c r="J835" t="s">
        <v>15</v>
      </c>
      <c r="K835" t="s">
        <v>16</v>
      </c>
      <c r="L835">
        <v>0</v>
      </c>
      <c r="R835">
        <f t="shared" ref="R835:R892" si="95">IF(E835&lt;&gt;"",E835,$O$18)</f>
        <v>23</v>
      </c>
      <c r="S835" t="str">
        <f t="shared" ref="S835:S892" si="96">IF(K835&lt;&gt;"",K835,$N$9)</f>
        <v>S</v>
      </c>
      <c r="U835">
        <f t="shared" ref="U835:U892" si="97">IF(D835="male",0,1)</f>
        <v>0</v>
      </c>
      <c r="V835">
        <f t="shared" si="94"/>
        <v>0</v>
      </c>
      <c r="W835">
        <f t="shared" si="94"/>
        <v>0</v>
      </c>
      <c r="X835">
        <f t="shared" si="94"/>
        <v>1</v>
      </c>
      <c r="Y835">
        <f t="shared" ref="Y835:AA854" si="98">IF($S835=RIGHT(Y$1,1),1,0)</f>
        <v>1</v>
      </c>
      <c r="Z835">
        <f t="shared" si="98"/>
        <v>0</v>
      </c>
      <c r="AA835">
        <f t="shared" si="98"/>
        <v>0</v>
      </c>
    </row>
    <row r="836" spans="1:27" x14ac:dyDescent="0.4">
      <c r="A836">
        <v>835</v>
      </c>
      <c r="B836">
        <v>3</v>
      </c>
      <c r="C836" t="s">
        <v>1635</v>
      </c>
      <c r="D836" t="s">
        <v>13</v>
      </c>
      <c r="E836">
        <v>18</v>
      </c>
      <c r="F836">
        <v>0</v>
      </c>
      <c r="G836">
        <v>0</v>
      </c>
      <c r="H836" t="s">
        <v>1636</v>
      </c>
      <c r="I836">
        <v>8.3000000000000007</v>
      </c>
      <c r="J836" t="s">
        <v>15</v>
      </c>
      <c r="K836" t="s">
        <v>16</v>
      </c>
      <c r="L836">
        <v>0</v>
      </c>
      <c r="R836">
        <f t="shared" si="95"/>
        <v>18</v>
      </c>
      <c r="S836" t="str">
        <f t="shared" si="96"/>
        <v>S</v>
      </c>
      <c r="U836">
        <f t="shared" si="97"/>
        <v>0</v>
      </c>
      <c r="V836">
        <f t="shared" si="94"/>
        <v>0</v>
      </c>
      <c r="W836">
        <f t="shared" si="94"/>
        <v>0</v>
      </c>
      <c r="X836">
        <f t="shared" si="94"/>
        <v>1</v>
      </c>
      <c r="Y836">
        <f t="shared" si="98"/>
        <v>1</v>
      </c>
      <c r="Z836">
        <f t="shared" si="98"/>
        <v>0</v>
      </c>
      <c r="AA836">
        <f t="shared" si="98"/>
        <v>0</v>
      </c>
    </row>
    <row r="837" spans="1:27" x14ac:dyDescent="0.4">
      <c r="A837">
        <v>836</v>
      </c>
      <c r="B837">
        <v>1</v>
      </c>
      <c r="C837" t="s">
        <v>1637</v>
      </c>
      <c r="D837" t="s">
        <v>18</v>
      </c>
      <c r="E837">
        <v>39</v>
      </c>
      <c r="F837">
        <v>1</v>
      </c>
      <c r="G837">
        <v>1</v>
      </c>
      <c r="H837" t="s">
        <v>1638</v>
      </c>
      <c r="I837">
        <v>83.158299999999997</v>
      </c>
      <c r="J837" t="s">
        <v>1639</v>
      </c>
      <c r="K837" t="s">
        <v>21</v>
      </c>
      <c r="L837">
        <v>1</v>
      </c>
      <c r="R837">
        <f t="shared" si="95"/>
        <v>39</v>
      </c>
      <c r="S837" t="str">
        <f t="shared" si="96"/>
        <v>C</v>
      </c>
      <c r="U837">
        <f t="shared" si="97"/>
        <v>1</v>
      </c>
      <c r="V837">
        <f t="shared" si="94"/>
        <v>1</v>
      </c>
      <c r="W837">
        <f t="shared" si="94"/>
        <v>0</v>
      </c>
      <c r="X837">
        <f t="shared" si="94"/>
        <v>0</v>
      </c>
      <c r="Y837">
        <f t="shared" si="98"/>
        <v>0</v>
      </c>
      <c r="Z837">
        <f t="shared" si="98"/>
        <v>0</v>
      </c>
      <c r="AA837">
        <f t="shared" si="98"/>
        <v>1</v>
      </c>
    </row>
    <row r="838" spans="1:27" x14ac:dyDescent="0.4">
      <c r="A838">
        <v>837</v>
      </c>
      <c r="B838">
        <v>3</v>
      </c>
      <c r="C838" t="s">
        <v>1640</v>
      </c>
      <c r="D838" t="s">
        <v>13</v>
      </c>
      <c r="E838">
        <v>21</v>
      </c>
      <c r="F838">
        <v>0</v>
      </c>
      <c r="G838">
        <v>0</v>
      </c>
      <c r="H838" t="s">
        <v>1641</v>
      </c>
      <c r="I838">
        <v>8.6624999999999996</v>
      </c>
      <c r="J838" t="s">
        <v>15</v>
      </c>
      <c r="K838" t="s">
        <v>16</v>
      </c>
      <c r="L838">
        <v>0</v>
      </c>
      <c r="R838">
        <f t="shared" si="95"/>
        <v>21</v>
      </c>
      <c r="S838" t="str">
        <f t="shared" si="96"/>
        <v>S</v>
      </c>
      <c r="U838">
        <f t="shared" si="97"/>
        <v>0</v>
      </c>
      <c r="V838">
        <f t="shared" si="94"/>
        <v>0</v>
      </c>
      <c r="W838">
        <f t="shared" si="94"/>
        <v>0</v>
      </c>
      <c r="X838">
        <f t="shared" si="94"/>
        <v>1</v>
      </c>
      <c r="Y838">
        <f t="shared" si="98"/>
        <v>1</v>
      </c>
      <c r="Z838">
        <f t="shared" si="98"/>
        <v>0</v>
      </c>
      <c r="AA838">
        <f t="shared" si="98"/>
        <v>0</v>
      </c>
    </row>
    <row r="839" spans="1:27" x14ac:dyDescent="0.4">
      <c r="A839">
        <v>838</v>
      </c>
      <c r="B839">
        <v>3</v>
      </c>
      <c r="C839" t="s">
        <v>1642</v>
      </c>
      <c r="D839" t="s">
        <v>13</v>
      </c>
      <c r="F839">
        <v>0</v>
      </c>
      <c r="G839">
        <v>0</v>
      </c>
      <c r="H839" t="s">
        <v>1643</v>
      </c>
      <c r="I839">
        <v>8.0500000000000007</v>
      </c>
      <c r="J839" t="s">
        <v>15</v>
      </c>
      <c r="K839" t="s">
        <v>16</v>
      </c>
      <c r="L839">
        <v>0</v>
      </c>
      <c r="R839">
        <f t="shared" si="95"/>
        <v>28</v>
      </c>
      <c r="S839" t="str">
        <f t="shared" si="96"/>
        <v>S</v>
      </c>
      <c r="U839">
        <f t="shared" si="97"/>
        <v>0</v>
      </c>
      <c r="V839">
        <f t="shared" si="94"/>
        <v>0</v>
      </c>
      <c r="W839">
        <f t="shared" si="94"/>
        <v>0</v>
      </c>
      <c r="X839">
        <f t="shared" si="94"/>
        <v>1</v>
      </c>
      <c r="Y839">
        <f t="shared" si="98"/>
        <v>1</v>
      </c>
      <c r="Z839">
        <f t="shared" si="98"/>
        <v>0</v>
      </c>
      <c r="AA839">
        <f t="shared" si="98"/>
        <v>0</v>
      </c>
    </row>
    <row r="840" spans="1:27" x14ac:dyDescent="0.4">
      <c r="A840">
        <v>839</v>
      </c>
      <c r="B840">
        <v>3</v>
      </c>
      <c r="C840" t="s">
        <v>1644</v>
      </c>
      <c r="D840" t="s">
        <v>13</v>
      </c>
      <c r="E840">
        <v>32</v>
      </c>
      <c r="F840">
        <v>0</v>
      </c>
      <c r="G840">
        <v>0</v>
      </c>
      <c r="H840" t="s">
        <v>180</v>
      </c>
      <c r="I840">
        <v>56.495800000000003</v>
      </c>
      <c r="J840" t="s">
        <v>15</v>
      </c>
      <c r="K840" t="s">
        <v>16</v>
      </c>
      <c r="L840">
        <v>1</v>
      </c>
      <c r="R840">
        <f t="shared" si="95"/>
        <v>32</v>
      </c>
      <c r="S840" t="str">
        <f t="shared" si="96"/>
        <v>S</v>
      </c>
      <c r="U840">
        <f t="shared" si="97"/>
        <v>0</v>
      </c>
      <c r="V840">
        <f t="shared" si="94"/>
        <v>0</v>
      </c>
      <c r="W840">
        <f t="shared" si="94"/>
        <v>0</v>
      </c>
      <c r="X840">
        <f t="shared" si="94"/>
        <v>1</v>
      </c>
      <c r="Y840">
        <f t="shared" si="98"/>
        <v>1</v>
      </c>
      <c r="Z840">
        <f t="shared" si="98"/>
        <v>0</v>
      </c>
      <c r="AA840">
        <f t="shared" si="98"/>
        <v>0</v>
      </c>
    </row>
    <row r="841" spans="1:27" x14ac:dyDescent="0.4">
      <c r="A841">
        <v>840</v>
      </c>
      <c r="B841">
        <v>1</v>
      </c>
      <c r="C841" t="s">
        <v>1645</v>
      </c>
      <c r="D841" t="s">
        <v>13</v>
      </c>
      <c r="F841">
        <v>0</v>
      </c>
      <c r="G841">
        <v>0</v>
      </c>
      <c r="H841" t="s">
        <v>1646</v>
      </c>
      <c r="I841">
        <v>29.7</v>
      </c>
      <c r="J841" t="s">
        <v>1647</v>
      </c>
      <c r="K841" t="s">
        <v>21</v>
      </c>
      <c r="L841">
        <v>1</v>
      </c>
      <c r="R841">
        <f t="shared" si="95"/>
        <v>28</v>
      </c>
      <c r="S841" t="str">
        <f t="shared" si="96"/>
        <v>C</v>
      </c>
      <c r="U841">
        <f t="shared" si="97"/>
        <v>0</v>
      </c>
      <c r="V841">
        <f t="shared" si="94"/>
        <v>1</v>
      </c>
      <c r="W841">
        <f t="shared" si="94"/>
        <v>0</v>
      </c>
      <c r="X841">
        <f t="shared" si="94"/>
        <v>0</v>
      </c>
      <c r="Y841">
        <f t="shared" si="98"/>
        <v>0</v>
      </c>
      <c r="Z841">
        <f t="shared" si="98"/>
        <v>0</v>
      </c>
      <c r="AA841">
        <f t="shared" si="98"/>
        <v>1</v>
      </c>
    </row>
    <row r="842" spans="1:27" x14ac:dyDescent="0.4">
      <c r="A842">
        <v>841</v>
      </c>
      <c r="B842">
        <v>3</v>
      </c>
      <c r="C842" t="s">
        <v>1648</v>
      </c>
      <c r="D842" t="s">
        <v>13</v>
      </c>
      <c r="E842">
        <v>20</v>
      </c>
      <c r="F842">
        <v>0</v>
      </c>
      <c r="G842">
        <v>0</v>
      </c>
      <c r="H842" t="s">
        <v>1649</v>
      </c>
      <c r="I842">
        <v>7.9249999999999998</v>
      </c>
      <c r="J842" t="s">
        <v>15</v>
      </c>
      <c r="K842" t="s">
        <v>16</v>
      </c>
      <c r="L842">
        <v>0</v>
      </c>
      <c r="R842">
        <f t="shared" si="95"/>
        <v>20</v>
      </c>
      <c r="S842" t="str">
        <f t="shared" si="96"/>
        <v>S</v>
      </c>
      <c r="U842">
        <f t="shared" si="97"/>
        <v>0</v>
      </c>
      <c r="V842">
        <f t="shared" ref="V842:X861" si="99">IF("Pclass_"&amp;$B842=V$1,1,0)</f>
        <v>0</v>
      </c>
      <c r="W842">
        <f t="shared" si="99"/>
        <v>0</v>
      </c>
      <c r="X842">
        <f t="shared" si="99"/>
        <v>1</v>
      </c>
      <c r="Y842">
        <f t="shared" si="98"/>
        <v>1</v>
      </c>
      <c r="Z842">
        <f t="shared" si="98"/>
        <v>0</v>
      </c>
      <c r="AA842">
        <f t="shared" si="98"/>
        <v>0</v>
      </c>
    </row>
    <row r="843" spans="1:27" x14ac:dyDescent="0.4">
      <c r="A843">
        <v>842</v>
      </c>
      <c r="B843">
        <v>2</v>
      </c>
      <c r="C843" t="s">
        <v>1650</v>
      </c>
      <c r="D843" t="s">
        <v>13</v>
      </c>
      <c r="E843">
        <v>16</v>
      </c>
      <c r="F843">
        <v>0</v>
      </c>
      <c r="G843">
        <v>0</v>
      </c>
      <c r="H843" t="s">
        <v>1527</v>
      </c>
      <c r="I843">
        <v>10.5</v>
      </c>
      <c r="J843" t="s">
        <v>15</v>
      </c>
      <c r="K843" t="s">
        <v>16</v>
      </c>
      <c r="L843">
        <v>0</v>
      </c>
      <c r="R843">
        <f t="shared" si="95"/>
        <v>16</v>
      </c>
      <c r="S843" t="str">
        <f t="shared" si="96"/>
        <v>S</v>
      </c>
      <c r="U843">
        <f t="shared" si="97"/>
        <v>0</v>
      </c>
      <c r="V843">
        <f t="shared" si="99"/>
        <v>0</v>
      </c>
      <c r="W843">
        <f t="shared" si="99"/>
        <v>1</v>
      </c>
      <c r="X843">
        <f t="shared" si="99"/>
        <v>0</v>
      </c>
      <c r="Y843">
        <f t="shared" si="98"/>
        <v>1</v>
      </c>
      <c r="Z843">
        <f t="shared" si="98"/>
        <v>0</v>
      </c>
      <c r="AA843">
        <f t="shared" si="98"/>
        <v>0</v>
      </c>
    </row>
    <row r="844" spans="1:27" x14ac:dyDescent="0.4">
      <c r="A844">
        <v>843</v>
      </c>
      <c r="B844">
        <v>1</v>
      </c>
      <c r="C844" t="s">
        <v>1651</v>
      </c>
      <c r="D844" t="s">
        <v>18</v>
      </c>
      <c r="E844">
        <v>30</v>
      </c>
      <c r="F844">
        <v>0</v>
      </c>
      <c r="G844">
        <v>0</v>
      </c>
      <c r="H844" t="s">
        <v>578</v>
      </c>
      <c r="I844">
        <v>31</v>
      </c>
      <c r="J844" t="s">
        <v>15</v>
      </c>
      <c r="K844" t="s">
        <v>21</v>
      </c>
      <c r="L844">
        <v>1</v>
      </c>
      <c r="R844">
        <f t="shared" si="95"/>
        <v>30</v>
      </c>
      <c r="S844" t="str">
        <f t="shared" si="96"/>
        <v>C</v>
      </c>
      <c r="U844">
        <f t="shared" si="97"/>
        <v>1</v>
      </c>
      <c r="V844">
        <f t="shared" si="99"/>
        <v>1</v>
      </c>
      <c r="W844">
        <f t="shared" si="99"/>
        <v>0</v>
      </c>
      <c r="X844">
        <f t="shared" si="99"/>
        <v>0</v>
      </c>
      <c r="Y844">
        <f t="shared" si="98"/>
        <v>0</v>
      </c>
      <c r="Z844">
        <f t="shared" si="98"/>
        <v>0</v>
      </c>
      <c r="AA844">
        <f t="shared" si="98"/>
        <v>1</v>
      </c>
    </row>
    <row r="845" spans="1:27" x14ac:dyDescent="0.4">
      <c r="A845">
        <v>844</v>
      </c>
      <c r="B845">
        <v>3</v>
      </c>
      <c r="C845" t="s">
        <v>1652</v>
      </c>
      <c r="D845" t="s">
        <v>13</v>
      </c>
      <c r="E845">
        <v>34.5</v>
      </c>
      <c r="F845">
        <v>0</v>
      </c>
      <c r="G845">
        <v>0</v>
      </c>
      <c r="H845" t="s">
        <v>1653</v>
      </c>
      <c r="I845">
        <v>6.4375</v>
      </c>
      <c r="J845" t="s">
        <v>15</v>
      </c>
      <c r="K845" t="s">
        <v>21</v>
      </c>
      <c r="L845">
        <v>0</v>
      </c>
      <c r="R845">
        <f t="shared" si="95"/>
        <v>34.5</v>
      </c>
      <c r="S845" t="str">
        <f t="shared" si="96"/>
        <v>C</v>
      </c>
      <c r="U845">
        <f t="shared" si="97"/>
        <v>0</v>
      </c>
      <c r="V845">
        <f t="shared" si="99"/>
        <v>0</v>
      </c>
      <c r="W845">
        <f t="shared" si="99"/>
        <v>0</v>
      </c>
      <c r="X845">
        <f t="shared" si="99"/>
        <v>1</v>
      </c>
      <c r="Y845">
        <f t="shared" si="98"/>
        <v>0</v>
      </c>
      <c r="Z845">
        <f t="shared" si="98"/>
        <v>0</v>
      </c>
      <c r="AA845">
        <f t="shared" si="98"/>
        <v>1</v>
      </c>
    </row>
    <row r="846" spans="1:27" x14ac:dyDescent="0.4">
      <c r="A846">
        <v>845</v>
      </c>
      <c r="B846">
        <v>3</v>
      </c>
      <c r="C846" t="s">
        <v>1654</v>
      </c>
      <c r="D846" t="s">
        <v>13</v>
      </c>
      <c r="E846">
        <v>17</v>
      </c>
      <c r="F846">
        <v>0</v>
      </c>
      <c r="G846">
        <v>0</v>
      </c>
      <c r="H846" t="s">
        <v>1655</v>
      </c>
      <c r="I846">
        <v>8.6624999999999996</v>
      </c>
      <c r="J846" t="s">
        <v>15</v>
      </c>
      <c r="K846" t="s">
        <v>16</v>
      </c>
      <c r="L846">
        <v>0</v>
      </c>
      <c r="R846">
        <f t="shared" si="95"/>
        <v>17</v>
      </c>
      <c r="S846" t="str">
        <f t="shared" si="96"/>
        <v>S</v>
      </c>
      <c r="U846">
        <f t="shared" si="97"/>
        <v>0</v>
      </c>
      <c r="V846">
        <f t="shared" si="99"/>
        <v>0</v>
      </c>
      <c r="W846">
        <f t="shared" si="99"/>
        <v>0</v>
      </c>
      <c r="X846">
        <f t="shared" si="99"/>
        <v>1</v>
      </c>
      <c r="Y846">
        <f t="shared" si="98"/>
        <v>1</v>
      </c>
      <c r="Z846">
        <f t="shared" si="98"/>
        <v>0</v>
      </c>
      <c r="AA846">
        <f t="shared" si="98"/>
        <v>0</v>
      </c>
    </row>
    <row r="847" spans="1:27" x14ac:dyDescent="0.4">
      <c r="A847">
        <v>846</v>
      </c>
      <c r="B847">
        <v>3</v>
      </c>
      <c r="C847" t="s">
        <v>1656</v>
      </c>
      <c r="D847" t="s">
        <v>13</v>
      </c>
      <c r="E847">
        <v>42</v>
      </c>
      <c r="F847">
        <v>0</v>
      </c>
      <c r="G847">
        <v>0</v>
      </c>
      <c r="H847" t="s">
        <v>1657</v>
      </c>
      <c r="I847">
        <v>7.55</v>
      </c>
      <c r="J847" t="s">
        <v>15</v>
      </c>
      <c r="K847" t="s">
        <v>16</v>
      </c>
      <c r="L847">
        <v>0</v>
      </c>
      <c r="R847">
        <f t="shared" si="95"/>
        <v>42</v>
      </c>
      <c r="S847" t="str">
        <f t="shared" si="96"/>
        <v>S</v>
      </c>
      <c r="U847">
        <f t="shared" si="97"/>
        <v>0</v>
      </c>
      <c r="V847">
        <f t="shared" si="99"/>
        <v>0</v>
      </c>
      <c r="W847">
        <f t="shared" si="99"/>
        <v>0</v>
      </c>
      <c r="X847">
        <f t="shared" si="99"/>
        <v>1</v>
      </c>
      <c r="Y847">
        <f t="shared" si="98"/>
        <v>1</v>
      </c>
      <c r="Z847">
        <f t="shared" si="98"/>
        <v>0</v>
      </c>
      <c r="AA847">
        <f t="shared" si="98"/>
        <v>0</v>
      </c>
    </row>
    <row r="848" spans="1:27" x14ac:dyDescent="0.4">
      <c r="A848">
        <v>847</v>
      </c>
      <c r="B848">
        <v>3</v>
      </c>
      <c r="C848" t="s">
        <v>1658</v>
      </c>
      <c r="D848" t="s">
        <v>13</v>
      </c>
      <c r="F848">
        <v>8</v>
      </c>
      <c r="G848">
        <v>2</v>
      </c>
      <c r="H848" t="s">
        <v>354</v>
      </c>
      <c r="I848">
        <v>69.55</v>
      </c>
      <c r="J848" t="s">
        <v>15</v>
      </c>
      <c r="K848" t="s">
        <v>16</v>
      </c>
      <c r="L848">
        <v>0</v>
      </c>
      <c r="R848">
        <f t="shared" si="95"/>
        <v>28</v>
      </c>
      <c r="S848" t="str">
        <f t="shared" si="96"/>
        <v>S</v>
      </c>
      <c r="U848">
        <f t="shared" si="97"/>
        <v>0</v>
      </c>
      <c r="V848">
        <f t="shared" si="99"/>
        <v>0</v>
      </c>
      <c r="W848">
        <f t="shared" si="99"/>
        <v>0</v>
      </c>
      <c r="X848">
        <f t="shared" si="99"/>
        <v>1</v>
      </c>
      <c r="Y848">
        <f t="shared" si="98"/>
        <v>1</v>
      </c>
      <c r="Z848">
        <f t="shared" si="98"/>
        <v>0</v>
      </c>
      <c r="AA848">
        <f t="shared" si="98"/>
        <v>0</v>
      </c>
    </row>
    <row r="849" spans="1:27" x14ac:dyDescent="0.4">
      <c r="A849">
        <v>848</v>
      </c>
      <c r="B849">
        <v>3</v>
      </c>
      <c r="C849" t="s">
        <v>1659</v>
      </c>
      <c r="D849" t="s">
        <v>13</v>
      </c>
      <c r="E849">
        <v>35</v>
      </c>
      <c r="F849">
        <v>0</v>
      </c>
      <c r="G849">
        <v>0</v>
      </c>
      <c r="H849" t="s">
        <v>1660</v>
      </c>
      <c r="I849">
        <v>7.8958000000000004</v>
      </c>
      <c r="J849" t="s">
        <v>15</v>
      </c>
      <c r="K849" t="s">
        <v>21</v>
      </c>
      <c r="L849">
        <v>0</v>
      </c>
      <c r="R849">
        <f t="shared" si="95"/>
        <v>35</v>
      </c>
      <c r="S849" t="str">
        <f t="shared" si="96"/>
        <v>C</v>
      </c>
      <c r="U849">
        <f t="shared" si="97"/>
        <v>0</v>
      </c>
      <c r="V849">
        <f t="shared" si="99"/>
        <v>0</v>
      </c>
      <c r="W849">
        <f t="shared" si="99"/>
        <v>0</v>
      </c>
      <c r="X849">
        <f t="shared" si="99"/>
        <v>1</v>
      </c>
      <c r="Y849">
        <f t="shared" si="98"/>
        <v>0</v>
      </c>
      <c r="Z849">
        <f t="shared" si="98"/>
        <v>0</v>
      </c>
      <c r="AA849">
        <f t="shared" si="98"/>
        <v>1</v>
      </c>
    </row>
    <row r="850" spans="1:27" x14ac:dyDescent="0.4">
      <c r="A850">
        <v>849</v>
      </c>
      <c r="B850">
        <v>2</v>
      </c>
      <c r="C850" t="s">
        <v>1661</v>
      </c>
      <c r="D850" t="s">
        <v>13</v>
      </c>
      <c r="E850">
        <v>28</v>
      </c>
      <c r="F850">
        <v>0</v>
      </c>
      <c r="G850">
        <v>1</v>
      </c>
      <c r="H850" t="s">
        <v>1209</v>
      </c>
      <c r="I850">
        <v>33</v>
      </c>
      <c r="J850" t="s">
        <v>15</v>
      </c>
      <c r="K850" t="s">
        <v>16</v>
      </c>
      <c r="L850">
        <v>0</v>
      </c>
      <c r="R850">
        <f t="shared" si="95"/>
        <v>28</v>
      </c>
      <c r="S850" t="str">
        <f t="shared" si="96"/>
        <v>S</v>
      </c>
      <c r="U850">
        <f t="shared" si="97"/>
        <v>0</v>
      </c>
      <c r="V850">
        <f t="shared" si="99"/>
        <v>0</v>
      </c>
      <c r="W850">
        <f t="shared" si="99"/>
        <v>1</v>
      </c>
      <c r="X850">
        <f t="shared" si="99"/>
        <v>0</v>
      </c>
      <c r="Y850">
        <f t="shared" si="98"/>
        <v>1</v>
      </c>
      <c r="Z850">
        <f t="shared" si="98"/>
        <v>0</v>
      </c>
      <c r="AA850">
        <f t="shared" si="98"/>
        <v>0</v>
      </c>
    </row>
    <row r="851" spans="1:27" x14ac:dyDescent="0.4">
      <c r="A851">
        <v>850</v>
      </c>
      <c r="B851">
        <v>1</v>
      </c>
      <c r="C851" t="s">
        <v>1662</v>
      </c>
      <c r="D851" t="s">
        <v>18</v>
      </c>
      <c r="F851">
        <v>1</v>
      </c>
      <c r="G851">
        <v>0</v>
      </c>
      <c r="H851" t="s">
        <v>933</v>
      </c>
      <c r="I851">
        <v>89.104200000000006</v>
      </c>
      <c r="J851" t="s">
        <v>934</v>
      </c>
      <c r="K851" t="s">
        <v>21</v>
      </c>
      <c r="L851">
        <v>1</v>
      </c>
      <c r="R851">
        <f t="shared" si="95"/>
        <v>28</v>
      </c>
      <c r="S851" t="str">
        <f t="shared" si="96"/>
        <v>C</v>
      </c>
      <c r="U851">
        <f t="shared" si="97"/>
        <v>1</v>
      </c>
      <c r="V851">
        <f t="shared" si="99"/>
        <v>1</v>
      </c>
      <c r="W851">
        <f t="shared" si="99"/>
        <v>0</v>
      </c>
      <c r="X851">
        <f t="shared" si="99"/>
        <v>0</v>
      </c>
      <c r="Y851">
        <f t="shared" si="98"/>
        <v>0</v>
      </c>
      <c r="Z851">
        <f t="shared" si="98"/>
        <v>0</v>
      </c>
      <c r="AA851">
        <f t="shared" si="98"/>
        <v>1</v>
      </c>
    </row>
    <row r="852" spans="1:27" x14ac:dyDescent="0.4">
      <c r="A852">
        <v>851</v>
      </c>
      <c r="B852">
        <v>3</v>
      </c>
      <c r="C852" t="s">
        <v>1663</v>
      </c>
      <c r="D852" t="s">
        <v>13</v>
      </c>
      <c r="E852">
        <v>4</v>
      </c>
      <c r="F852">
        <v>4</v>
      </c>
      <c r="G852">
        <v>2</v>
      </c>
      <c r="H852" t="s">
        <v>50</v>
      </c>
      <c r="I852">
        <v>31.274999999999999</v>
      </c>
      <c r="J852" t="s">
        <v>15</v>
      </c>
      <c r="K852" t="s">
        <v>16</v>
      </c>
      <c r="L852">
        <v>0</v>
      </c>
      <c r="R852">
        <f t="shared" si="95"/>
        <v>4</v>
      </c>
      <c r="S852" t="str">
        <f t="shared" si="96"/>
        <v>S</v>
      </c>
      <c r="U852">
        <f t="shared" si="97"/>
        <v>0</v>
      </c>
      <c r="V852">
        <f t="shared" si="99"/>
        <v>0</v>
      </c>
      <c r="W852">
        <f t="shared" si="99"/>
        <v>0</v>
      </c>
      <c r="X852">
        <f t="shared" si="99"/>
        <v>1</v>
      </c>
      <c r="Y852">
        <f t="shared" si="98"/>
        <v>1</v>
      </c>
      <c r="Z852">
        <f t="shared" si="98"/>
        <v>0</v>
      </c>
      <c r="AA852">
        <f t="shared" si="98"/>
        <v>0</v>
      </c>
    </row>
    <row r="853" spans="1:27" x14ac:dyDescent="0.4">
      <c r="A853">
        <v>852</v>
      </c>
      <c r="B853">
        <v>3</v>
      </c>
      <c r="C853" t="s">
        <v>1664</v>
      </c>
      <c r="D853" t="s">
        <v>13</v>
      </c>
      <c r="E853">
        <v>74</v>
      </c>
      <c r="F853">
        <v>0</v>
      </c>
      <c r="G853">
        <v>0</v>
      </c>
      <c r="H853" t="s">
        <v>1665</v>
      </c>
      <c r="I853">
        <v>7.7750000000000004</v>
      </c>
      <c r="J853" t="s">
        <v>15</v>
      </c>
      <c r="K853" t="s">
        <v>16</v>
      </c>
      <c r="L853">
        <v>0</v>
      </c>
      <c r="R853">
        <f t="shared" si="95"/>
        <v>74</v>
      </c>
      <c r="S853" t="str">
        <f t="shared" si="96"/>
        <v>S</v>
      </c>
      <c r="U853">
        <f t="shared" si="97"/>
        <v>0</v>
      </c>
      <c r="V853">
        <f t="shared" si="99"/>
        <v>0</v>
      </c>
      <c r="W853">
        <f t="shared" si="99"/>
        <v>0</v>
      </c>
      <c r="X853">
        <f t="shared" si="99"/>
        <v>1</v>
      </c>
      <c r="Y853">
        <f t="shared" si="98"/>
        <v>1</v>
      </c>
      <c r="Z853">
        <f t="shared" si="98"/>
        <v>0</v>
      </c>
      <c r="AA853">
        <f t="shared" si="98"/>
        <v>0</v>
      </c>
    </row>
    <row r="854" spans="1:27" x14ac:dyDescent="0.4">
      <c r="A854">
        <v>853</v>
      </c>
      <c r="B854">
        <v>3</v>
      </c>
      <c r="C854" t="s">
        <v>1666</v>
      </c>
      <c r="D854" t="s">
        <v>18</v>
      </c>
      <c r="E854">
        <v>9</v>
      </c>
      <c r="F854">
        <v>1</v>
      </c>
      <c r="G854">
        <v>1</v>
      </c>
      <c r="H854" t="s">
        <v>315</v>
      </c>
      <c r="I854">
        <v>15.245799999999999</v>
      </c>
      <c r="J854" t="s">
        <v>15</v>
      </c>
      <c r="K854" t="s">
        <v>21</v>
      </c>
      <c r="L854">
        <v>0</v>
      </c>
      <c r="R854">
        <f t="shared" si="95"/>
        <v>9</v>
      </c>
      <c r="S854" t="str">
        <f t="shared" si="96"/>
        <v>C</v>
      </c>
      <c r="U854">
        <f t="shared" si="97"/>
        <v>1</v>
      </c>
      <c r="V854">
        <f t="shared" si="99"/>
        <v>0</v>
      </c>
      <c r="W854">
        <f t="shared" si="99"/>
        <v>0</v>
      </c>
      <c r="X854">
        <f t="shared" si="99"/>
        <v>1</v>
      </c>
      <c r="Y854">
        <f t="shared" si="98"/>
        <v>0</v>
      </c>
      <c r="Z854">
        <f t="shared" si="98"/>
        <v>0</v>
      </c>
      <c r="AA854">
        <f t="shared" si="98"/>
        <v>1</v>
      </c>
    </row>
    <row r="855" spans="1:27" x14ac:dyDescent="0.4">
      <c r="A855">
        <v>854</v>
      </c>
      <c r="B855">
        <v>1</v>
      </c>
      <c r="C855" t="s">
        <v>1667</v>
      </c>
      <c r="D855" t="s">
        <v>18</v>
      </c>
      <c r="E855">
        <v>16</v>
      </c>
      <c r="F855">
        <v>0</v>
      </c>
      <c r="G855">
        <v>1</v>
      </c>
      <c r="H855" t="s">
        <v>1668</v>
      </c>
      <c r="I855">
        <v>39.4</v>
      </c>
      <c r="J855" t="s">
        <v>1669</v>
      </c>
      <c r="K855" t="s">
        <v>16</v>
      </c>
      <c r="L855">
        <v>1</v>
      </c>
      <c r="R855">
        <f t="shared" si="95"/>
        <v>16</v>
      </c>
      <c r="S855" t="str">
        <f t="shared" si="96"/>
        <v>S</v>
      </c>
      <c r="U855">
        <f t="shared" si="97"/>
        <v>1</v>
      </c>
      <c r="V855">
        <f t="shared" si="99"/>
        <v>1</v>
      </c>
      <c r="W855">
        <f t="shared" si="99"/>
        <v>0</v>
      </c>
      <c r="X855">
        <f t="shared" si="99"/>
        <v>0</v>
      </c>
      <c r="Y855">
        <f t="shared" ref="Y855:AA874" si="100">IF($S855=RIGHT(Y$1,1),1,0)</f>
        <v>1</v>
      </c>
      <c r="Z855">
        <f t="shared" si="100"/>
        <v>0</v>
      </c>
      <c r="AA855">
        <f t="shared" si="100"/>
        <v>0</v>
      </c>
    </row>
    <row r="856" spans="1:27" x14ac:dyDescent="0.4">
      <c r="A856">
        <v>855</v>
      </c>
      <c r="B856">
        <v>2</v>
      </c>
      <c r="C856" t="s">
        <v>1670</v>
      </c>
      <c r="D856" t="s">
        <v>18</v>
      </c>
      <c r="E856">
        <v>44</v>
      </c>
      <c r="F856">
        <v>1</v>
      </c>
      <c r="G856">
        <v>0</v>
      </c>
      <c r="H856" t="s">
        <v>533</v>
      </c>
      <c r="I856">
        <v>26</v>
      </c>
      <c r="J856" t="s">
        <v>15</v>
      </c>
      <c r="K856" t="s">
        <v>16</v>
      </c>
      <c r="L856">
        <v>0</v>
      </c>
      <c r="R856">
        <f t="shared" si="95"/>
        <v>44</v>
      </c>
      <c r="S856" t="str">
        <f t="shared" si="96"/>
        <v>S</v>
      </c>
      <c r="U856">
        <f t="shared" si="97"/>
        <v>1</v>
      </c>
      <c r="V856">
        <f t="shared" si="99"/>
        <v>0</v>
      </c>
      <c r="W856">
        <f t="shared" si="99"/>
        <v>1</v>
      </c>
      <c r="X856">
        <f t="shared" si="99"/>
        <v>0</v>
      </c>
      <c r="Y856">
        <f t="shared" si="100"/>
        <v>1</v>
      </c>
      <c r="Z856">
        <f t="shared" si="100"/>
        <v>0</v>
      </c>
      <c r="AA856">
        <f t="shared" si="100"/>
        <v>0</v>
      </c>
    </row>
    <row r="857" spans="1:27" x14ac:dyDescent="0.4">
      <c r="A857">
        <v>856</v>
      </c>
      <c r="B857">
        <v>3</v>
      </c>
      <c r="C857" t="s">
        <v>1671</v>
      </c>
      <c r="D857" t="s">
        <v>18</v>
      </c>
      <c r="E857">
        <v>18</v>
      </c>
      <c r="F857">
        <v>0</v>
      </c>
      <c r="G857">
        <v>1</v>
      </c>
      <c r="H857" t="s">
        <v>1672</v>
      </c>
      <c r="I857">
        <v>9.35</v>
      </c>
      <c r="J857" t="s">
        <v>15</v>
      </c>
      <c r="K857" t="s">
        <v>16</v>
      </c>
      <c r="L857">
        <v>1</v>
      </c>
      <c r="R857">
        <f t="shared" si="95"/>
        <v>18</v>
      </c>
      <c r="S857" t="str">
        <f t="shared" si="96"/>
        <v>S</v>
      </c>
      <c r="U857">
        <f t="shared" si="97"/>
        <v>1</v>
      </c>
      <c r="V857">
        <f t="shared" si="99"/>
        <v>0</v>
      </c>
      <c r="W857">
        <f t="shared" si="99"/>
        <v>0</v>
      </c>
      <c r="X857">
        <f t="shared" si="99"/>
        <v>1</v>
      </c>
      <c r="Y857">
        <f t="shared" si="100"/>
        <v>1</v>
      </c>
      <c r="Z857">
        <f t="shared" si="100"/>
        <v>0</v>
      </c>
      <c r="AA857">
        <f t="shared" si="100"/>
        <v>0</v>
      </c>
    </row>
    <row r="858" spans="1:27" x14ac:dyDescent="0.4">
      <c r="A858">
        <v>857</v>
      </c>
      <c r="B858">
        <v>1</v>
      </c>
      <c r="C858" t="s">
        <v>1673</v>
      </c>
      <c r="D858" t="s">
        <v>18</v>
      </c>
      <c r="E858">
        <v>45</v>
      </c>
      <c r="F858">
        <v>1</v>
      </c>
      <c r="G858">
        <v>1</v>
      </c>
      <c r="H858" t="s">
        <v>679</v>
      </c>
      <c r="I858">
        <v>164.86670000000001</v>
      </c>
      <c r="J858" t="s">
        <v>15</v>
      </c>
      <c r="K858" t="s">
        <v>16</v>
      </c>
      <c r="L858">
        <v>1</v>
      </c>
      <c r="R858">
        <f t="shared" si="95"/>
        <v>45</v>
      </c>
      <c r="S858" t="str">
        <f t="shared" si="96"/>
        <v>S</v>
      </c>
      <c r="U858">
        <f t="shared" si="97"/>
        <v>1</v>
      </c>
      <c r="V858">
        <f t="shared" si="99"/>
        <v>1</v>
      </c>
      <c r="W858">
        <f t="shared" si="99"/>
        <v>0</v>
      </c>
      <c r="X858">
        <f t="shared" si="99"/>
        <v>0</v>
      </c>
      <c r="Y858">
        <f t="shared" si="100"/>
        <v>1</v>
      </c>
      <c r="Z858">
        <f t="shared" si="100"/>
        <v>0</v>
      </c>
      <c r="AA858">
        <f t="shared" si="100"/>
        <v>0</v>
      </c>
    </row>
    <row r="859" spans="1:27" x14ac:dyDescent="0.4">
      <c r="A859">
        <v>858</v>
      </c>
      <c r="B859">
        <v>1</v>
      </c>
      <c r="C859" t="s">
        <v>1674</v>
      </c>
      <c r="D859" t="s">
        <v>13</v>
      </c>
      <c r="E859">
        <v>51</v>
      </c>
      <c r="F859">
        <v>0</v>
      </c>
      <c r="G859">
        <v>0</v>
      </c>
      <c r="H859" t="s">
        <v>1675</v>
      </c>
      <c r="I859">
        <v>26.55</v>
      </c>
      <c r="J859" t="s">
        <v>1676</v>
      </c>
      <c r="K859" t="s">
        <v>16</v>
      </c>
      <c r="L859">
        <v>1</v>
      </c>
      <c r="R859">
        <f t="shared" si="95"/>
        <v>51</v>
      </c>
      <c r="S859" t="str">
        <f t="shared" si="96"/>
        <v>S</v>
      </c>
      <c r="U859">
        <f t="shared" si="97"/>
        <v>0</v>
      </c>
      <c r="V859">
        <f t="shared" si="99"/>
        <v>1</v>
      </c>
      <c r="W859">
        <f t="shared" si="99"/>
        <v>0</v>
      </c>
      <c r="X859">
        <f t="shared" si="99"/>
        <v>0</v>
      </c>
      <c r="Y859">
        <f t="shared" si="100"/>
        <v>1</v>
      </c>
      <c r="Z859">
        <f t="shared" si="100"/>
        <v>0</v>
      </c>
      <c r="AA859">
        <f t="shared" si="100"/>
        <v>0</v>
      </c>
    </row>
    <row r="860" spans="1:27" x14ac:dyDescent="0.4">
      <c r="A860">
        <v>859</v>
      </c>
      <c r="B860">
        <v>3</v>
      </c>
      <c r="C860" t="s">
        <v>1677</v>
      </c>
      <c r="D860" t="s">
        <v>18</v>
      </c>
      <c r="E860">
        <v>24</v>
      </c>
      <c r="F860">
        <v>0</v>
      </c>
      <c r="G860">
        <v>3</v>
      </c>
      <c r="H860" t="s">
        <v>922</v>
      </c>
      <c r="I860">
        <v>19.258299999999998</v>
      </c>
      <c r="J860" t="s">
        <v>15</v>
      </c>
      <c r="K860" t="s">
        <v>21</v>
      </c>
      <c r="L860">
        <v>1</v>
      </c>
      <c r="R860">
        <f t="shared" si="95"/>
        <v>24</v>
      </c>
      <c r="S860" t="str">
        <f t="shared" si="96"/>
        <v>C</v>
      </c>
      <c r="U860">
        <f t="shared" si="97"/>
        <v>1</v>
      </c>
      <c r="V860">
        <f t="shared" si="99"/>
        <v>0</v>
      </c>
      <c r="W860">
        <f t="shared" si="99"/>
        <v>0</v>
      </c>
      <c r="X860">
        <f t="shared" si="99"/>
        <v>1</v>
      </c>
      <c r="Y860">
        <f t="shared" si="100"/>
        <v>0</v>
      </c>
      <c r="Z860">
        <f t="shared" si="100"/>
        <v>0</v>
      </c>
      <c r="AA860">
        <f t="shared" si="100"/>
        <v>1</v>
      </c>
    </row>
    <row r="861" spans="1:27" x14ac:dyDescent="0.4">
      <c r="A861">
        <v>860</v>
      </c>
      <c r="B861">
        <v>3</v>
      </c>
      <c r="C861" t="s">
        <v>1678</v>
      </c>
      <c r="D861" t="s">
        <v>13</v>
      </c>
      <c r="F861">
        <v>0</v>
      </c>
      <c r="G861">
        <v>0</v>
      </c>
      <c r="H861" t="s">
        <v>1679</v>
      </c>
      <c r="I861">
        <v>7.2291999999999996</v>
      </c>
      <c r="J861" t="s">
        <v>15</v>
      </c>
      <c r="K861" t="s">
        <v>21</v>
      </c>
      <c r="L861">
        <v>0</v>
      </c>
      <c r="R861">
        <f t="shared" si="95"/>
        <v>28</v>
      </c>
      <c r="S861" t="str">
        <f t="shared" si="96"/>
        <v>C</v>
      </c>
      <c r="U861">
        <f t="shared" si="97"/>
        <v>0</v>
      </c>
      <c r="V861">
        <f t="shared" si="99"/>
        <v>0</v>
      </c>
      <c r="W861">
        <f t="shared" si="99"/>
        <v>0</v>
      </c>
      <c r="X861">
        <f t="shared" si="99"/>
        <v>1</v>
      </c>
      <c r="Y861">
        <f t="shared" si="100"/>
        <v>0</v>
      </c>
      <c r="Z861">
        <f t="shared" si="100"/>
        <v>0</v>
      </c>
      <c r="AA861">
        <f t="shared" si="100"/>
        <v>1</v>
      </c>
    </row>
    <row r="862" spans="1:27" x14ac:dyDescent="0.4">
      <c r="A862">
        <v>861</v>
      </c>
      <c r="B862">
        <v>3</v>
      </c>
      <c r="C862" t="s">
        <v>1680</v>
      </c>
      <c r="D862" t="s">
        <v>13</v>
      </c>
      <c r="E862">
        <v>41</v>
      </c>
      <c r="F862">
        <v>2</v>
      </c>
      <c r="G862">
        <v>0</v>
      </c>
      <c r="H862" t="s">
        <v>1681</v>
      </c>
      <c r="I862">
        <v>14.1083</v>
      </c>
      <c r="J862" t="s">
        <v>15</v>
      </c>
      <c r="K862" t="s">
        <v>16</v>
      </c>
      <c r="L862">
        <v>0</v>
      </c>
      <c r="R862">
        <f t="shared" si="95"/>
        <v>41</v>
      </c>
      <c r="S862" t="str">
        <f t="shared" si="96"/>
        <v>S</v>
      </c>
      <c r="U862">
        <f t="shared" si="97"/>
        <v>0</v>
      </c>
      <c r="V862">
        <f t="shared" ref="V862:X881" si="101">IF("Pclass_"&amp;$B862=V$1,1,0)</f>
        <v>0</v>
      </c>
      <c r="W862">
        <f t="shared" si="101"/>
        <v>0</v>
      </c>
      <c r="X862">
        <f t="shared" si="101"/>
        <v>1</v>
      </c>
      <c r="Y862">
        <f t="shared" si="100"/>
        <v>1</v>
      </c>
      <c r="Z862">
        <f t="shared" si="100"/>
        <v>0</v>
      </c>
      <c r="AA862">
        <f t="shared" si="100"/>
        <v>0</v>
      </c>
    </row>
    <row r="863" spans="1:27" x14ac:dyDescent="0.4">
      <c r="A863">
        <v>862</v>
      </c>
      <c r="B863">
        <v>2</v>
      </c>
      <c r="C863" t="s">
        <v>1682</v>
      </c>
      <c r="D863" t="s">
        <v>13</v>
      </c>
      <c r="E863">
        <v>21</v>
      </c>
      <c r="F863">
        <v>1</v>
      </c>
      <c r="G863">
        <v>0</v>
      </c>
      <c r="H863" t="s">
        <v>1683</v>
      </c>
      <c r="I863">
        <v>11.5</v>
      </c>
      <c r="J863" t="s">
        <v>15</v>
      </c>
      <c r="K863" t="s">
        <v>16</v>
      </c>
      <c r="L863">
        <v>0</v>
      </c>
      <c r="R863">
        <f t="shared" si="95"/>
        <v>21</v>
      </c>
      <c r="S863" t="str">
        <f t="shared" si="96"/>
        <v>S</v>
      </c>
      <c r="U863">
        <f t="shared" si="97"/>
        <v>0</v>
      </c>
      <c r="V863">
        <f t="shared" si="101"/>
        <v>0</v>
      </c>
      <c r="W863">
        <f t="shared" si="101"/>
        <v>1</v>
      </c>
      <c r="X863">
        <f t="shared" si="101"/>
        <v>0</v>
      </c>
      <c r="Y863">
        <f t="shared" si="100"/>
        <v>1</v>
      </c>
      <c r="Z863">
        <f t="shared" si="100"/>
        <v>0</v>
      </c>
      <c r="AA863">
        <f t="shared" si="100"/>
        <v>0</v>
      </c>
    </row>
    <row r="864" spans="1:27" x14ac:dyDescent="0.4">
      <c r="A864">
        <v>863</v>
      </c>
      <c r="B864">
        <v>1</v>
      </c>
      <c r="C864" t="s">
        <v>1684</v>
      </c>
      <c r="D864" t="s">
        <v>18</v>
      </c>
      <c r="E864">
        <v>48</v>
      </c>
      <c r="F864">
        <v>0</v>
      </c>
      <c r="G864">
        <v>0</v>
      </c>
      <c r="H864" t="s">
        <v>1685</v>
      </c>
      <c r="I864">
        <v>25.929200000000002</v>
      </c>
      <c r="J864" t="s">
        <v>1573</v>
      </c>
      <c r="K864" t="s">
        <v>16</v>
      </c>
      <c r="L864">
        <v>1</v>
      </c>
      <c r="R864">
        <f t="shared" si="95"/>
        <v>48</v>
      </c>
      <c r="S864" t="str">
        <f t="shared" si="96"/>
        <v>S</v>
      </c>
      <c r="U864">
        <f t="shared" si="97"/>
        <v>1</v>
      </c>
      <c r="V864">
        <f t="shared" si="101"/>
        <v>1</v>
      </c>
      <c r="W864">
        <f t="shared" si="101"/>
        <v>0</v>
      </c>
      <c r="X864">
        <f t="shared" si="101"/>
        <v>0</v>
      </c>
      <c r="Y864">
        <f t="shared" si="100"/>
        <v>1</v>
      </c>
      <c r="Z864">
        <f t="shared" si="100"/>
        <v>0</v>
      </c>
      <c r="AA864">
        <f t="shared" si="100"/>
        <v>0</v>
      </c>
    </row>
    <row r="865" spans="1:27" x14ac:dyDescent="0.4">
      <c r="A865">
        <v>864</v>
      </c>
      <c r="B865">
        <v>3</v>
      </c>
      <c r="C865" t="s">
        <v>1686</v>
      </c>
      <c r="D865" t="s">
        <v>18</v>
      </c>
      <c r="F865">
        <v>8</v>
      </c>
      <c r="G865">
        <v>2</v>
      </c>
      <c r="H865" t="s">
        <v>354</v>
      </c>
      <c r="I865">
        <v>69.55</v>
      </c>
      <c r="J865" t="s">
        <v>15</v>
      </c>
      <c r="K865" t="s">
        <v>16</v>
      </c>
      <c r="L865">
        <v>0</v>
      </c>
      <c r="R865">
        <f t="shared" si="95"/>
        <v>28</v>
      </c>
      <c r="S865" t="str">
        <f t="shared" si="96"/>
        <v>S</v>
      </c>
      <c r="U865">
        <f t="shared" si="97"/>
        <v>1</v>
      </c>
      <c r="V865">
        <f t="shared" si="101"/>
        <v>0</v>
      </c>
      <c r="W865">
        <f t="shared" si="101"/>
        <v>0</v>
      </c>
      <c r="X865">
        <f t="shared" si="101"/>
        <v>1</v>
      </c>
      <c r="Y865">
        <f t="shared" si="100"/>
        <v>1</v>
      </c>
      <c r="Z865">
        <f t="shared" si="100"/>
        <v>0</v>
      </c>
      <c r="AA865">
        <f t="shared" si="100"/>
        <v>0</v>
      </c>
    </row>
    <row r="866" spans="1:27" x14ac:dyDescent="0.4">
      <c r="A866">
        <v>865</v>
      </c>
      <c r="B866">
        <v>2</v>
      </c>
      <c r="C866" t="s">
        <v>1687</v>
      </c>
      <c r="D866" t="s">
        <v>13</v>
      </c>
      <c r="E866">
        <v>24</v>
      </c>
      <c r="F866">
        <v>0</v>
      </c>
      <c r="G866">
        <v>0</v>
      </c>
      <c r="H866" t="s">
        <v>1688</v>
      </c>
      <c r="I866">
        <v>13</v>
      </c>
      <c r="J866" t="s">
        <v>15</v>
      </c>
      <c r="K866" t="s">
        <v>16</v>
      </c>
      <c r="L866">
        <v>0</v>
      </c>
      <c r="R866">
        <f t="shared" si="95"/>
        <v>24</v>
      </c>
      <c r="S866" t="str">
        <f t="shared" si="96"/>
        <v>S</v>
      </c>
      <c r="U866">
        <f t="shared" si="97"/>
        <v>0</v>
      </c>
      <c r="V866">
        <f t="shared" si="101"/>
        <v>0</v>
      </c>
      <c r="W866">
        <f t="shared" si="101"/>
        <v>1</v>
      </c>
      <c r="X866">
        <f t="shared" si="101"/>
        <v>0</v>
      </c>
      <c r="Y866">
        <f t="shared" si="100"/>
        <v>1</v>
      </c>
      <c r="Z866">
        <f t="shared" si="100"/>
        <v>0</v>
      </c>
      <c r="AA866">
        <f t="shared" si="100"/>
        <v>0</v>
      </c>
    </row>
    <row r="867" spans="1:27" x14ac:dyDescent="0.4">
      <c r="A867">
        <v>866</v>
      </c>
      <c r="B867">
        <v>2</v>
      </c>
      <c r="C867" t="s">
        <v>1689</v>
      </c>
      <c r="D867" t="s">
        <v>18</v>
      </c>
      <c r="E867">
        <v>42</v>
      </c>
      <c r="F867">
        <v>0</v>
      </c>
      <c r="G867">
        <v>0</v>
      </c>
      <c r="H867" t="s">
        <v>1690</v>
      </c>
      <c r="I867">
        <v>13</v>
      </c>
      <c r="J867" t="s">
        <v>15</v>
      </c>
      <c r="K867" t="s">
        <v>16</v>
      </c>
      <c r="L867">
        <v>1</v>
      </c>
      <c r="R867">
        <f t="shared" si="95"/>
        <v>42</v>
      </c>
      <c r="S867" t="str">
        <f t="shared" si="96"/>
        <v>S</v>
      </c>
      <c r="U867">
        <f t="shared" si="97"/>
        <v>1</v>
      </c>
      <c r="V867">
        <f t="shared" si="101"/>
        <v>0</v>
      </c>
      <c r="W867">
        <f t="shared" si="101"/>
        <v>1</v>
      </c>
      <c r="X867">
        <f t="shared" si="101"/>
        <v>0</v>
      </c>
      <c r="Y867">
        <f t="shared" si="100"/>
        <v>1</v>
      </c>
      <c r="Z867">
        <f t="shared" si="100"/>
        <v>0</v>
      </c>
      <c r="AA867">
        <f t="shared" si="100"/>
        <v>0</v>
      </c>
    </row>
    <row r="868" spans="1:27" x14ac:dyDescent="0.4">
      <c r="A868">
        <v>867</v>
      </c>
      <c r="B868">
        <v>2</v>
      </c>
      <c r="C868" t="s">
        <v>1691</v>
      </c>
      <c r="D868" t="s">
        <v>18</v>
      </c>
      <c r="E868">
        <v>27</v>
      </c>
      <c r="F868">
        <v>1</v>
      </c>
      <c r="G868">
        <v>0</v>
      </c>
      <c r="H868" t="s">
        <v>1692</v>
      </c>
      <c r="I868">
        <v>13.8583</v>
      </c>
      <c r="J868" t="s">
        <v>15</v>
      </c>
      <c r="K868" t="s">
        <v>21</v>
      </c>
      <c r="L868">
        <v>1</v>
      </c>
      <c r="R868">
        <f t="shared" si="95"/>
        <v>27</v>
      </c>
      <c r="S868" t="str">
        <f t="shared" si="96"/>
        <v>C</v>
      </c>
      <c r="U868">
        <f t="shared" si="97"/>
        <v>1</v>
      </c>
      <c r="V868">
        <f t="shared" si="101"/>
        <v>0</v>
      </c>
      <c r="W868">
        <f t="shared" si="101"/>
        <v>1</v>
      </c>
      <c r="X868">
        <f t="shared" si="101"/>
        <v>0</v>
      </c>
      <c r="Y868">
        <f t="shared" si="100"/>
        <v>0</v>
      </c>
      <c r="Z868">
        <f t="shared" si="100"/>
        <v>0</v>
      </c>
      <c r="AA868">
        <f t="shared" si="100"/>
        <v>1</v>
      </c>
    </row>
    <row r="869" spans="1:27" x14ac:dyDescent="0.4">
      <c r="A869">
        <v>868</v>
      </c>
      <c r="B869">
        <v>1</v>
      </c>
      <c r="C869" t="s">
        <v>1693</v>
      </c>
      <c r="D869" t="s">
        <v>13</v>
      </c>
      <c r="E869">
        <v>31</v>
      </c>
      <c r="F869">
        <v>0</v>
      </c>
      <c r="G869">
        <v>0</v>
      </c>
      <c r="H869" t="s">
        <v>1694</v>
      </c>
      <c r="I869">
        <v>50.495800000000003</v>
      </c>
      <c r="J869" t="s">
        <v>1695</v>
      </c>
      <c r="K869" t="s">
        <v>16</v>
      </c>
      <c r="L869">
        <v>0</v>
      </c>
      <c r="R869">
        <f t="shared" si="95"/>
        <v>31</v>
      </c>
      <c r="S869" t="str">
        <f t="shared" si="96"/>
        <v>S</v>
      </c>
      <c r="U869">
        <f t="shared" si="97"/>
        <v>0</v>
      </c>
      <c r="V869">
        <f t="shared" si="101"/>
        <v>1</v>
      </c>
      <c r="W869">
        <f t="shared" si="101"/>
        <v>0</v>
      </c>
      <c r="X869">
        <f t="shared" si="101"/>
        <v>0</v>
      </c>
      <c r="Y869">
        <f t="shared" si="100"/>
        <v>1</v>
      </c>
      <c r="Z869">
        <f t="shared" si="100"/>
        <v>0</v>
      </c>
      <c r="AA869">
        <f t="shared" si="100"/>
        <v>0</v>
      </c>
    </row>
    <row r="870" spans="1:27" x14ac:dyDescent="0.4">
      <c r="A870">
        <v>869</v>
      </c>
      <c r="B870">
        <v>3</v>
      </c>
      <c r="C870" t="s">
        <v>1696</v>
      </c>
      <c r="D870" t="s">
        <v>13</v>
      </c>
      <c r="F870">
        <v>0</v>
      </c>
      <c r="G870">
        <v>0</v>
      </c>
      <c r="H870" t="s">
        <v>1697</v>
      </c>
      <c r="I870">
        <v>9.5</v>
      </c>
      <c r="J870" t="s">
        <v>15</v>
      </c>
      <c r="K870" t="s">
        <v>16</v>
      </c>
      <c r="L870">
        <v>0</v>
      </c>
      <c r="R870">
        <f t="shared" si="95"/>
        <v>28</v>
      </c>
      <c r="S870" t="str">
        <f t="shared" si="96"/>
        <v>S</v>
      </c>
      <c r="U870">
        <f t="shared" si="97"/>
        <v>0</v>
      </c>
      <c r="V870">
        <f t="shared" si="101"/>
        <v>0</v>
      </c>
      <c r="W870">
        <f t="shared" si="101"/>
        <v>0</v>
      </c>
      <c r="X870">
        <f t="shared" si="101"/>
        <v>1</v>
      </c>
      <c r="Y870">
        <f t="shared" si="100"/>
        <v>1</v>
      </c>
      <c r="Z870">
        <f t="shared" si="100"/>
        <v>0</v>
      </c>
      <c r="AA870">
        <f t="shared" si="100"/>
        <v>0</v>
      </c>
    </row>
    <row r="871" spans="1:27" x14ac:dyDescent="0.4">
      <c r="A871">
        <v>870</v>
      </c>
      <c r="B871">
        <v>3</v>
      </c>
      <c r="C871" t="s">
        <v>1698</v>
      </c>
      <c r="D871" t="s">
        <v>13</v>
      </c>
      <c r="E871">
        <v>4</v>
      </c>
      <c r="F871">
        <v>1</v>
      </c>
      <c r="G871">
        <v>1</v>
      </c>
      <c r="H871" t="s">
        <v>38</v>
      </c>
      <c r="I871">
        <v>11.1333</v>
      </c>
      <c r="J871" t="s">
        <v>15</v>
      </c>
      <c r="K871" t="s">
        <v>16</v>
      </c>
      <c r="L871">
        <v>1</v>
      </c>
      <c r="R871">
        <f t="shared" si="95"/>
        <v>4</v>
      </c>
      <c r="S871" t="str">
        <f t="shared" si="96"/>
        <v>S</v>
      </c>
      <c r="U871">
        <f t="shared" si="97"/>
        <v>0</v>
      </c>
      <c r="V871">
        <f t="shared" si="101"/>
        <v>0</v>
      </c>
      <c r="W871">
        <f t="shared" si="101"/>
        <v>0</v>
      </c>
      <c r="X871">
        <f t="shared" si="101"/>
        <v>1</v>
      </c>
      <c r="Y871">
        <f t="shared" si="100"/>
        <v>1</v>
      </c>
      <c r="Z871">
        <f t="shared" si="100"/>
        <v>0</v>
      </c>
      <c r="AA871">
        <f t="shared" si="100"/>
        <v>0</v>
      </c>
    </row>
    <row r="872" spans="1:27" x14ac:dyDescent="0.4">
      <c r="A872">
        <v>871</v>
      </c>
      <c r="B872">
        <v>3</v>
      </c>
      <c r="C872" t="s">
        <v>1699</v>
      </c>
      <c r="D872" t="s">
        <v>13</v>
      </c>
      <c r="E872">
        <v>26</v>
      </c>
      <c r="F872">
        <v>0</v>
      </c>
      <c r="G872">
        <v>0</v>
      </c>
      <c r="H872" t="s">
        <v>1700</v>
      </c>
      <c r="I872">
        <v>7.8958000000000004</v>
      </c>
      <c r="J872" t="s">
        <v>15</v>
      </c>
      <c r="K872" t="s">
        <v>16</v>
      </c>
      <c r="L872">
        <v>0</v>
      </c>
      <c r="R872">
        <f t="shared" si="95"/>
        <v>26</v>
      </c>
      <c r="S872" t="str">
        <f t="shared" si="96"/>
        <v>S</v>
      </c>
      <c r="U872">
        <f t="shared" si="97"/>
        <v>0</v>
      </c>
      <c r="V872">
        <f t="shared" si="101"/>
        <v>0</v>
      </c>
      <c r="W872">
        <f t="shared" si="101"/>
        <v>0</v>
      </c>
      <c r="X872">
        <f t="shared" si="101"/>
        <v>1</v>
      </c>
      <c r="Y872">
        <f t="shared" si="100"/>
        <v>1</v>
      </c>
      <c r="Z872">
        <f t="shared" si="100"/>
        <v>0</v>
      </c>
      <c r="AA872">
        <f t="shared" si="100"/>
        <v>0</v>
      </c>
    </row>
    <row r="873" spans="1:27" x14ac:dyDescent="0.4">
      <c r="A873">
        <v>872</v>
      </c>
      <c r="B873">
        <v>1</v>
      </c>
      <c r="C873" t="s">
        <v>1701</v>
      </c>
      <c r="D873" t="s">
        <v>18</v>
      </c>
      <c r="E873">
        <v>47</v>
      </c>
      <c r="F873">
        <v>1</v>
      </c>
      <c r="G873">
        <v>1</v>
      </c>
      <c r="H873" t="s">
        <v>530</v>
      </c>
      <c r="I873">
        <v>52.554200000000002</v>
      </c>
      <c r="J873" t="s">
        <v>531</v>
      </c>
      <c r="K873" t="s">
        <v>16</v>
      </c>
      <c r="L873">
        <v>1</v>
      </c>
      <c r="R873">
        <f t="shared" si="95"/>
        <v>47</v>
      </c>
      <c r="S873" t="str">
        <f t="shared" si="96"/>
        <v>S</v>
      </c>
      <c r="U873">
        <f t="shared" si="97"/>
        <v>1</v>
      </c>
      <c r="V873">
        <f t="shared" si="101"/>
        <v>1</v>
      </c>
      <c r="W873">
        <f t="shared" si="101"/>
        <v>0</v>
      </c>
      <c r="X873">
        <f t="shared" si="101"/>
        <v>0</v>
      </c>
      <c r="Y873">
        <f t="shared" si="100"/>
        <v>1</v>
      </c>
      <c r="Z873">
        <f t="shared" si="100"/>
        <v>0</v>
      </c>
      <c r="AA873">
        <f t="shared" si="100"/>
        <v>0</v>
      </c>
    </row>
    <row r="874" spans="1:27" x14ac:dyDescent="0.4">
      <c r="A874">
        <v>873</v>
      </c>
      <c r="B874">
        <v>1</v>
      </c>
      <c r="C874" t="s">
        <v>1702</v>
      </c>
      <c r="D874" t="s">
        <v>13</v>
      </c>
      <c r="E874">
        <v>33</v>
      </c>
      <c r="F874">
        <v>0</v>
      </c>
      <c r="G874">
        <v>0</v>
      </c>
      <c r="H874" t="s">
        <v>1703</v>
      </c>
      <c r="I874">
        <v>5</v>
      </c>
      <c r="J874" t="s">
        <v>1358</v>
      </c>
      <c r="K874" t="s">
        <v>16</v>
      </c>
      <c r="L874">
        <v>0</v>
      </c>
      <c r="R874">
        <f t="shared" si="95"/>
        <v>33</v>
      </c>
      <c r="S874" t="str">
        <f t="shared" si="96"/>
        <v>S</v>
      </c>
      <c r="U874">
        <f t="shared" si="97"/>
        <v>0</v>
      </c>
      <c r="V874">
        <f t="shared" si="101"/>
        <v>1</v>
      </c>
      <c r="W874">
        <f t="shared" si="101"/>
        <v>0</v>
      </c>
      <c r="X874">
        <f t="shared" si="101"/>
        <v>0</v>
      </c>
      <c r="Y874">
        <f t="shared" si="100"/>
        <v>1</v>
      </c>
      <c r="Z874">
        <f t="shared" si="100"/>
        <v>0</v>
      </c>
      <c r="AA874">
        <f t="shared" si="100"/>
        <v>0</v>
      </c>
    </row>
    <row r="875" spans="1:27" x14ac:dyDescent="0.4">
      <c r="A875">
        <v>874</v>
      </c>
      <c r="B875">
        <v>3</v>
      </c>
      <c r="C875" t="s">
        <v>1704</v>
      </c>
      <c r="D875" t="s">
        <v>13</v>
      </c>
      <c r="E875">
        <v>47</v>
      </c>
      <c r="F875">
        <v>0</v>
      </c>
      <c r="G875">
        <v>0</v>
      </c>
      <c r="H875" t="s">
        <v>1705</v>
      </c>
      <c r="I875">
        <v>9</v>
      </c>
      <c r="J875" t="s">
        <v>15</v>
      </c>
      <c r="K875" t="s">
        <v>16</v>
      </c>
      <c r="L875">
        <v>0</v>
      </c>
      <c r="R875">
        <f t="shared" si="95"/>
        <v>47</v>
      </c>
      <c r="S875" t="str">
        <f t="shared" si="96"/>
        <v>S</v>
      </c>
      <c r="U875">
        <f t="shared" si="97"/>
        <v>0</v>
      </c>
      <c r="V875">
        <f t="shared" si="101"/>
        <v>0</v>
      </c>
      <c r="W875">
        <f t="shared" si="101"/>
        <v>0</v>
      </c>
      <c r="X875">
        <f t="shared" si="101"/>
        <v>1</v>
      </c>
      <c r="Y875">
        <f t="shared" ref="Y875:AA892" si="102">IF($S875=RIGHT(Y$1,1),1,0)</f>
        <v>1</v>
      </c>
      <c r="Z875">
        <f t="shared" si="102"/>
        <v>0</v>
      </c>
      <c r="AA875">
        <f t="shared" si="102"/>
        <v>0</v>
      </c>
    </row>
    <row r="876" spans="1:27" x14ac:dyDescent="0.4">
      <c r="A876">
        <v>875</v>
      </c>
      <c r="B876">
        <v>2</v>
      </c>
      <c r="C876" t="s">
        <v>1706</v>
      </c>
      <c r="D876" t="s">
        <v>18</v>
      </c>
      <c r="E876">
        <v>28</v>
      </c>
      <c r="F876">
        <v>1</v>
      </c>
      <c r="G876">
        <v>0</v>
      </c>
      <c r="H876" t="s">
        <v>657</v>
      </c>
      <c r="I876">
        <v>24</v>
      </c>
      <c r="J876" t="s">
        <v>15</v>
      </c>
      <c r="K876" t="s">
        <v>21</v>
      </c>
      <c r="L876">
        <v>1</v>
      </c>
      <c r="R876">
        <f t="shared" si="95"/>
        <v>28</v>
      </c>
      <c r="S876" t="str">
        <f t="shared" si="96"/>
        <v>C</v>
      </c>
      <c r="U876">
        <f t="shared" si="97"/>
        <v>1</v>
      </c>
      <c r="V876">
        <f t="shared" si="101"/>
        <v>0</v>
      </c>
      <c r="W876">
        <f t="shared" si="101"/>
        <v>1</v>
      </c>
      <c r="X876">
        <f t="shared" si="101"/>
        <v>0</v>
      </c>
      <c r="Y876">
        <f t="shared" si="102"/>
        <v>0</v>
      </c>
      <c r="Z876">
        <f t="shared" si="102"/>
        <v>0</v>
      </c>
      <c r="AA876">
        <f t="shared" si="102"/>
        <v>1</v>
      </c>
    </row>
    <row r="877" spans="1:27" x14ac:dyDescent="0.4">
      <c r="A877">
        <v>876</v>
      </c>
      <c r="B877">
        <v>3</v>
      </c>
      <c r="C877" t="s">
        <v>1707</v>
      </c>
      <c r="D877" t="s">
        <v>18</v>
      </c>
      <c r="E877">
        <v>15</v>
      </c>
      <c r="F877">
        <v>0</v>
      </c>
      <c r="G877">
        <v>0</v>
      </c>
      <c r="H877" t="s">
        <v>1708</v>
      </c>
      <c r="I877">
        <v>7.2249999999999996</v>
      </c>
      <c r="J877" t="s">
        <v>15</v>
      </c>
      <c r="K877" t="s">
        <v>21</v>
      </c>
      <c r="L877">
        <v>1</v>
      </c>
      <c r="R877">
        <f t="shared" si="95"/>
        <v>15</v>
      </c>
      <c r="S877" t="str">
        <f t="shared" si="96"/>
        <v>C</v>
      </c>
      <c r="U877">
        <f t="shared" si="97"/>
        <v>1</v>
      </c>
      <c r="V877">
        <f t="shared" si="101"/>
        <v>0</v>
      </c>
      <c r="W877">
        <f t="shared" si="101"/>
        <v>0</v>
      </c>
      <c r="X877">
        <f t="shared" si="101"/>
        <v>1</v>
      </c>
      <c r="Y877">
        <f t="shared" si="102"/>
        <v>0</v>
      </c>
      <c r="Z877">
        <f t="shared" si="102"/>
        <v>0</v>
      </c>
      <c r="AA877">
        <f t="shared" si="102"/>
        <v>1</v>
      </c>
    </row>
    <row r="878" spans="1:27" x14ac:dyDescent="0.4">
      <c r="A878">
        <v>877</v>
      </c>
      <c r="B878">
        <v>3</v>
      </c>
      <c r="C878" t="s">
        <v>1709</v>
      </c>
      <c r="D878" t="s">
        <v>13</v>
      </c>
      <c r="E878">
        <v>20</v>
      </c>
      <c r="F878">
        <v>0</v>
      </c>
      <c r="G878">
        <v>0</v>
      </c>
      <c r="H878" t="s">
        <v>310</v>
      </c>
      <c r="I878">
        <v>9.8458000000000006</v>
      </c>
      <c r="J878" t="s">
        <v>15</v>
      </c>
      <c r="K878" t="s">
        <v>16</v>
      </c>
      <c r="L878">
        <v>0</v>
      </c>
      <c r="R878">
        <f t="shared" si="95"/>
        <v>20</v>
      </c>
      <c r="S878" t="str">
        <f t="shared" si="96"/>
        <v>S</v>
      </c>
      <c r="U878">
        <f t="shared" si="97"/>
        <v>0</v>
      </c>
      <c r="V878">
        <f t="shared" si="101"/>
        <v>0</v>
      </c>
      <c r="W878">
        <f t="shared" si="101"/>
        <v>0</v>
      </c>
      <c r="X878">
        <f t="shared" si="101"/>
        <v>1</v>
      </c>
      <c r="Y878">
        <f t="shared" si="102"/>
        <v>1</v>
      </c>
      <c r="Z878">
        <f t="shared" si="102"/>
        <v>0</v>
      </c>
      <c r="AA878">
        <f t="shared" si="102"/>
        <v>0</v>
      </c>
    </row>
    <row r="879" spans="1:27" x14ac:dyDescent="0.4">
      <c r="A879">
        <v>878</v>
      </c>
      <c r="B879">
        <v>3</v>
      </c>
      <c r="C879" t="s">
        <v>1710</v>
      </c>
      <c r="D879" t="s">
        <v>13</v>
      </c>
      <c r="E879">
        <v>19</v>
      </c>
      <c r="F879">
        <v>0</v>
      </c>
      <c r="G879">
        <v>0</v>
      </c>
      <c r="H879" t="s">
        <v>1711</v>
      </c>
      <c r="I879">
        <v>7.8958000000000004</v>
      </c>
      <c r="J879" t="s">
        <v>15</v>
      </c>
      <c r="K879" t="s">
        <v>16</v>
      </c>
      <c r="L879">
        <v>0</v>
      </c>
      <c r="R879">
        <f t="shared" si="95"/>
        <v>19</v>
      </c>
      <c r="S879" t="str">
        <f t="shared" si="96"/>
        <v>S</v>
      </c>
      <c r="U879">
        <f t="shared" si="97"/>
        <v>0</v>
      </c>
      <c r="V879">
        <f t="shared" si="101"/>
        <v>0</v>
      </c>
      <c r="W879">
        <f t="shared" si="101"/>
        <v>0</v>
      </c>
      <c r="X879">
        <f t="shared" si="101"/>
        <v>1</v>
      </c>
      <c r="Y879">
        <f t="shared" si="102"/>
        <v>1</v>
      </c>
      <c r="Z879">
        <f t="shared" si="102"/>
        <v>0</v>
      </c>
      <c r="AA879">
        <f t="shared" si="102"/>
        <v>0</v>
      </c>
    </row>
    <row r="880" spans="1:27" x14ac:dyDescent="0.4">
      <c r="A880">
        <v>879</v>
      </c>
      <c r="B880">
        <v>3</v>
      </c>
      <c r="C880" t="s">
        <v>1712</v>
      </c>
      <c r="D880" t="s">
        <v>13</v>
      </c>
      <c r="F880">
        <v>0</v>
      </c>
      <c r="G880">
        <v>0</v>
      </c>
      <c r="H880" t="s">
        <v>1713</v>
      </c>
      <c r="I880">
        <v>7.8958000000000004</v>
      </c>
      <c r="J880" t="s">
        <v>15</v>
      </c>
      <c r="K880" t="s">
        <v>16</v>
      </c>
      <c r="L880">
        <v>0</v>
      </c>
      <c r="R880">
        <f t="shared" si="95"/>
        <v>28</v>
      </c>
      <c r="S880" t="str">
        <f t="shared" si="96"/>
        <v>S</v>
      </c>
      <c r="U880">
        <f t="shared" si="97"/>
        <v>0</v>
      </c>
      <c r="V880">
        <f t="shared" si="101"/>
        <v>0</v>
      </c>
      <c r="W880">
        <f t="shared" si="101"/>
        <v>0</v>
      </c>
      <c r="X880">
        <f t="shared" si="101"/>
        <v>1</v>
      </c>
      <c r="Y880">
        <f t="shared" si="102"/>
        <v>1</v>
      </c>
      <c r="Z880">
        <f t="shared" si="102"/>
        <v>0</v>
      </c>
      <c r="AA880">
        <f t="shared" si="102"/>
        <v>0</v>
      </c>
    </row>
    <row r="881" spans="1:27" x14ac:dyDescent="0.4">
      <c r="A881">
        <v>880</v>
      </c>
      <c r="B881">
        <v>1</v>
      </c>
      <c r="C881" t="s">
        <v>1714</v>
      </c>
      <c r="D881" t="s">
        <v>18</v>
      </c>
      <c r="E881">
        <v>56</v>
      </c>
      <c r="F881">
        <v>0</v>
      </c>
      <c r="G881">
        <v>1</v>
      </c>
      <c r="H881" t="s">
        <v>662</v>
      </c>
      <c r="I881">
        <v>83.158299999999997</v>
      </c>
      <c r="J881" t="s">
        <v>1715</v>
      </c>
      <c r="K881" t="s">
        <v>21</v>
      </c>
      <c r="L881">
        <v>1</v>
      </c>
      <c r="R881">
        <f t="shared" si="95"/>
        <v>56</v>
      </c>
      <c r="S881" t="str">
        <f t="shared" si="96"/>
        <v>C</v>
      </c>
      <c r="U881">
        <f t="shared" si="97"/>
        <v>1</v>
      </c>
      <c r="V881">
        <f t="shared" si="101"/>
        <v>1</v>
      </c>
      <c r="W881">
        <f t="shared" si="101"/>
        <v>0</v>
      </c>
      <c r="X881">
        <f t="shared" si="101"/>
        <v>0</v>
      </c>
      <c r="Y881">
        <f t="shared" si="102"/>
        <v>0</v>
      </c>
      <c r="Z881">
        <f t="shared" si="102"/>
        <v>0</v>
      </c>
      <c r="AA881">
        <f t="shared" si="102"/>
        <v>1</v>
      </c>
    </row>
    <row r="882" spans="1:27" x14ac:dyDescent="0.4">
      <c r="A882">
        <v>881</v>
      </c>
      <c r="B882">
        <v>2</v>
      </c>
      <c r="C882" t="s">
        <v>1716</v>
      </c>
      <c r="D882" t="s">
        <v>18</v>
      </c>
      <c r="E882">
        <v>25</v>
      </c>
      <c r="F882">
        <v>0</v>
      </c>
      <c r="G882">
        <v>1</v>
      </c>
      <c r="H882" t="s">
        <v>554</v>
      </c>
      <c r="I882">
        <v>26</v>
      </c>
      <c r="J882" t="s">
        <v>15</v>
      </c>
      <c r="K882" t="s">
        <v>16</v>
      </c>
      <c r="L882">
        <v>1</v>
      </c>
      <c r="R882">
        <f t="shared" si="95"/>
        <v>25</v>
      </c>
      <c r="S882" t="str">
        <f t="shared" si="96"/>
        <v>S</v>
      </c>
      <c r="U882">
        <f t="shared" si="97"/>
        <v>1</v>
      </c>
      <c r="V882">
        <f t="shared" ref="V882:X892" si="103">IF("Pclass_"&amp;$B882=V$1,1,0)</f>
        <v>0</v>
      </c>
      <c r="W882">
        <f t="shared" si="103"/>
        <v>1</v>
      </c>
      <c r="X882">
        <f t="shared" si="103"/>
        <v>0</v>
      </c>
      <c r="Y882">
        <f t="shared" si="102"/>
        <v>1</v>
      </c>
      <c r="Z882">
        <f t="shared" si="102"/>
        <v>0</v>
      </c>
      <c r="AA882">
        <f t="shared" si="102"/>
        <v>0</v>
      </c>
    </row>
    <row r="883" spans="1:27" x14ac:dyDescent="0.4">
      <c r="A883">
        <v>882</v>
      </c>
      <c r="B883">
        <v>3</v>
      </c>
      <c r="C883" t="s">
        <v>1717</v>
      </c>
      <c r="D883" t="s">
        <v>13</v>
      </c>
      <c r="E883">
        <v>33</v>
      </c>
      <c r="F883">
        <v>0</v>
      </c>
      <c r="G883">
        <v>0</v>
      </c>
      <c r="H883" t="s">
        <v>1718</v>
      </c>
      <c r="I883">
        <v>7.8958000000000004</v>
      </c>
      <c r="J883" t="s">
        <v>15</v>
      </c>
      <c r="K883" t="s">
        <v>16</v>
      </c>
      <c r="L883">
        <v>0</v>
      </c>
      <c r="R883">
        <f t="shared" si="95"/>
        <v>33</v>
      </c>
      <c r="S883" t="str">
        <f t="shared" si="96"/>
        <v>S</v>
      </c>
      <c r="U883">
        <f t="shared" si="97"/>
        <v>0</v>
      </c>
      <c r="V883">
        <f t="shared" si="103"/>
        <v>0</v>
      </c>
      <c r="W883">
        <f t="shared" si="103"/>
        <v>0</v>
      </c>
      <c r="X883">
        <f t="shared" si="103"/>
        <v>1</v>
      </c>
      <c r="Y883">
        <f t="shared" si="102"/>
        <v>1</v>
      </c>
      <c r="Z883">
        <f t="shared" si="102"/>
        <v>0</v>
      </c>
      <c r="AA883">
        <f t="shared" si="102"/>
        <v>0</v>
      </c>
    </row>
    <row r="884" spans="1:27" x14ac:dyDescent="0.4">
      <c r="A884">
        <v>883</v>
      </c>
      <c r="B884">
        <v>3</v>
      </c>
      <c r="C884" t="s">
        <v>1719</v>
      </c>
      <c r="D884" t="s">
        <v>18</v>
      </c>
      <c r="E884">
        <v>22</v>
      </c>
      <c r="F884">
        <v>0</v>
      </c>
      <c r="G884">
        <v>0</v>
      </c>
      <c r="H884" t="s">
        <v>1720</v>
      </c>
      <c r="I884">
        <v>10.5167</v>
      </c>
      <c r="J884" t="s">
        <v>15</v>
      </c>
      <c r="K884" t="s">
        <v>16</v>
      </c>
      <c r="L884">
        <v>0</v>
      </c>
      <c r="R884">
        <f t="shared" si="95"/>
        <v>22</v>
      </c>
      <c r="S884" t="str">
        <f t="shared" si="96"/>
        <v>S</v>
      </c>
      <c r="U884">
        <f t="shared" si="97"/>
        <v>1</v>
      </c>
      <c r="V884">
        <f t="shared" si="103"/>
        <v>0</v>
      </c>
      <c r="W884">
        <f t="shared" si="103"/>
        <v>0</v>
      </c>
      <c r="X884">
        <f t="shared" si="103"/>
        <v>1</v>
      </c>
      <c r="Y884">
        <f t="shared" si="102"/>
        <v>1</v>
      </c>
      <c r="Z884">
        <f t="shared" si="102"/>
        <v>0</v>
      </c>
      <c r="AA884">
        <f t="shared" si="102"/>
        <v>0</v>
      </c>
    </row>
    <row r="885" spans="1:27" x14ac:dyDescent="0.4">
      <c r="A885">
        <v>884</v>
      </c>
      <c r="B885">
        <v>2</v>
      </c>
      <c r="C885" t="s">
        <v>1721</v>
      </c>
      <c r="D885" t="s">
        <v>13</v>
      </c>
      <c r="E885">
        <v>28</v>
      </c>
      <c r="F885">
        <v>0</v>
      </c>
      <c r="G885">
        <v>0</v>
      </c>
      <c r="H885" t="s">
        <v>1722</v>
      </c>
      <c r="I885">
        <v>10.5</v>
      </c>
      <c r="J885" t="s">
        <v>15</v>
      </c>
      <c r="K885" t="s">
        <v>16</v>
      </c>
      <c r="L885">
        <v>0</v>
      </c>
      <c r="R885">
        <f t="shared" si="95"/>
        <v>28</v>
      </c>
      <c r="S885" t="str">
        <f t="shared" si="96"/>
        <v>S</v>
      </c>
      <c r="U885">
        <f t="shared" si="97"/>
        <v>0</v>
      </c>
      <c r="V885">
        <f t="shared" si="103"/>
        <v>0</v>
      </c>
      <c r="W885">
        <f t="shared" si="103"/>
        <v>1</v>
      </c>
      <c r="X885">
        <f t="shared" si="103"/>
        <v>0</v>
      </c>
      <c r="Y885">
        <f t="shared" si="102"/>
        <v>1</v>
      </c>
      <c r="Z885">
        <f t="shared" si="102"/>
        <v>0</v>
      </c>
      <c r="AA885">
        <f t="shared" si="102"/>
        <v>0</v>
      </c>
    </row>
    <row r="886" spans="1:27" x14ac:dyDescent="0.4">
      <c r="A886">
        <v>885</v>
      </c>
      <c r="B886">
        <v>3</v>
      </c>
      <c r="C886" t="s">
        <v>1723</v>
      </c>
      <c r="D886" t="s">
        <v>13</v>
      </c>
      <c r="E886">
        <v>25</v>
      </c>
      <c r="F886">
        <v>0</v>
      </c>
      <c r="G886">
        <v>0</v>
      </c>
      <c r="H886" t="s">
        <v>1724</v>
      </c>
      <c r="I886">
        <v>7.05</v>
      </c>
      <c r="J886" t="s">
        <v>15</v>
      </c>
      <c r="K886" t="s">
        <v>16</v>
      </c>
      <c r="L886">
        <v>0</v>
      </c>
      <c r="R886">
        <f t="shared" si="95"/>
        <v>25</v>
      </c>
      <c r="S886" t="str">
        <f t="shared" si="96"/>
        <v>S</v>
      </c>
      <c r="U886">
        <f t="shared" si="97"/>
        <v>0</v>
      </c>
      <c r="V886">
        <f t="shared" si="103"/>
        <v>0</v>
      </c>
      <c r="W886">
        <f t="shared" si="103"/>
        <v>0</v>
      </c>
      <c r="X886">
        <f t="shared" si="103"/>
        <v>1</v>
      </c>
      <c r="Y886">
        <f t="shared" si="102"/>
        <v>1</v>
      </c>
      <c r="Z886">
        <f t="shared" si="102"/>
        <v>0</v>
      </c>
      <c r="AA886">
        <f t="shared" si="102"/>
        <v>0</v>
      </c>
    </row>
    <row r="887" spans="1:27" x14ac:dyDescent="0.4">
      <c r="A887">
        <v>886</v>
      </c>
      <c r="B887">
        <v>3</v>
      </c>
      <c r="C887" t="s">
        <v>1725</v>
      </c>
      <c r="D887" t="s">
        <v>18</v>
      </c>
      <c r="E887">
        <v>39</v>
      </c>
      <c r="F887">
        <v>0</v>
      </c>
      <c r="G887">
        <v>5</v>
      </c>
      <c r="H887" t="s">
        <v>56</v>
      </c>
      <c r="I887">
        <v>29.125</v>
      </c>
      <c r="J887" t="s">
        <v>15</v>
      </c>
      <c r="K887" t="s">
        <v>31</v>
      </c>
      <c r="L887">
        <v>0</v>
      </c>
      <c r="R887">
        <f t="shared" si="95"/>
        <v>39</v>
      </c>
      <c r="S887" t="str">
        <f t="shared" si="96"/>
        <v>Q</v>
      </c>
      <c r="U887">
        <f t="shared" si="97"/>
        <v>1</v>
      </c>
      <c r="V887">
        <f t="shared" si="103"/>
        <v>0</v>
      </c>
      <c r="W887">
        <f t="shared" si="103"/>
        <v>0</v>
      </c>
      <c r="X887">
        <f t="shared" si="103"/>
        <v>1</v>
      </c>
      <c r="Y887">
        <f t="shared" si="102"/>
        <v>0</v>
      </c>
      <c r="Z887">
        <f t="shared" si="102"/>
        <v>1</v>
      </c>
      <c r="AA887">
        <f t="shared" si="102"/>
        <v>0</v>
      </c>
    </row>
    <row r="888" spans="1:27" x14ac:dyDescent="0.4">
      <c r="A888">
        <v>887</v>
      </c>
      <c r="B888">
        <v>2</v>
      </c>
      <c r="C888" t="s">
        <v>1726</v>
      </c>
      <c r="D888" t="s">
        <v>13</v>
      </c>
      <c r="E888">
        <v>27</v>
      </c>
      <c r="F888">
        <v>0</v>
      </c>
      <c r="G888">
        <v>0</v>
      </c>
      <c r="H888" t="s">
        <v>1727</v>
      </c>
      <c r="I888">
        <v>13</v>
      </c>
      <c r="J888" t="s">
        <v>15</v>
      </c>
      <c r="K888" t="s">
        <v>16</v>
      </c>
      <c r="L888">
        <v>0</v>
      </c>
      <c r="R888">
        <f t="shared" si="95"/>
        <v>27</v>
      </c>
      <c r="S888" t="str">
        <f t="shared" si="96"/>
        <v>S</v>
      </c>
      <c r="U888">
        <f t="shared" si="97"/>
        <v>0</v>
      </c>
      <c r="V888">
        <f t="shared" si="103"/>
        <v>0</v>
      </c>
      <c r="W888">
        <f t="shared" si="103"/>
        <v>1</v>
      </c>
      <c r="X888">
        <f t="shared" si="103"/>
        <v>0</v>
      </c>
      <c r="Y888">
        <f t="shared" si="102"/>
        <v>1</v>
      </c>
      <c r="Z888">
        <f t="shared" si="102"/>
        <v>0</v>
      </c>
      <c r="AA888">
        <f t="shared" si="102"/>
        <v>0</v>
      </c>
    </row>
    <row r="889" spans="1:27" x14ac:dyDescent="0.4">
      <c r="A889">
        <v>888</v>
      </c>
      <c r="B889">
        <v>1</v>
      </c>
      <c r="C889" t="s">
        <v>1728</v>
      </c>
      <c r="D889" t="s">
        <v>18</v>
      </c>
      <c r="E889">
        <v>19</v>
      </c>
      <c r="F889">
        <v>0</v>
      </c>
      <c r="G889">
        <v>0</v>
      </c>
      <c r="H889" t="s">
        <v>1729</v>
      </c>
      <c r="I889">
        <v>30</v>
      </c>
      <c r="J889" t="s">
        <v>1730</v>
      </c>
      <c r="K889" t="s">
        <v>16</v>
      </c>
      <c r="L889">
        <v>1</v>
      </c>
      <c r="R889">
        <f t="shared" si="95"/>
        <v>19</v>
      </c>
      <c r="S889" t="str">
        <f t="shared" si="96"/>
        <v>S</v>
      </c>
      <c r="U889">
        <f t="shared" si="97"/>
        <v>1</v>
      </c>
      <c r="V889">
        <f t="shared" si="103"/>
        <v>1</v>
      </c>
      <c r="W889">
        <f t="shared" si="103"/>
        <v>0</v>
      </c>
      <c r="X889">
        <f t="shared" si="103"/>
        <v>0</v>
      </c>
      <c r="Y889">
        <f t="shared" si="102"/>
        <v>1</v>
      </c>
      <c r="Z889">
        <f t="shared" si="102"/>
        <v>0</v>
      </c>
      <c r="AA889">
        <f t="shared" si="102"/>
        <v>0</v>
      </c>
    </row>
    <row r="890" spans="1:27" x14ac:dyDescent="0.4">
      <c r="A890">
        <v>889</v>
      </c>
      <c r="B890">
        <v>3</v>
      </c>
      <c r="C890" t="s">
        <v>1731</v>
      </c>
      <c r="D890" t="s">
        <v>18</v>
      </c>
      <c r="F890">
        <v>1</v>
      </c>
      <c r="G890">
        <v>2</v>
      </c>
      <c r="H890" t="s">
        <v>1550</v>
      </c>
      <c r="I890">
        <v>23.45</v>
      </c>
      <c r="J890" t="s">
        <v>15</v>
      </c>
      <c r="K890" t="s">
        <v>16</v>
      </c>
      <c r="L890">
        <v>0</v>
      </c>
      <c r="R890">
        <f t="shared" si="95"/>
        <v>28</v>
      </c>
      <c r="S890" t="str">
        <f t="shared" si="96"/>
        <v>S</v>
      </c>
      <c r="U890">
        <f t="shared" si="97"/>
        <v>1</v>
      </c>
      <c r="V890">
        <f t="shared" si="103"/>
        <v>0</v>
      </c>
      <c r="W890">
        <f t="shared" si="103"/>
        <v>0</v>
      </c>
      <c r="X890">
        <f t="shared" si="103"/>
        <v>1</v>
      </c>
      <c r="Y890">
        <f t="shared" si="102"/>
        <v>1</v>
      </c>
      <c r="Z890">
        <f t="shared" si="102"/>
        <v>0</v>
      </c>
      <c r="AA890">
        <f t="shared" si="102"/>
        <v>0</v>
      </c>
    </row>
    <row r="891" spans="1:27" x14ac:dyDescent="0.4">
      <c r="A891">
        <v>890</v>
      </c>
      <c r="B891">
        <v>1</v>
      </c>
      <c r="C891" t="s">
        <v>1732</v>
      </c>
      <c r="D891" t="s">
        <v>13</v>
      </c>
      <c r="E891">
        <v>26</v>
      </c>
      <c r="F891">
        <v>0</v>
      </c>
      <c r="G891">
        <v>0</v>
      </c>
      <c r="H891" t="s">
        <v>1733</v>
      </c>
      <c r="I891">
        <v>30</v>
      </c>
      <c r="J891" t="s">
        <v>1734</v>
      </c>
      <c r="K891" t="s">
        <v>21</v>
      </c>
      <c r="L891">
        <v>1</v>
      </c>
      <c r="R891">
        <f t="shared" si="95"/>
        <v>26</v>
      </c>
      <c r="S891" t="str">
        <f t="shared" si="96"/>
        <v>C</v>
      </c>
      <c r="U891">
        <f t="shared" si="97"/>
        <v>0</v>
      </c>
      <c r="V891">
        <f t="shared" si="103"/>
        <v>1</v>
      </c>
      <c r="W891">
        <f t="shared" si="103"/>
        <v>0</v>
      </c>
      <c r="X891">
        <f t="shared" si="103"/>
        <v>0</v>
      </c>
      <c r="Y891">
        <f t="shared" si="102"/>
        <v>0</v>
      </c>
      <c r="Z891">
        <f t="shared" si="102"/>
        <v>0</v>
      </c>
      <c r="AA891">
        <f t="shared" si="102"/>
        <v>1</v>
      </c>
    </row>
    <row r="892" spans="1:27" x14ac:dyDescent="0.4">
      <c r="A892">
        <v>891</v>
      </c>
      <c r="B892">
        <v>3</v>
      </c>
      <c r="C892" t="s">
        <v>1735</v>
      </c>
      <c r="D892" t="s">
        <v>13</v>
      </c>
      <c r="E892">
        <v>32</v>
      </c>
      <c r="F892">
        <v>0</v>
      </c>
      <c r="G892">
        <v>0</v>
      </c>
      <c r="H892" t="s">
        <v>1736</v>
      </c>
      <c r="I892">
        <v>7.75</v>
      </c>
      <c r="J892" t="s">
        <v>15</v>
      </c>
      <c r="K892" t="s">
        <v>31</v>
      </c>
      <c r="L892">
        <v>0</v>
      </c>
      <c r="R892">
        <f t="shared" si="95"/>
        <v>32</v>
      </c>
      <c r="S892" t="str">
        <f t="shared" si="96"/>
        <v>Q</v>
      </c>
      <c r="U892">
        <f t="shared" si="97"/>
        <v>0</v>
      </c>
      <c r="V892">
        <f t="shared" si="103"/>
        <v>0</v>
      </c>
      <c r="W892">
        <f t="shared" si="103"/>
        <v>0</v>
      </c>
      <c r="X892">
        <f t="shared" si="103"/>
        <v>1</v>
      </c>
      <c r="Y892">
        <f t="shared" si="102"/>
        <v>0</v>
      </c>
      <c r="Z892">
        <f t="shared" si="102"/>
        <v>1</v>
      </c>
      <c r="AA892">
        <f t="shared" si="102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D5B6-9A09-44AA-B9E8-65988B32920E}">
  <sheetPr codeName="Sheet2"/>
  <dimension ref="A1:X419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375" bestFit="1" customWidth="1"/>
    <col min="2" max="2" width="9.625" bestFit="1" customWidth="1"/>
    <col min="3" max="3" width="64.125" bestFit="1" customWidth="1"/>
    <col min="4" max="5" width="7.25" bestFit="1" customWidth="1"/>
    <col min="8" max="8" width="21.125" bestFit="1" customWidth="1"/>
    <col min="9" max="9" width="9.5" bestFit="1" customWidth="1"/>
    <col min="10" max="10" width="16.625" bestFit="1" customWidth="1"/>
    <col min="11" max="11" width="13.25" bestFit="1" customWidth="1"/>
    <col min="12" max="12" width="10" bestFit="1" customWidth="1"/>
    <col min="14" max="15" width="11" bestFit="1" customWidth="1"/>
    <col min="16" max="16" width="10.5" bestFit="1" customWidth="1"/>
    <col min="17" max="17" width="13" bestFit="1" customWidth="1"/>
    <col min="18" max="18" width="10.25" customWidth="1"/>
    <col min="19" max="21" width="9.75" bestFit="1" customWidth="1"/>
    <col min="22" max="22" width="13.75" bestFit="1" customWidth="1"/>
    <col min="23" max="24" width="13.875" bestFit="1" customWidth="1"/>
  </cols>
  <sheetData>
    <row r="1" spans="1:24" x14ac:dyDescent="0.4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t="s">
        <v>2449</v>
      </c>
      <c r="O1" s="6" t="s">
        <v>2480</v>
      </c>
      <c r="P1" s="6" t="s">
        <v>2479</v>
      </c>
      <c r="Q1" t="s">
        <v>2462</v>
      </c>
      <c r="R1" s="8" t="s">
        <v>2472</v>
      </c>
      <c r="S1" s="8" t="s">
        <v>2459</v>
      </c>
      <c r="T1" s="8" t="s">
        <v>2460</v>
      </c>
      <c r="U1" s="8" t="s">
        <v>2461</v>
      </c>
      <c r="V1" s="8" t="s">
        <v>2453</v>
      </c>
      <c r="W1" s="8" t="s">
        <v>2455</v>
      </c>
      <c r="X1" s="8" t="s">
        <v>2457</v>
      </c>
    </row>
    <row r="2" spans="1:24" x14ac:dyDescent="0.4">
      <c r="A2">
        <v>892</v>
      </c>
      <c r="B2">
        <v>3</v>
      </c>
      <c r="C2" t="s">
        <v>1388</v>
      </c>
      <c r="D2" t="s">
        <v>13</v>
      </c>
      <c r="E2">
        <v>34.5</v>
      </c>
      <c r="F2">
        <v>0</v>
      </c>
      <c r="G2">
        <v>0</v>
      </c>
      <c r="H2" t="s">
        <v>1742</v>
      </c>
      <c r="I2">
        <v>7.8292000000000002</v>
      </c>
      <c r="J2" t="s">
        <v>15</v>
      </c>
      <c r="K2" t="s">
        <v>31</v>
      </c>
      <c r="L2" s="3" t="s">
        <v>1737</v>
      </c>
      <c r="M2" s="4"/>
      <c r="O2">
        <f>IF(I2&lt;&gt;"",I2,訓練データ!$O$19)</f>
        <v>7.8292000000000002</v>
      </c>
      <c r="P2">
        <f>IF(E2&lt;&gt;"",E2,訓練データ!$O$18)</f>
        <v>34.5</v>
      </c>
      <c r="R2">
        <f t="shared" ref="R2:R65" si="0">IF(D2="male",0,1)</f>
        <v>0</v>
      </c>
      <c r="S2">
        <f t="shared" ref="S2:U6" si="1">IF("Pclass_"&amp;$B2=S$1,1,0)</f>
        <v>0</v>
      </c>
      <c r="T2">
        <f t="shared" si="1"/>
        <v>0</v>
      </c>
      <c r="U2">
        <f t="shared" si="1"/>
        <v>1</v>
      </c>
      <c r="V2">
        <f t="shared" ref="V2:X6" si="2">IF($K2=RIGHT(V$1,1),1,0)</f>
        <v>0</v>
      </c>
      <c r="W2">
        <f t="shared" si="2"/>
        <v>1</v>
      </c>
      <c r="X2">
        <f t="shared" si="2"/>
        <v>0</v>
      </c>
    </row>
    <row r="3" spans="1:24" x14ac:dyDescent="0.4">
      <c r="A3">
        <v>893</v>
      </c>
      <c r="B3">
        <v>3</v>
      </c>
      <c r="C3" t="s">
        <v>1743</v>
      </c>
      <c r="D3" t="s">
        <v>18</v>
      </c>
      <c r="E3">
        <v>47</v>
      </c>
      <c r="F3">
        <v>1</v>
      </c>
      <c r="G3">
        <v>0</v>
      </c>
      <c r="H3" t="s">
        <v>1744</v>
      </c>
      <c r="I3">
        <v>7</v>
      </c>
      <c r="J3" t="s">
        <v>15</v>
      </c>
      <c r="K3" t="s">
        <v>16</v>
      </c>
      <c r="L3" s="2" t="s">
        <v>1738</v>
      </c>
      <c r="M3" s="2">
        <f>COUNTBLANK(E1:E419)</f>
        <v>86</v>
      </c>
      <c r="O3">
        <f>IF(I3&lt;&gt;"",I3,訓練データ!$O$19)</f>
        <v>7</v>
      </c>
      <c r="P3">
        <f>IF(E3&lt;&gt;"",E3,訓練データ!$O$18)</f>
        <v>47</v>
      </c>
      <c r="R3">
        <f t="shared" si="0"/>
        <v>1</v>
      </c>
      <c r="S3">
        <f t="shared" si="1"/>
        <v>0</v>
      </c>
      <c r="T3">
        <f t="shared" si="1"/>
        <v>0</v>
      </c>
      <c r="U3">
        <f t="shared" si="1"/>
        <v>1</v>
      </c>
      <c r="V3">
        <f t="shared" si="2"/>
        <v>1</v>
      </c>
      <c r="W3">
        <f t="shared" si="2"/>
        <v>0</v>
      </c>
      <c r="X3">
        <f t="shared" si="2"/>
        <v>0</v>
      </c>
    </row>
    <row r="4" spans="1:24" x14ac:dyDescent="0.4">
      <c r="A4">
        <v>894</v>
      </c>
      <c r="B4">
        <v>2</v>
      </c>
      <c r="C4" t="s">
        <v>1745</v>
      </c>
      <c r="D4" t="s">
        <v>13</v>
      </c>
      <c r="E4">
        <v>62</v>
      </c>
      <c r="F4">
        <v>0</v>
      </c>
      <c r="G4">
        <v>0</v>
      </c>
      <c r="H4" t="s">
        <v>1746</v>
      </c>
      <c r="I4">
        <v>9.6875</v>
      </c>
      <c r="J4" t="s">
        <v>15</v>
      </c>
      <c r="K4" t="s">
        <v>31</v>
      </c>
      <c r="L4" s="2" t="s">
        <v>1740</v>
      </c>
      <c r="M4" s="2">
        <f>COUNTBLANK(I1:I419)</f>
        <v>1</v>
      </c>
      <c r="O4">
        <f>IF(I4&lt;&gt;"",I4,訓練データ!$O$19)</f>
        <v>9.6875</v>
      </c>
      <c r="P4">
        <f>IF(E4&lt;&gt;"",E4,訓練データ!$O$18)</f>
        <v>62</v>
      </c>
      <c r="R4">
        <f t="shared" si="0"/>
        <v>0</v>
      </c>
      <c r="S4">
        <f t="shared" si="1"/>
        <v>0</v>
      </c>
      <c r="T4">
        <f t="shared" si="1"/>
        <v>1</v>
      </c>
      <c r="U4">
        <f t="shared" si="1"/>
        <v>0</v>
      </c>
      <c r="V4">
        <f t="shared" si="2"/>
        <v>0</v>
      </c>
      <c r="W4">
        <f t="shared" si="2"/>
        <v>1</v>
      </c>
      <c r="X4">
        <f t="shared" si="2"/>
        <v>0</v>
      </c>
    </row>
    <row r="5" spans="1:24" x14ac:dyDescent="0.4">
      <c r="A5">
        <v>895</v>
      </c>
      <c r="B5">
        <v>3</v>
      </c>
      <c r="C5" t="s">
        <v>1747</v>
      </c>
      <c r="D5" t="s">
        <v>13</v>
      </c>
      <c r="E5">
        <v>27</v>
      </c>
      <c r="F5">
        <v>0</v>
      </c>
      <c r="G5">
        <v>0</v>
      </c>
      <c r="H5" t="s">
        <v>1748</v>
      </c>
      <c r="I5">
        <v>8.6624999999999996</v>
      </c>
      <c r="J5" t="s">
        <v>15</v>
      </c>
      <c r="K5" t="s">
        <v>16</v>
      </c>
      <c r="L5" s="2" t="s">
        <v>1739</v>
      </c>
      <c r="M5" s="2">
        <f>COUNTBLANK(J1:J419)</f>
        <v>327</v>
      </c>
      <c r="O5">
        <f>IF(I5&lt;&gt;"",I5,訓練データ!$O$19)</f>
        <v>8.6624999999999996</v>
      </c>
      <c r="P5">
        <f>IF(E5&lt;&gt;"",E5,訓練データ!$O$18)</f>
        <v>27</v>
      </c>
      <c r="R5">
        <f t="shared" si="0"/>
        <v>0</v>
      </c>
      <c r="S5">
        <f t="shared" si="1"/>
        <v>0</v>
      </c>
      <c r="T5">
        <f t="shared" si="1"/>
        <v>0</v>
      </c>
      <c r="U5">
        <f t="shared" si="1"/>
        <v>1</v>
      </c>
      <c r="V5">
        <f t="shared" si="2"/>
        <v>1</v>
      </c>
      <c r="W5">
        <f t="shared" si="2"/>
        <v>0</v>
      </c>
      <c r="X5">
        <f t="shared" si="2"/>
        <v>0</v>
      </c>
    </row>
    <row r="6" spans="1:24" x14ac:dyDescent="0.4">
      <c r="A6">
        <v>896</v>
      </c>
      <c r="B6">
        <v>3</v>
      </c>
      <c r="C6" t="s">
        <v>1749</v>
      </c>
      <c r="D6" t="s">
        <v>18</v>
      </c>
      <c r="E6">
        <v>22</v>
      </c>
      <c r="F6">
        <v>1</v>
      </c>
      <c r="G6">
        <v>1</v>
      </c>
      <c r="H6" t="s">
        <v>987</v>
      </c>
      <c r="I6">
        <v>12.2875</v>
      </c>
      <c r="J6" t="s">
        <v>15</v>
      </c>
      <c r="K6" t="s">
        <v>16</v>
      </c>
      <c r="L6" s="2" t="s">
        <v>1741</v>
      </c>
      <c r="M6" s="2">
        <f>COUNTBLANK(K1:K419)</f>
        <v>0</v>
      </c>
      <c r="O6">
        <f>IF(I6&lt;&gt;"",I6,訓練データ!$O$19)</f>
        <v>12.2875</v>
      </c>
      <c r="P6">
        <f>IF(E6&lt;&gt;"",E6,訓練データ!$O$18)</f>
        <v>22</v>
      </c>
      <c r="R6">
        <f t="shared" si="0"/>
        <v>1</v>
      </c>
      <c r="S6">
        <f t="shared" si="1"/>
        <v>0</v>
      </c>
      <c r="T6">
        <f t="shared" si="1"/>
        <v>0</v>
      </c>
      <c r="U6">
        <f t="shared" si="1"/>
        <v>1</v>
      </c>
      <c r="V6">
        <f t="shared" si="2"/>
        <v>1</v>
      </c>
      <c r="W6">
        <f t="shared" si="2"/>
        <v>0</v>
      </c>
      <c r="X6">
        <f t="shared" si="2"/>
        <v>0</v>
      </c>
    </row>
    <row r="7" spans="1:24" x14ac:dyDescent="0.4">
      <c r="A7">
        <v>897</v>
      </c>
      <c r="B7">
        <v>3</v>
      </c>
      <c r="C7" t="s">
        <v>1750</v>
      </c>
      <c r="D7" t="s">
        <v>13</v>
      </c>
      <c r="E7">
        <v>14</v>
      </c>
      <c r="F7">
        <v>0</v>
      </c>
      <c r="G7">
        <v>0</v>
      </c>
      <c r="H7" t="s">
        <v>1751</v>
      </c>
      <c r="I7">
        <v>9.2249999999999996</v>
      </c>
      <c r="J7" t="s">
        <v>15</v>
      </c>
      <c r="K7" t="s">
        <v>16</v>
      </c>
      <c r="O7">
        <f>IF(I7&lt;&gt;"",I7,訓練データ!$O$19)</f>
        <v>9.2249999999999996</v>
      </c>
      <c r="P7">
        <f>IF(E7&lt;&gt;"",E7,訓練データ!$O$18)</f>
        <v>14</v>
      </c>
      <c r="R7">
        <f t="shared" si="0"/>
        <v>0</v>
      </c>
      <c r="S7">
        <f t="shared" ref="S7:U66" si="3">IF("Pclass_"&amp;$B7=S$1,1,0)</f>
        <v>0</v>
      </c>
      <c r="T7">
        <f t="shared" ref="T7:U17" si="4">IF("Pclass_"&amp;$B7=T$1,1,0)</f>
        <v>0</v>
      </c>
      <c r="U7">
        <f t="shared" si="4"/>
        <v>1</v>
      </c>
      <c r="V7">
        <f t="shared" ref="V7:X66" si="5">IF($K7=RIGHT(V$1,1),1,0)</f>
        <v>1</v>
      </c>
      <c r="W7">
        <f t="shared" ref="W7:X17" si="6">IF($K7=RIGHT(W$1,1),1,0)</f>
        <v>0</v>
      </c>
      <c r="X7">
        <f t="shared" si="6"/>
        <v>0</v>
      </c>
    </row>
    <row r="8" spans="1:24" x14ac:dyDescent="0.4">
      <c r="A8">
        <v>898</v>
      </c>
      <c r="B8">
        <v>3</v>
      </c>
      <c r="C8" t="s">
        <v>616</v>
      </c>
      <c r="D8" t="s">
        <v>18</v>
      </c>
      <c r="E8">
        <v>30</v>
      </c>
      <c r="F8">
        <v>0</v>
      </c>
      <c r="G8">
        <v>0</v>
      </c>
      <c r="H8" t="s">
        <v>1752</v>
      </c>
      <c r="I8">
        <v>7.6292</v>
      </c>
      <c r="J8" t="s">
        <v>15</v>
      </c>
      <c r="K8" t="s">
        <v>31</v>
      </c>
      <c r="O8">
        <f>IF(I8&lt;&gt;"",I8,訓練データ!$O$19)</f>
        <v>7.6292</v>
      </c>
      <c r="P8">
        <f>IF(E8&lt;&gt;"",E8,訓練データ!$O$18)</f>
        <v>30</v>
      </c>
      <c r="R8">
        <f t="shared" si="0"/>
        <v>1</v>
      </c>
      <c r="S8">
        <f t="shared" si="3"/>
        <v>0</v>
      </c>
      <c r="T8">
        <f t="shared" si="4"/>
        <v>0</v>
      </c>
      <c r="U8">
        <f t="shared" si="4"/>
        <v>1</v>
      </c>
      <c r="V8">
        <f t="shared" ref="V8:X9" si="7">IF($K8=RIGHT(V$1,1),1,0)</f>
        <v>0</v>
      </c>
      <c r="W8">
        <f t="shared" si="7"/>
        <v>1</v>
      </c>
      <c r="X8">
        <f t="shared" si="7"/>
        <v>0</v>
      </c>
    </row>
    <row r="9" spans="1:24" x14ac:dyDescent="0.4">
      <c r="A9">
        <v>899</v>
      </c>
      <c r="B9">
        <v>2</v>
      </c>
      <c r="C9" t="s">
        <v>1753</v>
      </c>
      <c r="D9" t="s">
        <v>13</v>
      </c>
      <c r="E9">
        <v>26</v>
      </c>
      <c r="F9">
        <v>1</v>
      </c>
      <c r="G9">
        <v>1</v>
      </c>
      <c r="H9" t="s">
        <v>189</v>
      </c>
      <c r="I9">
        <v>29</v>
      </c>
      <c r="J9" t="s">
        <v>15</v>
      </c>
      <c r="K9" t="s">
        <v>16</v>
      </c>
      <c r="O9">
        <f>IF(I9&lt;&gt;"",I9,訓練データ!$O$19)</f>
        <v>29</v>
      </c>
      <c r="P9">
        <f>IF(E9&lt;&gt;"",E9,訓練データ!$O$18)</f>
        <v>26</v>
      </c>
      <c r="R9">
        <f t="shared" si="0"/>
        <v>0</v>
      </c>
      <c r="S9">
        <f t="shared" si="3"/>
        <v>0</v>
      </c>
      <c r="T9">
        <f t="shared" si="4"/>
        <v>1</v>
      </c>
      <c r="U9">
        <f t="shared" si="4"/>
        <v>0</v>
      </c>
      <c r="V9">
        <f t="shared" si="7"/>
        <v>1</v>
      </c>
      <c r="W9">
        <f t="shared" si="7"/>
        <v>0</v>
      </c>
      <c r="X9">
        <f t="shared" si="7"/>
        <v>0</v>
      </c>
    </row>
    <row r="10" spans="1:24" x14ac:dyDescent="0.4">
      <c r="A10">
        <v>900</v>
      </c>
      <c r="B10">
        <v>3</v>
      </c>
      <c r="C10" t="s">
        <v>1754</v>
      </c>
      <c r="D10" t="s">
        <v>18</v>
      </c>
      <c r="E10">
        <v>18</v>
      </c>
      <c r="F10">
        <v>0</v>
      </c>
      <c r="G10">
        <v>0</v>
      </c>
      <c r="H10" t="s">
        <v>1755</v>
      </c>
      <c r="I10">
        <v>7.2291999999999996</v>
      </c>
      <c r="J10" t="s">
        <v>15</v>
      </c>
      <c r="K10" t="s">
        <v>21</v>
      </c>
      <c r="O10">
        <f>IF(I10&lt;&gt;"",I10,訓練データ!$O$19)</f>
        <v>7.2291999999999996</v>
      </c>
      <c r="P10">
        <f>IF(E10&lt;&gt;"",E10,訓練データ!$O$18)</f>
        <v>18</v>
      </c>
      <c r="R10">
        <f t="shared" si="0"/>
        <v>1</v>
      </c>
      <c r="S10">
        <f t="shared" si="3"/>
        <v>0</v>
      </c>
      <c r="T10">
        <f t="shared" si="4"/>
        <v>0</v>
      </c>
      <c r="U10">
        <f t="shared" si="4"/>
        <v>1</v>
      </c>
      <c r="V10">
        <f t="shared" si="5"/>
        <v>0</v>
      </c>
      <c r="W10">
        <f t="shared" si="6"/>
        <v>0</v>
      </c>
      <c r="X10">
        <f t="shared" si="6"/>
        <v>1</v>
      </c>
    </row>
    <row r="11" spans="1:24" x14ac:dyDescent="0.4">
      <c r="A11">
        <v>901</v>
      </c>
      <c r="B11">
        <v>3</v>
      </c>
      <c r="C11" t="s">
        <v>1756</v>
      </c>
      <c r="D11" t="s">
        <v>13</v>
      </c>
      <c r="E11">
        <v>21</v>
      </c>
      <c r="F11">
        <v>2</v>
      </c>
      <c r="G11">
        <v>0</v>
      </c>
      <c r="H11" t="s">
        <v>1149</v>
      </c>
      <c r="I11">
        <v>24.15</v>
      </c>
      <c r="J11" t="s">
        <v>15</v>
      </c>
      <c r="K11" t="s">
        <v>16</v>
      </c>
      <c r="O11">
        <f>IF(I11&lt;&gt;"",I11,訓練データ!$O$19)</f>
        <v>24.15</v>
      </c>
      <c r="P11">
        <f>IF(E11&lt;&gt;"",E11,訓練データ!$O$18)</f>
        <v>21</v>
      </c>
      <c r="R11">
        <f t="shared" si="0"/>
        <v>0</v>
      </c>
      <c r="S11">
        <f t="shared" si="3"/>
        <v>0</v>
      </c>
      <c r="T11">
        <f t="shared" si="4"/>
        <v>0</v>
      </c>
      <c r="U11">
        <f t="shared" si="4"/>
        <v>1</v>
      </c>
      <c r="V11">
        <f t="shared" si="5"/>
        <v>1</v>
      </c>
      <c r="W11">
        <f t="shared" si="6"/>
        <v>0</v>
      </c>
      <c r="X11">
        <f t="shared" si="6"/>
        <v>0</v>
      </c>
    </row>
    <row r="12" spans="1:24" x14ac:dyDescent="0.4">
      <c r="A12">
        <v>902</v>
      </c>
      <c r="B12">
        <v>3</v>
      </c>
      <c r="C12" t="s">
        <v>1757</v>
      </c>
      <c r="D12" t="s">
        <v>13</v>
      </c>
      <c r="F12">
        <v>0</v>
      </c>
      <c r="G12">
        <v>0</v>
      </c>
      <c r="H12" t="s">
        <v>1758</v>
      </c>
      <c r="I12">
        <v>7.8958000000000004</v>
      </c>
      <c r="J12" t="s">
        <v>15</v>
      </c>
      <c r="K12" t="s">
        <v>16</v>
      </c>
      <c r="O12">
        <f>IF(I12&lt;&gt;"",I12,訓練データ!$O$19)</f>
        <v>7.8958000000000004</v>
      </c>
      <c r="P12">
        <f>IF(E12&lt;&gt;"",E12,訓練データ!$O$18)</f>
        <v>28</v>
      </c>
      <c r="R12">
        <f t="shared" si="0"/>
        <v>0</v>
      </c>
      <c r="S12">
        <f t="shared" si="3"/>
        <v>0</v>
      </c>
      <c r="T12">
        <f t="shared" si="4"/>
        <v>0</v>
      </c>
      <c r="U12">
        <f t="shared" si="4"/>
        <v>1</v>
      </c>
      <c r="V12">
        <f t="shared" si="5"/>
        <v>1</v>
      </c>
      <c r="W12">
        <f t="shared" si="6"/>
        <v>0</v>
      </c>
      <c r="X12">
        <f t="shared" si="6"/>
        <v>0</v>
      </c>
    </row>
    <row r="13" spans="1:24" x14ac:dyDescent="0.4">
      <c r="A13">
        <v>903</v>
      </c>
      <c r="B13">
        <v>1</v>
      </c>
      <c r="C13" t="s">
        <v>1759</v>
      </c>
      <c r="D13" t="s">
        <v>13</v>
      </c>
      <c r="E13">
        <v>46</v>
      </c>
      <c r="F13">
        <v>0</v>
      </c>
      <c r="G13">
        <v>0</v>
      </c>
      <c r="H13" t="s">
        <v>1760</v>
      </c>
      <c r="I13">
        <v>26</v>
      </c>
      <c r="J13" t="s">
        <v>15</v>
      </c>
      <c r="K13" t="s">
        <v>16</v>
      </c>
      <c r="O13">
        <f>IF(I13&lt;&gt;"",I13,訓練データ!$O$19)</f>
        <v>26</v>
      </c>
      <c r="P13">
        <f>IF(E13&lt;&gt;"",E13,訓練データ!$O$18)</f>
        <v>46</v>
      </c>
      <c r="R13">
        <f t="shared" si="0"/>
        <v>0</v>
      </c>
      <c r="S13">
        <f t="shared" si="3"/>
        <v>1</v>
      </c>
      <c r="T13">
        <f t="shared" si="4"/>
        <v>0</v>
      </c>
      <c r="U13">
        <f t="shared" si="4"/>
        <v>0</v>
      </c>
      <c r="V13">
        <f t="shared" si="5"/>
        <v>1</v>
      </c>
      <c r="W13">
        <f t="shared" si="6"/>
        <v>0</v>
      </c>
      <c r="X13">
        <f t="shared" si="6"/>
        <v>0</v>
      </c>
    </row>
    <row r="14" spans="1:24" x14ac:dyDescent="0.4">
      <c r="A14">
        <v>904</v>
      </c>
      <c r="B14">
        <v>1</v>
      </c>
      <c r="C14" t="s">
        <v>1761</v>
      </c>
      <c r="D14" t="s">
        <v>18</v>
      </c>
      <c r="E14">
        <v>23</v>
      </c>
      <c r="F14">
        <v>1</v>
      </c>
      <c r="G14">
        <v>0</v>
      </c>
      <c r="H14" t="s">
        <v>1762</v>
      </c>
      <c r="I14">
        <v>82.2667</v>
      </c>
      <c r="J14" t="s">
        <v>1763</v>
      </c>
      <c r="K14" t="s">
        <v>16</v>
      </c>
      <c r="O14">
        <f>IF(I14&lt;&gt;"",I14,訓練データ!$O$19)</f>
        <v>82.2667</v>
      </c>
      <c r="P14">
        <f>IF(E14&lt;&gt;"",E14,訓練データ!$O$18)</f>
        <v>23</v>
      </c>
      <c r="R14">
        <f t="shared" si="0"/>
        <v>1</v>
      </c>
      <c r="S14">
        <f t="shared" si="3"/>
        <v>1</v>
      </c>
      <c r="T14">
        <f t="shared" si="4"/>
        <v>0</v>
      </c>
      <c r="U14">
        <f t="shared" si="4"/>
        <v>0</v>
      </c>
      <c r="V14">
        <f t="shared" si="5"/>
        <v>1</v>
      </c>
      <c r="W14">
        <f t="shared" si="6"/>
        <v>0</v>
      </c>
      <c r="X14">
        <f t="shared" si="6"/>
        <v>0</v>
      </c>
    </row>
    <row r="15" spans="1:24" x14ac:dyDescent="0.4">
      <c r="A15">
        <v>905</v>
      </c>
      <c r="B15">
        <v>2</v>
      </c>
      <c r="C15" t="s">
        <v>1764</v>
      </c>
      <c r="D15" t="s">
        <v>13</v>
      </c>
      <c r="E15">
        <v>63</v>
      </c>
      <c r="F15">
        <v>1</v>
      </c>
      <c r="G15">
        <v>0</v>
      </c>
      <c r="H15" t="s">
        <v>1765</v>
      </c>
      <c r="I15">
        <v>26</v>
      </c>
      <c r="J15" t="s">
        <v>15</v>
      </c>
      <c r="K15" t="s">
        <v>16</v>
      </c>
      <c r="O15">
        <f>IF(I15&lt;&gt;"",I15,訓練データ!$O$19)</f>
        <v>26</v>
      </c>
      <c r="P15">
        <f>IF(E15&lt;&gt;"",E15,訓練データ!$O$18)</f>
        <v>63</v>
      </c>
      <c r="R15">
        <f t="shared" si="0"/>
        <v>0</v>
      </c>
      <c r="S15">
        <f t="shared" si="3"/>
        <v>0</v>
      </c>
      <c r="T15">
        <f t="shared" si="4"/>
        <v>1</v>
      </c>
      <c r="U15">
        <f t="shared" si="4"/>
        <v>0</v>
      </c>
      <c r="V15">
        <f t="shared" si="5"/>
        <v>1</v>
      </c>
      <c r="W15">
        <f t="shared" si="6"/>
        <v>0</v>
      </c>
      <c r="X15">
        <f t="shared" si="6"/>
        <v>0</v>
      </c>
    </row>
    <row r="16" spans="1:24" x14ac:dyDescent="0.4">
      <c r="A16">
        <v>906</v>
      </c>
      <c r="B16">
        <v>1</v>
      </c>
      <c r="C16" t="s">
        <v>1766</v>
      </c>
      <c r="D16" t="s">
        <v>18</v>
      </c>
      <c r="E16">
        <v>47</v>
      </c>
      <c r="F16">
        <v>1</v>
      </c>
      <c r="G16">
        <v>0</v>
      </c>
      <c r="H16" t="s">
        <v>216</v>
      </c>
      <c r="I16">
        <v>61.174999999999997</v>
      </c>
      <c r="J16" t="s">
        <v>217</v>
      </c>
      <c r="K16" t="s">
        <v>16</v>
      </c>
      <c r="O16">
        <f>IF(I16&lt;&gt;"",I16,訓練データ!$O$19)</f>
        <v>61.174999999999997</v>
      </c>
      <c r="P16">
        <f>IF(E16&lt;&gt;"",E16,訓練データ!$O$18)</f>
        <v>47</v>
      </c>
      <c r="R16">
        <f t="shared" si="0"/>
        <v>1</v>
      </c>
      <c r="S16">
        <f t="shared" si="3"/>
        <v>1</v>
      </c>
      <c r="T16">
        <f t="shared" si="4"/>
        <v>0</v>
      </c>
      <c r="U16">
        <f t="shared" si="4"/>
        <v>0</v>
      </c>
      <c r="V16">
        <f t="shared" si="5"/>
        <v>1</v>
      </c>
      <c r="W16">
        <f t="shared" si="6"/>
        <v>0</v>
      </c>
      <c r="X16">
        <f t="shared" si="6"/>
        <v>0</v>
      </c>
    </row>
    <row r="17" spans="1:24" x14ac:dyDescent="0.4">
      <c r="A17">
        <v>907</v>
      </c>
      <c r="B17">
        <v>2</v>
      </c>
      <c r="C17" t="s">
        <v>1767</v>
      </c>
      <c r="D17" t="s">
        <v>18</v>
      </c>
      <c r="E17">
        <v>24</v>
      </c>
      <c r="F17">
        <v>1</v>
      </c>
      <c r="G17">
        <v>0</v>
      </c>
      <c r="H17" t="s">
        <v>760</v>
      </c>
      <c r="I17">
        <v>27.720800000000001</v>
      </c>
      <c r="J17" t="s">
        <v>15</v>
      </c>
      <c r="K17" t="s">
        <v>21</v>
      </c>
      <c r="O17">
        <f>IF(I17&lt;&gt;"",I17,訓練データ!$O$19)</f>
        <v>27.720800000000001</v>
      </c>
      <c r="P17">
        <f>IF(E17&lt;&gt;"",E17,訓練データ!$O$18)</f>
        <v>24</v>
      </c>
      <c r="R17">
        <f t="shared" si="0"/>
        <v>1</v>
      </c>
      <c r="S17">
        <f t="shared" si="3"/>
        <v>0</v>
      </c>
      <c r="T17">
        <f t="shared" si="4"/>
        <v>1</v>
      </c>
      <c r="U17">
        <f t="shared" si="4"/>
        <v>0</v>
      </c>
      <c r="V17">
        <f t="shared" si="5"/>
        <v>0</v>
      </c>
      <c r="W17">
        <f t="shared" si="6"/>
        <v>0</v>
      </c>
      <c r="X17">
        <f t="shared" si="6"/>
        <v>1</v>
      </c>
    </row>
    <row r="18" spans="1:24" x14ac:dyDescent="0.4">
      <c r="A18">
        <v>908</v>
      </c>
      <c r="B18">
        <v>2</v>
      </c>
      <c r="C18" t="s">
        <v>1768</v>
      </c>
      <c r="D18" t="s">
        <v>13</v>
      </c>
      <c r="E18">
        <v>35</v>
      </c>
      <c r="F18">
        <v>0</v>
      </c>
      <c r="G18">
        <v>0</v>
      </c>
      <c r="H18" t="s">
        <v>1769</v>
      </c>
      <c r="I18">
        <v>12.35</v>
      </c>
      <c r="J18" t="s">
        <v>15</v>
      </c>
      <c r="K18" t="s">
        <v>31</v>
      </c>
      <c r="O18">
        <f>IF(I18&lt;&gt;"",I18,訓練データ!$O$19)</f>
        <v>12.35</v>
      </c>
      <c r="P18">
        <f>IF(E18&lt;&gt;"",E18,訓練データ!$O$18)</f>
        <v>35</v>
      </c>
      <c r="R18">
        <f t="shared" si="0"/>
        <v>0</v>
      </c>
      <c r="S18">
        <f t="shared" si="3"/>
        <v>0</v>
      </c>
      <c r="T18">
        <f t="shared" si="3"/>
        <v>1</v>
      </c>
      <c r="U18">
        <f t="shared" si="3"/>
        <v>0</v>
      </c>
      <c r="V18">
        <f t="shared" si="5"/>
        <v>0</v>
      </c>
      <c r="W18">
        <f t="shared" si="5"/>
        <v>1</v>
      </c>
      <c r="X18">
        <f t="shared" si="5"/>
        <v>0</v>
      </c>
    </row>
    <row r="19" spans="1:24" x14ac:dyDescent="0.4">
      <c r="A19">
        <v>909</v>
      </c>
      <c r="B19">
        <v>3</v>
      </c>
      <c r="C19" t="s">
        <v>1770</v>
      </c>
      <c r="D19" t="s">
        <v>13</v>
      </c>
      <c r="E19">
        <v>21</v>
      </c>
      <c r="F19">
        <v>0</v>
      </c>
      <c r="G19">
        <v>0</v>
      </c>
      <c r="H19" t="s">
        <v>1771</v>
      </c>
      <c r="I19">
        <v>7.2249999999999996</v>
      </c>
      <c r="J19" t="s">
        <v>15</v>
      </c>
      <c r="K19" t="s">
        <v>21</v>
      </c>
      <c r="O19">
        <f>IF(I19&lt;&gt;"",I19,訓練データ!$O$19)</f>
        <v>7.2249999999999996</v>
      </c>
      <c r="P19">
        <f>IF(E19&lt;&gt;"",E19,訓練データ!$O$18)</f>
        <v>21</v>
      </c>
      <c r="R19">
        <f t="shared" si="0"/>
        <v>0</v>
      </c>
      <c r="S19">
        <f t="shared" si="3"/>
        <v>0</v>
      </c>
      <c r="T19">
        <f t="shared" si="3"/>
        <v>0</v>
      </c>
      <c r="U19">
        <f t="shared" si="3"/>
        <v>1</v>
      </c>
      <c r="V19">
        <f t="shared" si="5"/>
        <v>0</v>
      </c>
      <c r="W19">
        <f t="shared" si="5"/>
        <v>0</v>
      </c>
      <c r="X19">
        <f t="shared" si="5"/>
        <v>1</v>
      </c>
    </row>
    <row r="20" spans="1:24" x14ac:dyDescent="0.4">
      <c r="A20">
        <v>910</v>
      </c>
      <c r="B20">
        <v>3</v>
      </c>
      <c r="C20" t="s">
        <v>1772</v>
      </c>
      <c r="D20" t="s">
        <v>18</v>
      </c>
      <c r="E20">
        <v>27</v>
      </c>
      <c r="F20">
        <v>1</v>
      </c>
      <c r="G20">
        <v>0</v>
      </c>
      <c r="H20" t="s">
        <v>1773</v>
      </c>
      <c r="I20">
        <v>7.9249999999999998</v>
      </c>
      <c r="J20" t="s">
        <v>15</v>
      </c>
      <c r="K20" t="s">
        <v>16</v>
      </c>
      <c r="O20">
        <f>IF(I20&lt;&gt;"",I20,訓練データ!$O$19)</f>
        <v>7.9249999999999998</v>
      </c>
      <c r="P20">
        <f>IF(E20&lt;&gt;"",E20,訓練データ!$O$18)</f>
        <v>27</v>
      </c>
      <c r="R20">
        <f t="shared" si="0"/>
        <v>1</v>
      </c>
      <c r="S20">
        <f t="shared" si="3"/>
        <v>0</v>
      </c>
      <c r="T20">
        <f t="shared" si="3"/>
        <v>0</v>
      </c>
      <c r="U20">
        <f t="shared" si="3"/>
        <v>1</v>
      </c>
      <c r="V20">
        <f t="shared" si="5"/>
        <v>1</v>
      </c>
      <c r="W20">
        <f t="shared" si="5"/>
        <v>0</v>
      </c>
      <c r="X20">
        <f t="shared" si="5"/>
        <v>0</v>
      </c>
    </row>
    <row r="21" spans="1:24" x14ac:dyDescent="0.4">
      <c r="A21">
        <v>911</v>
      </c>
      <c r="B21">
        <v>3</v>
      </c>
      <c r="C21" t="s">
        <v>1774</v>
      </c>
      <c r="D21" t="s">
        <v>18</v>
      </c>
      <c r="E21">
        <v>45</v>
      </c>
      <c r="F21">
        <v>0</v>
      </c>
      <c r="G21">
        <v>0</v>
      </c>
      <c r="H21" t="s">
        <v>1775</v>
      </c>
      <c r="I21">
        <v>7.2249999999999996</v>
      </c>
      <c r="J21" t="s">
        <v>15</v>
      </c>
      <c r="K21" t="s">
        <v>21</v>
      </c>
      <c r="O21">
        <f>IF(I21&lt;&gt;"",I21,訓練データ!$O$19)</f>
        <v>7.2249999999999996</v>
      </c>
      <c r="P21">
        <f>IF(E21&lt;&gt;"",E21,訓練データ!$O$18)</f>
        <v>45</v>
      </c>
      <c r="R21">
        <f t="shared" si="0"/>
        <v>1</v>
      </c>
      <c r="S21">
        <f t="shared" si="3"/>
        <v>0</v>
      </c>
      <c r="T21">
        <f t="shared" si="3"/>
        <v>0</v>
      </c>
      <c r="U21">
        <f t="shared" si="3"/>
        <v>1</v>
      </c>
      <c r="V21">
        <f t="shared" si="5"/>
        <v>0</v>
      </c>
      <c r="W21">
        <f t="shared" si="5"/>
        <v>0</v>
      </c>
      <c r="X21">
        <f t="shared" si="5"/>
        <v>1</v>
      </c>
    </row>
    <row r="22" spans="1:24" x14ac:dyDescent="0.4">
      <c r="A22">
        <v>912</v>
      </c>
      <c r="B22">
        <v>1</v>
      </c>
      <c r="C22" t="s">
        <v>1776</v>
      </c>
      <c r="D22" t="s">
        <v>13</v>
      </c>
      <c r="E22">
        <v>55</v>
      </c>
      <c r="F22">
        <v>1</v>
      </c>
      <c r="G22">
        <v>0</v>
      </c>
      <c r="H22" t="s">
        <v>1050</v>
      </c>
      <c r="I22">
        <v>59.4</v>
      </c>
      <c r="J22" t="s">
        <v>15</v>
      </c>
      <c r="K22" t="s">
        <v>21</v>
      </c>
      <c r="O22">
        <f>IF(I22&lt;&gt;"",I22,訓練データ!$O$19)</f>
        <v>59.4</v>
      </c>
      <c r="P22">
        <f>IF(E22&lt;&gt;"",E22,訓練データ!$O$18)</f>
        <v>55</v>
      </c>
      <c r="R22">
        <f t="shared" si="0"/>
        <v>0</v>
      </c>
      <c r="S22">
        <f t="shared" si="3"/>
        <v>1</v>
      </c>
      <c r="T22">
        <f t="shared" si="3"/>
        <v>0</v>
      </c>
      <c r="U22">
        <f t="shared" si="3"/>
        <v>0</v>
      </c>
      <c r="V22">
        <f t="shared" si="5"/>
        <v>0</v>
      </c>
      <c r="W22">
        <f t="shared" si="5"/>
        <v>0</v>
      </c>
      <c r="X22">
        <f t="shared" si="5"/>
        <v>1</v>
      </c>
    </row>
    <row r="23" spans="1:24" x14ac:dyDescent="0.4">
      <c r="A23">
        <v>913</v>
      </c>
      <c r="B23">
        <v>3</v>
      </c>
      <c r="C23" t="s">
        <v>1777</v>
      </c>
      <c r="D23" t="s">
        <v>13</v>
      </c>
      <c r="E23">
        <v>9</v>
      </c>
      <c r="F23">
        <v>0</v>
      </c>
      <c r="G23">
        <v>1</v>
      </c>
      <c r="H23" t="s">
        <v>1778</v>
      </c>
      <c r="I23">
        <v>3.1707999999999998</v>
      </c>
      <c r="J23" t="s">
        <v>15</v>
      </c>
      <c r="K23" t="s">
        <v>16</v>
      </c>
      <c r="O23">
        <f>IF(I23&lt;&gt;"",I23,訓練データ!$O$19)</f>
        <v>3.1707999999999998</v>
      </c>
      <c r="P23">
        <f>IF(E23&lt;&gt;"",E23,訓練データ!$O$18)</f>
        <v>9</v>
      </c>
      <c r="R23">
        <f t="shared" si="0"/>
        <v>0</v>
      </c>
      <c r="S23">
        <f t="shared" si="3"/>
        <v>0</v>
      </c>
      <c r="T23">
        <f t="shared" si="3"/>
        <v>0</v>
      </c>
      <c r="U23">
        <f t="shared" si="3"/>
        <v>1</v>
      </c>
      <c r="V23">
        <f t="shared" si="5"/>
        <v>1</v>
      </c>
      <c r="W23">
        <f t="shared" si="5"/>
        <v>0</v>
      </c>
      <c r="X23">
        <f t="shared" si="5"/>
        <v>0</v>
      </c>
    </row>
    <row r="24" spans="1:24" x14ac:dyDescent="0.4">
      <c r="A24">
        <v>914</v>
      </c>
      <c r="B24">
        <v>1</v>
      </c>
      <c r="C24" t="s">
        <v>1779</v>
      </c>
      <c r="D24" t="s">
        <v>18</v>
      </c>
      <c r="F24">
        <v>0</v>
      </c>
      <c r="G24">
        <v>0</v>
      </c>
      <c r="H24" t="s">
        <v>1780</v>
      </c>
      <c r="I24">
        <v>31.683299999999999</v>
      </c>
      <c r="J24" t="s">
        <v>15</v>
      </c>
      <c r="K24" t="s">
        <v>16</v>
      </c>
      <c r="O24">
        <f>IF(I24&lt;&gt;"",I24,訓練データ!$O$19)</f>
        <v>31.683299999999999</v>
      </c>
      <c r="P24">
        <f>IF(E24&lt;&gt;"",E24,訓練データ!$O$18)</f>
        <v>28</v>
      </c>
      <c r="R24">
        <f t="shared" si="0"/>
        <v>1</v>
      </c>
      <c r="S24">
        <f t="shared" si="3"/>
        <v>1</v>
      </c>
      <c r="T24">
        <f t="shared" si="3"/>
        <v>0</v>
      </c>
      <c r="U24">
        <f t="shared" si="3"/>
        <v>0</v>
      </c>
      <c r="V24">
        <f t="shared" si="5"/>
        <v>1</v>
      </c>
      <c r="W24">
        <f t="shared" si="5"/>
        <v>0</v>
      </c>
      <c r="X24">
        <f t="shared" si="5"/>
        <v>0</v>
      </c>
    </row>
    <row r="25" spans="1:24" x14ac:dyDescent="0.4">
      <c r="A25">
        <v>915</v>
      </c>
      <c r="B25">
        <v>1</v>
      </c>
      <c r="C25" t="s">
        <v>1781</v>
      </c>
      <c r="D25" t="s">
        <v>13</v>
      </c>
      <c r="E25">
        <v>21</v>
      </c>
      <c r="F25">
        <v>0</v>
      </c>
      <c r="G25">
        <v>1</v>
      </c>
      <c r="H25" t="s">
        <v>346</v>
      </c>
      <c r="I25">
        <v>61.379199999999997</v>
      </c>
      <c r="J25" t="s">
        <v>15</v>
      </c>
      <c r="K25" t="s">
        <v>21</v>
      </c>
      <c r="O25">
        <f>IF(I25&lt;&gt;"",I25,訓練データ!$O$19)</f>
        <v>61.379199999999997</v>
      </c>
      <c r="P25">
        <f>IF(E25&lt;&gt;"",E25,訓練データ!$O$18)</f>
        <v>21</v>
      </c>
      <c r="R25">
        <f t="shared" si="0"/>
        <v>0</v>
      </c>
      <c r="S25">
        <f t="shared" si="3"/>
        <v>1</v>
      </c>
      <c r="T25">
        <f t="shared" si="3"/>
        <v>0</v>
      </c>
      <c r="U25">
        <f t="shared" si="3"/>
        <v>0</v>
      </c>
      <c r="V25">
        <f t="shared" si="5"/>
        <v>0</v>
      </c>
      <c r="W25">
        <f t="shared" si="5"/>
        <v>0</v>
      </c>
      <c r="X25">
        <f t="shared" si="5"/>
        <v>1</v>
      </c>
    </row>
    <row r="26" spans="1:24" x14ac:dyDescent="0.4">
      <c r="A26">
        <v>916</v>
      </c>
      <c r="B26">
        <v>1</v>
      </c>
      <c r="C26" t="s">
        <v>1782</v>
      </c>
      <c r="D26" t="s">
        <v>18</v>
      </c>
      <c r="E26">
        <v>48</v>
      </c>
      <c r="F26">
        <v>1</v>
      </c>
      <c r="G26">
        <v>3</v>
      </c>
      <c r="H26" t="s">
        <v>665</v>
      </c>
      <c r="I26">
        <v>262.375</v>
      </c>
      <c r="J26" t="s">
        <v>666</v>
      </c>
      <c r="K26" t="s">
        <v>21</v>
      </c>
      <c r="O26">
        <f>IF(I26&lt;&gt;"",I26,訓練データ!$O$19)</f>
        <v>262.375</v>
      </c>
      <c r="P26">
        <f>IF(E26&lt;&gt;"",E26,訓練データ!$O$18)</f>
        <v>48</v>
      </c>
      <c r="R26">
        <f t="shared" si="0"/>
        <v>1</v>
      </c>
      <c r="S26">
        <f t="shared" si="3"/>
        <v>1</v>
      </c>
      <c r="T26">
        <f t="shared" si="3"/>
        <v>0</v>
      </c>
      <c r="U26">
        <f t="shared" si="3"/>
        <v>0</v>
      </c>
      <c r="V26">
        <f t="shared" si="5"/>
        <v>0</v>
      </c>
      <c r="W26">
        <f t="shared" si="5"/>
        <v>0</v>
      </c>
      <c r="X26">
        <f t="shared" si="5"/>
        <v>1</v>
      </c>
    </row>
    <row r="27" spans="1:24" x14ac:dyDescent="0.4">
      <c r="A27">
        <v>917</v>
      </c>
      <c r="B27">
        <v>3</v>
      </c>
      <c r="C27" t="s">
        <v>1783</v>
      </c>
      <c r="D27" t="s">
        <v>13</v>
      </c>
      <c r="E27">
        <v>50</v>
      </c>
      <c r="F27">
        <v>1</v>
      </c>
      <c r="G27">
        <v>0</v>
      </c>
      <c r="H27" t="s">
        <v>298</v>
      </c>
      <c r="I27">
        <v>14.5</v>
      </c>
      <c r="J27" t="s">
        <v>15</v>
      </c>
      <c r="K27" t="s">
        <v>16</v>
      </c>
      <c r="O27">
        <f>IF(I27&lt;&gt;"",I27,訓練データ!$O$19)</f>
        <v>14.5</v>
      </c>
      <c r="P27">
        <f>IF(E27&lt;&gt;"",E27,訓練データ!$O$18)</f>
        <v>50</v>
      </c>
      <c r="R27">
        <f t="shared" si="0"/>
        <v>0</v>
      </c>
      <c r="S27">
        <f t="shared" si="3"/>
        <v>0</v>
      </c>
      <c r="T27">
        <f t="shared" si="3"/>
        <v>0</v>
      </c>
      <c r="U27">
        <f t="shared" si="3"/>
        <v>1</v>
      </c>
      <c r="V27">
        <f t="shared" si="5"/>
        <v>1</v>
      </c>
      <c r="W27">
        <f t="shared" si="5"/>
        <v>0</v>
      </c>
      <c r="X27">
        <f t="shared" si="5"/>
        <v>0</v>
      </c>
    </row>
    <row r="28" spans="1:24" x14ac:dyDescent="0.4">
      <c r="A28">
        <v>918</v>
      </c>
      <c r="B28">
        <v>1</v>
      </c>
      <c r="C28" t="s">
        <v>1784</v>
      </c>
      <c r="D28" t="s">
        <v>18</v>
      </c>
      <c r="E28">
        <v>22</v>
      </c>
      <c r="F28">
        <v>0</v>
      </c>
      <c r="G28">
        <v>1</v>
      </c>
      <c r="H28" t="s">
        <v>136</v>
      </c>
      <c r="I28">
        <v>61.979199999999999</v>
      </c>
      <c r="J28" t="s">
        <v>1785</v>
      </c>
      <c r="K28" t="s">
        <v>21</v>
      </c>
      <c r="O28">
        <f>IF(I28&lt;&gt;"",I28,訓練データ!$O$19)</f>
        <v>61.979199999999999</v>
      </c>
      <c r="P28">
        <f>IF(E28&lt;&gt;"",E28,訓練データ!$O$18)</f>
        <v>22</v>
      </c>
      <c r="R28">
        <f t="shared" si="0"/>
        <v>1</v>
      </c>
      <c r="S28">
        <f t="shared" si="3"/>
        <v>1</v>
      </c>
      <c r="T28">
        <f t="shared" si="3"/>
        <v>0</v>
      </c>
      <c r="U28">
        <f t="shared" si="3"/>
        <v>0</v>
      </c>
      <c r="V28">
        <f t="shared" si="5"/>
        <v>0</v>
      </c>
      <c r="W28">
        <f t="shared" si="5"/>
        <v>0</v>
      </c>
      <c r="X28">
        <f t="shared" si="5"/>
        <v>1</v>
      </c>
    </row>
    <row r="29" spans="1:24" x14ac:dyDescent="0.4">
      <c r="A29">
        <v>919</v>
      </c>
      <c r="B29">
        <v>3</v>
      </c>
      <c r="C29" t="s">
        <v>1786</v>
      </c>
      <c r="D29" t="s">
        <v>13</v>
      </c>
      <c r="E29">
        <v>22.5</v>
      </c>
      <c r="F29">
        <v>0</v>
      </c>
      <c r="G29">
        <v>0</v>
      </c>
      <c r="H29" t="s">
        <v>1787</v>
      </c>
      <c r="I29">
        <v>7.2249999999999996</v>
      </c>
      <c r="J29" t="s">
        <v>15</v>
      </c>
      <c r="K29" t="s">
        <v>21</v>
      </c>
      <c r="O29">
        <f>IF(I29&lt;&gt;"",I29,訓練データ!$O$19)</f>
        <v>7.2249999999999996</v>
      </c>
      <c r="P29">
        <f>IF(E29&lt;&gt;"",E29,訓練データ!$O$18)</f>
        <v>22.5</v>
      </c>
      <c r="R29">
        <f t="shared" si="0"/>
        <v>0</v>
      </c>
      <c r="S29">
        <f t="shared" si="3"/>
        <v>0</v>
      </c>
      <c r="T29">
        <f t="shared" si="3"/>
        <v>0</v>
      </c>
      <c r="U29">
        <f t="shared" si="3"/>
        <v>1</v>
      </c>
      <c r="V29">
        <f t="shared" si="5"/>
        <v>0</v>
      </c>
      <c r="W29">
        <f t="shared" si="5"/>
        <v>0</v>
      </c>
      <c r="X29">
        <f t="shared" si="5"/>
        <v>1</v>
      </c>
    </row>
    <row r="30" spans="1:24" x14ac:dyDescent="0.4">
      <c r="A30">
        <v>920</v>
      </c>
      <c r="B30">
        <v>1</v>
      </c>
      <c r="C30" t="s">
        <v>1788</v>
      </c>
      <c r="D30" t="s">
        <v>13</v>
      </c>
      <c r="E30">
        <v>41</v>
      </c>
      <c r="F30">
        <v>0</v>
      </c>
      <c r="G30">
        <v>0</v>
      </c>
      <c r="H30" t="s">
        <v>1789</v>
      </c>
      <c r="I30">
        <v>30.5</v>
      </c>
      <c r="J30" t="s">
        <v>1790</v>
      </c>
      <c r="K30" t="s">
        <v>16</v>
      </c>
      <c r="O30">
        <f>IF(I30&lt;&gt;"",I30,訓練データ!$O$19)</f>
        <v>30.5</v>
      </c>
      <c r="P30">
        <f>IF(E30&lt;&gt;"",E30,訓練データ!$O$18)</f>
        <v>41</v>
      </c>
      <c r="R30">
        <f t="shared" si="0"/>
        <v>0</v>
      </c>
      <c r="S30">
        <f t="shared" si="3"/>
        <v>1</v>
      </c>
      <c r="T30">
        <f t="shared" si="3"/>
        <v>0</v>
      </c>
      <c r="U30">
        <f t="shared" si="3"/>
        <v>0</v>
      </c>
      <c r="V30">
        <f t="shared" si="5"/>
        <v>1</v>
      </c>
      <c r="W30">
        <f t="shared" si="5"/>
        <v>0</v>
      </c>
      <c r="X30">
        <f t="shared" si="5"/>
        <v>0</v>
      </c>
    </row>
    <row r="31" spans="1:24" x14ac:dyDescent="0.4">
      <c r="A31">
        <v>921</v>
      </c>
      <c r="B31">
        <v>3</v>
      </c>
      <c r="C31" t="s">
        <v>1791</v>
      </c>
      <c r="D31" t="s">
        <v>13</v>
      </c>
      <c r="F31">
        <v>2</v>
      </c>
      <c r="G31">
        <v>0</v>
      </c>
      <c r="H31" t="s">
        <v>123</v>
      </c>
      <c r="I31">
        <v>21.679200000000002</v>
      </c>
      <c r="J31" t="s">
        <v>15</v>
      </c>
      <c r="K31" t="s">
        <v>21</v>
      </c>
      <c r="O31">
        <f>IF(I31&lt;&gt;"",I31,訓練データ!$O$19)</f>
        <v>21.679200000000002</v>
      </c>
      <c r="P31">
        <f>IF(E31&lt;&gt;"",E31,訓練データ!$O$18)</f>
        <v>28</v>
      </c>
      <c r="R31">
        <f t="shared" si="0"/>
        <v>0</v>
      </c>
      <c r="S31">
        <f t="shared" si="3"/>
        <v>0</v>
      </c>
      <c r="T31">
        <f t="shared" si="3"/>
        <v>0</v>
      </c>
      <c r="U31">
        <f t="shared" si="3"/>
        <v>1</v>
      </c>
      <c r="V31">
        <f t="shared" si="5"/>
        <v>0</v>
      </c>
      <c r="W31">
        <f t="shared" si="5"/>
        <v>0</v>
      </c>
      <c r="X31">
        <f t="shared" si="5"/>
        <v>1</v>
      </c>
    </row>
    <row r="32" spans="1:24" x14ac:dyDescent="0.4">
      <c r="A32">
        <v>922</v>
      </c>
      <c r="B32">
        <v>2</v>
      </c>
      <c r="C32" t="s">
        <v>1792</v>
      </c>
      <c r="D32" t="s">
        <v>13</v>
      </c>
      <c r="E32">
        <v>50</v>
      </c>
      <c r="F32">
        <v>1</v>
      </c>
      <c r="G32">
        <v>0</v>
      </c>
      <c r="H32" t="s">
        <v>894</v>
      </c>
      <c r="I32">
        <v>26</v>
      </c>
      <c r="J32" t="s">
        <v>15</v>
      </c>
      <c r="K32" t="s">
        <v>16</v>
      </c>
      <c r="O32">
        <f>IF(I32&lt;&gt;"",I32,訓練データ!$O$19)</f>
        <v>26</v>
      </c>
      <c r="P32">
        <f>IF(E32&lt;&gt;"",E32,訓練データ!$O$18)</f>
        <v>50</v>
      </c>
      <c r="R32">
        <f t="shared" si="0"/>
        <v>0</v>
      </c>
      <c r="S32">
        <f t="shared" si="3"/>
        <v>0</v>
      </c>
      <c r="T32">
        <f t="shared" si="3"/>
        <v>1</v>
      </c>
      <c r="U32">
        <f t="shared" si="3"/>
        <v>0</v>
      </c>
      <c r="V32">
        <f t="shared" si="5"/>
        <v>1</v>
      </c>
      <c r="W32">
        <f t="shared" si="5"/>
        <v>0</v>
      </c>
      <c r="X32">
        <f t="shared" si="5"/>
        <v>0</v>
      </c>
    </row>
    <row r="33" spans="1:24" x14ac:dyDescent="0.4">
      <c r="A33">
        <v>923</v>
      </c>
      <c r="B33">
        <v>2</v>
      </c>
      <c r="C33" t="s">
        <v>1793</v>
      </c>
      <c r="D33" t="s">
        <v>13</v>
      </c>
      <c r="E33">
        <v>24</v>
      </c>
      <c r="F33">
        <v>2</v>
      </c>
      <c r="G33">
        <v>0</v>
      </c>
      <c r="H33" t="s">
        <v>1794</v>
      </c>
      <c r="I33">
        <v>31.5</v>
      </c>
      <c r="J33" t="s">
        <v>15</v>
      </c>
      <c r="K33" t="s">
        <v>16</v>
      </c>
      <c r="O33">
        <f>IF(I33&lt;&gt;"",I33,訓練データ!$O$19)</f>
        <v>31.5</v>
      </c>
      <c r="P33">
        <f>IF(E33&lt;&gt;"",E33,訓練データ!$O$18)</f>
        <v>24</v>
      </c>
      <c r="R33">
        <f t="shared" si="0"/>
        <v>0</v>
      </c>
      <c r="S33">
        <f t="shared" si="3"/>
        <v>0</v>
      </c>
      <c r="T33">
        <f t="shared" si="3"/>
        <v>1</v>
      </c>
      <c r="U33">
        <f t="shared" si="3"/>
        <v>0</v>
      </c>
      <c r="V33">
        <f t="shared" si="5"/>
        <v>1</v>
      </c>
      <c r="W33">
        <f t="shared" si="5"/>
        <v>0</v>
      </c>
      <c r="X33">
        <f t="shared" si="5"/>
        <v>0</v>
      </c>
    </row>
    <row r="34" spans="1:24" x14ac:dyDescent="0.4">
      <c r="A34">
        <v>924</v>
      </c>
      <c r="B34">
        <v>3</v>
      </c>
      <c r="C34" t="s">
        <v>1795</v>
      </c>
      <c r="D34" t="s">
        <v>18</v>
      </c>
      <c r="E34">
        <v>33</v>
      </c>
      <c r="F34">
        <v>1</v>
      </c>
      <c r="G34">
        <v>2</v>
      </c>
      <c r="H34" t="s">
        <v>219</v>
      </c>
      <c r="I34">
        <v>20.574999999999999</v>
      </c>
      <c r="J34" t="s">
        <v>15</v>
      </c>
      <c r="K34" t="s">
        <v>16</v>
      </c>
      <c r="O34">
        <f>IF(I34&lt;&gt;"",I34,訓練データ!$O$19)</f>
        <v>20.574999999999999</v>
      </c>
      <c r="P34">
        <f>IF(E34&lt;&gt;"",E34,訓練データ!$O$18)</f>
        <v>33</v>
      </c>
      <c r="R34">
        <f t="shared" si="0"/>
        <v>1</v>
      </c>
      <c r="S34">
        <f t="shared" si="3"/>
        <v>0</v>
      </c>
      <c r="T34">
        <f t="shared" si="3"/>
        <v>0</v>
      </c>
      <c r="U34">
        <f t="shared" si="3"/>
        <v>1</v>
      </c>
      <c r="V34">
        <f t="shared" si="5"/>
        <v>1</v>
      </c>
      <c r="W34">
        <f t="shared" si="5"/>
        <v>0</v>
      </c>
      <c r="X34">
        <f t="shared" si="5"/>
        <v>0</v>
      </c>
    </row>
    <row r="35" spans="1:24" x14ac:dyDescent="0.4">
      <c r="A35">
        <v>925</v>
      </c>
      <c r="B35">
        <v>3</v>
      </c>
      <c r="C35" t="s">
        <v>1796</v>
      </c>
      <c r="D35" t="s">
        <v>18</v>
      </c>
      <c r="F35">
        <v>1</v>
      </c>
      <c r="G35">
        <v>2</v>
      </c>
      <c r="H35" t="s">
        <v>1550</v>
      </c>
      <c r="I35">
        <v>23.45</v>
      </c>
      <c r="J35" t="s">
        <v>15</v>
      </c>
      <c r="K35" t="s">
        <v>16</v>
      </c>
      <c r="O35">
        <f>IF(I35&lt;&gt;"",I35,訓練データ!$O$19)</f>
        <v>23.45</v>
      </c>
      <c r="P35">
        <f>IF(E35&lt;&gt;"",E35,訓練データ!$O$18)</f>
        <v>28</v>
      </c>
      <c r="R35">
        <f t="shared" si="0"/>
        <v>1</v>
      </c>
      <c r="S35">
        <f t="shared" si="3"/>
        <v>0</v>
      </c>
      <c r="T35">
        <f t="shared" si="3"/>
        <v>0</v>
      </c>
      <c r="U35">
        <f t="shared" si="3"/>
        <v>1</v>
      </c>
      <c r="V35">
        <f t="shared" si="5"/>
        <v>1</v>
      </c>
      <c r="W35">
        <f t="shared" si="5"/>
        <v>0</v>
      </c>
      <c r="X35">
        <f t="shared" si="5"/>
        <v>0</v>
      </c>
    </row>
    <row r="36" spans="1:24" x14ac:dyDescent="0.4">
      <c r="A36">
        <v>926</v>
      </c>
      <c r="B36">
        <v>1</v>
      </c>
      <c r="C36" t="s">
        <v>1797</v>
      </c>
      <c r="D36" t="s">
        <v>13</v>
      </c>
      <c r="E36">
        <v>30</v>
      </c>
      <c r="F36">
        <v>1</v>
      </c>
      <c r="G36">
        <v>0</v>
      </c>
      <c r="H36" t="s">
        <v>1798</v>
      </c>
      <c r="I36">
        <v>57.75</v>
      </c>
      <c r="J36" t="s">
        <v>524</v>
      </c>
      <c r="K36" t="s">
        <v>21</v>
      </c>
      <c r="O36">
        <f>IF(I36&lt;&gt;"",I36,訓練データ!$O$19)</f>
        <v>57.75</v>
      </c>
      <c r="P36">
        <f>IF(E36&lt;&gt;"",E36,訓練データ!$O$18)</f>
        <v>30</v>
      </c>
      <c r="R36">
        <f t="shared" si="0"/>
        <v>0</v>
      </c>
      <c r="S36">
        <f t="shared" si="3"/>
        <v>1</v>
      </c>
      <c r="T36">
        <f t="shared" si="3"/>
        <v>0</v>
      </c>
      <c r="U36">
        <f t="shared" si="3"/>
        <v>0</v>
      </c>
      <c r="V36">
        <f t="shared" si="5"/>
        <v>0</v>
      </c>
      <c r="W36">
        <f t="shared" si="5"/>
        <v>0</v>
      </c>
      <c r="X36">
        <f t="shared" si="5"/>
        <v>1</v>
      </c>
    </row>
    <row r="37" spans="1:24" x14ac:dyDescent="0.4">
      <c r="A37">
        <v>927</v>
      </c>
      <c r="B37">
        <v>3</v>
      </c>
      <c r="C37" t="s">
        <v>1799</v>
      </c>
      <c r="D37" t="s">
        <v>13</v>
      </c>
      <c r="E37">
        <v>18.5</v>
      </c>
      <c r="F37">
        <v>0</v>
      </c>
      <c r="G37">
        <v>0</v>
      </c>
      <c r="H37" t="s">
        <v>1800</v>
      </c>
      <c r="I37">
        <v>7.2291999999999996</v>
      </c>
      <c r="J37" t="s">
        <v>15</v>
      </c>
      <c r="K37" t="s">
        <v>21</v>
      </c>
      <c r="O37">
        <f>IF(I37&lt;&gt;"",I37,訓練データ!$O$19)</f>
        <v>7.2291999999999996</v>
      </c>
      <c r="P37">
        <f>IF(E37&lt;&gt;"",E37,訓練データ!$O$18)</f>
        <v>18.5</v>
      </c>
      <c r="R37">
        <f t="shared" si="0"/>
        <v>0</v>
      </c>
      <c r="S37">
        <f t="shared" si="3"/>
        <v>0</v>
      </c>
      <c r="T37">
        <f t="shared" si="3"/>
        <v>0</v>
      </c>
      <c r="U37">
        <f t="shared" si="3"/>
        <v>1</v>
      </c>
      <c r="V37">
        <f t="shared" si="5"/>
        <v>0</v>
      </c>
      <c r="W37">
        <f t="shared" si="5"/>
        <v>0</v>
      </c>
      <c r="X37">
        <f t="shared" si="5"/>
        <v>1</v>
      </c>
    </row>
    <row r="38" spans="1:24" x14ac:dyDescent="0.4">
      <c r="A38">
        <v>928</v>
      </c>
      <c r="B38">
        <v>3</v>
      </c>
      <c r="C38" t="s">
        <v>1801</v>
      </c>
      <c r="D38" t="s">
        <v>18</v>
      </c>
      <c r="F38">
        <v>0</v>
      </c>
      <c r="G38">
        <v>0</v>
      </c>
      <c r="H38" t="s">
        <v>1802</v>
      </c>
      <c r="I38">
        <v>8.0500000000000007</v>
      </c>
      <c r="J38" t="s">
        <v>15</v>
      </c>
      <c r="K38" t="s">
        <v>16</v>
      </c>
      <c r="O38">
        <f>IF(I38&lt;&gt;"",I38,訓練データ!$O$19)</f>
        <v>8.0500000000000007</v>
      </c>
      <c r="P38">
        <f>IF(E38&lt;&gt;"",E38,訓練データ!$O$18)</f>
        <v>28</v>
      </c>
      <c r="R38">
        <f t="shared" si="0"/>
        <v>1</v>
      </c>
      <c r="S38">
        <f t="shared" si="3"/>
        <v>0</v>
      </c>
      <c r="T38">
        <f t="shared" si="3"/>
        <v>0</v>
      </c>
      <c r="U38">
        <f t="shared" si="3"/>
        <v>1</v>
      </c>
      <c r="V38">
        <f t="shared" si="5"/>
        <v>1</v>
      </c>
      <c r="W38">
        <f t="shared" si="5"/>
        <v>0</v>
      </c>
      <c r="X38">
        <f t="shared" si="5"/>
        <v>0</v>
      </c>
    </row>
    <row r="39" spans="1:24" x14ac:dyDescent="0.4">
      <c r="A39">
        <v>929</v>
      </c>
      <c r="B39">
        <v>3</v>
      </c>
      <c r="C39" t="s">
        <v>1803</v>
      </c>
      <c r="D39" t="s">
        <v>18</v>
      </c>
      <c r="E39">
        <v>21</v>
      </c>
      <c r="F39">
        <v>0</v>
      </c>
      <c r="G39">
        <v>0</v>
      </c>
      <c r="H39" t="s">
        <v>1804</v>
      </c>
      <c r="I39">
        <v>8.6624999999999996</v>
      </c>
      <c r="J39" t="s">
        <v>15</v>
      </c>
      <c r="K39" t="s">
        <v>16</v>
      </c>
      <c r="O39">
        <f>IF(I39&lt;&gt;"",I39,訓練データ!$O$19)</f>
        <v>8.6624999999999996</v>
      </c>
      <c r="P39">
        <f>IF(E39&lt;&gt;"",E39,訓練データ!$O$18)</f>
        <v>21</v>
      </c>
      <c r="R39">
        <f t="shared" si="0"/>
        <v>1</v>
      </c>
      <c r="S39">
        <f t="shared" si="3"/>
        <v>0</v>
      </c>
      <c r="T39">
        <f t="shared" si="3"/>
        <v>0</v>
      </c>
      <c r="U39">
        <f t="shared" si="3"/>
        <v>1</v>
      </c>
      <c r="V39">
        <f t="shared" si="5"/>
        <v>1</v>
      </c>
      <c r="W39">
        <f t="shared" si="5"/>
        <v>0</v>
      </c>
      <c r="X39">
        <f t="shared" si="5"/>
        <v>0</v>
      </c>
    </row>
    <row r="40" spans="1:24" x14ac:dyDescent="0.4">
      <c r="A40">
        <v>930</v>
      </c>
      <c r="B40">
        <v>3</v>
      </c>
      <c r="C40" t="s">
        <v>1805</v>
      </c>
      <c r="D40" t="s">
        <v>13</v>
      </c>
      <c r="E40">
        <v>25</v>
      </c>
      <c r="F40">
        <v>0</v>
      </c>
      <c r="G40">
        <v>0</v>
      </c>
      <c r="H40" t="s">
        <v>1806</v>
      </c>
      <c r="I40">
        <v>9.5</v>
      </c>
      <c r="J40" t="s">
        <v>15</v>
      </c>
      <c r="K40" t="s">
        <v>16</v>
      </c>
      <c r="O40">
        <f>IF(I40&lt;&gt;"",I40,訓練データ!$O$19)</f>
        <v>9.5</v>
      </c>
      <c r="P40">
        <f>IF(E40&lt;&gt;"",E40,訓練データ!$O$18)</f>
        <v>25</v>
      </c>
      <c r="R40">
        <f t="shared" si="0"/>
        <v>0</v>
      </c>
      <c r="S40">
        <f t="shared" si="3"/>
        <v>0</v>
      </c>
      <c r="T40">
        <f t="shared" si="3"/>
        <v>0</v>
      </c>
      <c r="U40">
        <f t="shared" si="3"/>
        <v>1</v>
      </c>
      <c r="V40">
        <f t="shared" si="5"/>
        <v>1</v>
      </c>
      <c r="W40">
        <f t="shared" si="5"/>
        <v>0</v>
      </c>
      <c r="X40">
        <f t="shared" si="5"/>
        <v>0</v>
      </c>
    </row>
    <row r="41" spans="1:24" x14ac:dyDescent="0.4">
      <c r="A41">
        <v>931</v>
      </c>
      <c r="B41">
        <v>3</v>
      </c>
      <c r="C41" t="s">
        <v>1807</v>
      </c>
      <c r="D41" t="s">
        <v>13</v>
      </c>
      <c r="F41">
        <v>0</v>
      </c>
      <c r="G41">
        <v>0</v>
      </c>
      <c r="H41" t="s">
        <v>180</v>
      </c>
      <c r="I41">
        <v>56.495800000000003</v>
      </c>
      <c r="J41" t="s">
        <v>15</v>
      </c>
      <c r="K41" t="s">
        <v>16</v>
      </c>
      <c r="O41">
        <f>IF(I41&lt;&gt;"",I41,訓練データ!$O$19)</f>
        <v>56.495800000000003</v>
      </c>
      <c r="P41">
        <f>IF(E41&lt;&gt;"",E41,訓練データ!$O$18)</f>
        <v>28</v>
      </c>
      <c r="R41">
        <f t="shared" si="0"/>
        <v>0</v>
      </c>
      <c r="S41">
        <f t="shared" si="3"/>
        <v>0</v>
      </c>
      <c r="T41">
        <f t="shared" si="3"/>
        <v>0</v>
      </c>
      <c r="U41">
        <f t="shared" si="3"/>
        <v>1</v>
      </c>
      <c r="V41">
        <f t="shared" si="5"/>
        <v>1</v>
      </c>
      <c r="W41">
        <f t="shared" si="5"/>
        <v>0</v>
      </c>
      <c r="X41">
        <f t="shared" si="5"/>
        <v>0</v>
      </c>
    </row>
    <row r="42" spans="1:24" x14ac:dyDescent="0.4">
      <c r="A42">
        <v>932</v>
      </c>
      <c r="B42">
        <v>3</v>
      </c>
      <c r="C42" t="s">
        <v>1808</v>
      </c>
      <c r="D42" t="s">
        <v>13</v>
      </c>
      <c r="E42">
        <v>39</v>
      </c>
      <c r="F42">
        <v>0</v>
      </c>
      <c r="G42">
        <v>1</v>
      </c>
      <c r="H42" t="s">
        <v>1380</v>
      </c>
      <c r="I42">
        <v>13.416700000000001</v>
      </c>
      <c r="J42" t="s">
        <v>15</v>
      </c>
      <c r="K42" t="s">
        <v>21</v>
      </c>
      <c r="O42">
        <f>IF(I42&lt;&gt;"",I42,訓練データ!$O$19)</f>
        <v>13.416700000000001</v>
      </c>
      <c r="P42">
        <f>IF(E42&lt;&gt;"",E42,訓練データ!$O$18)</f>
        <v>39</v>
      </c>
      <c r="R42">
        <f t="shared" si="0"/>
        <v>0</v>
      </c>
      <c r="S42">
        <f t="shared" si="3"/>
        <v>0</v>
      </c>
      <c r="T42">
        <f t="shared" si="3"/>
        <v>0</v>
      </c>
      <c r="U42">
        <f t="shared" si="3"/>
        <v>1</v>
      </c>
      <c r="V42">
        <f t="shared" si="5"/>
        <v>0</v>
      </c>
      <c r="W42">
        <f t="shared" si="5"/>
        <v>0</v>
      </c>
      <c r="X42">
        <f t="shared" si="5"/>
        <v>1</v>
      </c>
    </row>
    <row r="43" spans="1:24" x14ac:dyDescent="0.4">
      <c r="A43">
        <v>933</v>
      </c>
      <c r="B43">
        <v>1</v>
      </c>
      <c r="C43" t="s">
        <v>1809</v>
      </c>
      <c r="D43" t="s">
        <v>13</v>
      </c>
      <c r="F43">
        <v>0</v>
      </c>
      <c r="G43">
        <v>0</v>
      </c>
      <c r="H43" t="s">
        <v>1810</v>
      </c>
      <c r="I43">
        <v>26.55</v>
      </c>
      <c r="J43" t="s">
        <v>1811</v>
      </c>
      <c r="K43" t="s">
        <v>16</v>
      </c>
      <c r="O43">
        <f>IF(I43&lt;&gt;"",I43,訓練データ!$O$19)</f>
        <v>26.55</v>
      </c>
      <c r="P43">
        <f>IF(E43&lt;&gt;"",E43,訓練データ!$O$18)</f>
        <v>28</v>
      </c>
      <c r="R43">
        <f t="shared" si="0"/>
        <v>0</v>
      </c>
      <c r="S43">
        <f t="shared" si="3"/>
        <v>1</v>
      </c>
      <c r="T43">
        <f t="shared" si="3"/>
        <v>0</v>
      </c>
      <c r="U43">
        <f t="shared" si="3"/>
        <v>0</v>
      </c>
      <c r="V43">
        <f t="shared" si="5"/>
        <v>1</v>
      </c>
      <c r="W43">
        <f t="shared" si="5"/>
        <v>0</v>
      </c>
      <c r="X43">
        <f t="shared" si="5"/>
        <v>0</v>
      </c>
    </row>
    <row r="44" spans="1:24" x14ac:dyDescent="0.4">
      <c r="A44">
        <v>934</v>
      </c>
      <c r="B44">
        <v>3</v>
      </c>
      <c r="C44" t="s">
        <v>1812</v>
      </c>
      <c r="D44" t="s">
        <v>13</v>
      </c>
      <c r="E44">
        <v>41</v>
      </c>
      <c r="F44">
        <v>0</v>
      </c>
      <c r="G44">
        <v>0</v>
      </c>
      <c r="H44" t="s">
        <v>1813</v>
      </c>
      <c r="I44">
        <v>7.85</v>
      </c>
      <c r="J44" t="s">
        <v>15</v>
      </c>
      <c r="K44" t="s">
        <v>16</v>
      </c>
      <c r="O44">
        <f>IF(I44&lt;&gt;"",I44,訓練データ!$O$19)</f>
        <v>7.85</v>
      </c>
      <c r="P44">
        <f>IF(E44&lt;&gt;"",E44,訓練データ!$O$18)</f>
        <v>41</v>
      </c>
      <c r="R44">
        <f t="shared" si="0"/>
        <v>0</v>
      </c>
      <c r="S44">
        <f t="shared" si="3"/>
        <v>0</v>
      </c>
      <c r="T44">
        <f t="shared" si="3"/>
        <v>0</v>
      </c>
      <c r="U44">
        <f t="shared" si="3"/>
        <v>1</v>
      </c>
      <c r="V44">
        <f t="shared" si="5"/>
        <v>1</v>
      </c>
      <c r="W44">
        <f t="shared" si="5"/>
        <v>0</v>
      </c>
      <c r="X44">
        <f t="shared" si="5"/>
        <v>0</v>
      </c>
    </row>
    <row r="45" spans="1:24" x14ac:dyDescent="0.4">
      <c r="A45">
        <v>935</v>
      </c>
      <c r="B45">
        <v>2</v>
      </c>
      <c r="C45" t="s">
        <v>1814</v>
      </c>
      <c r="D45" t="s">
        <v>18</v>
      </c>
      <c r="E45">
        <v>30</v>
      </c>
      <c r="F45">
        <v>0</v>
      </c>
      <c r="G45">
        <v>0</v>
      </c>
      <c r="H45" t="s">
        <v>1815</v>
      </c>
      <c r="I45">
        <v>13</v>
      </c>
      <c r="J45" t="s">
        <v>15</v>
      </c>
      <c r="K45" t="s">
        <v>16</v>
      </c>
      <c r="O45">
        <f>IF(I45&lt;&gt;"",I45,訓練データ!$O$19)</f>
        <v>13</v>
      </c>
      <c r="P45">
        <f>IF(E45&lt;&gt;"",E45,訓練データ!$O$18)</f>
        <v>30</v>
      </c>
      <c r="R45">
        <f t="shared" si="0"/>
        <v>1</v>
      </c>
      <c r="S45">
        <f t="shared" si="3"/>
        <v>0</v>
      </c>
      <c r="T45">
        <f t="shared" si="3"/>
        <v>1</v>
      </c>
      <c r="U45">
        <f t="shared" si="3"/>
        <v>0</v>
      </c>
      <c r="V45">
        <f t="shared" si="5"/>
        <v>1</v>
      </c>
      <c r="W45">
        <f t="shared" si="5"/>
        <v>0</v>
      </c>
      <c r="X45">
        <f t="shared" si="5"/>
        <v>0</v>
      </c>
    </row>
    <row r="46" spans="1:24" x14ac:dyDescent="0.4">
      <c r="A46">
        <v>936</v>
      </c>
      <c r="B46">
        <v>1</v>
      </c>
      <c r="C46" t="s">
        <v>1816</v>
      </c>
      <c r="D46" t="s">
        <v>18</v>
      </c>
      <c r="E46">
        <v>45</v>
      </c>
      <c r="F46">
        <v>1</v>
      </c>
      <c r="G46">
        <v>0</v>
      </c>
      <c r="H46" t="s">
        <v>1250</v>
      </c>
      <c r="I46">
        <v>52.554200000000002</v>
      </c>
      <c r="J46" t="s">
        <v>1251</v>
      </c>
      <c r="K46" t="s">
        <v>16</v>
      </c>
      <c r="O46">
        <f>IF(I46&lt;&gt;"",I46,訓練データ!$O$19)</f>
        <v>52.554200000000002</v>
      </c>
      <c r="P46">
        <f>IF(E46&lt;&gt;"",E46,訓練データ!$O$18)</f>
        <v>45</v>
      </c>
      <c r="R46">
        <f t="shared" si="0"/>
        <v>1</v>
      </c>
      <c r="S46">
        <f t="shared" si="3"/>
        <v>1</v>
      </c>
      <c r="T46">
        <f t="shared" si="3"/>
        <v>0</v>
      </c>
      <c r="U46">
        <f t="shared" si="3"/>
        <v>0</v>
      </c>
      <c r="V46">
        <f t="shared" si="5"/>
        <v>1</v>
      </c>
      <c r="W46">
        <f t="shared" si="5"/>
        <v>0</v>
      </c>
      <c r="X46">
        <f t="shared" si="5"/>
        <v>0</v>
      </c>
    </row>
    <row r="47" spans="1:24" x14ac:dyDescent="0.4">
      <c r="A47">
        <v>937</v>
      </c>
      <c r="B47">
        <v>3</v>
      </c>
      <c r="C47" t="s">
        <v>1817</v>
      </c>
      <c r="D47" t="s">
        <v>13</v>
      </c>
      <c r="E47">
        <v>25</v>
      </c>
      <c r="F47">
        <v>0</v>
      </c>
      <c r="G47">
        <v>0</v>
      </c>
      <c r="H47" t="s">
        <v>1818</v>
      </c>
      <c r="I47">
        <v>7.9249999999999998</v>
      </c>
      <c r="J47" t="s">
        <v>15</v>
      </c>
      <c r="K47" t="s">
        <v>16</v>
      </c>
      <c r="O47">
        <f>IF(I47&lt;&gt;"",I47,訓練データ!$O$19)</f>
        <v>7.9249999999999998</v>
      </c>
      <c r="P47">
        <f>IF(E47&lt;&gt;"",E47,訓練データ!$O$18)</f>
        <v>25</v>
      </c>
      <c r="R47">
        <f t="shared" si="0"/>
        <v>0</v>
      </c>
      <c r="S47">
        <f t="shared" si="3"/>
        <v>0</v>
      </c>
      <c r="T47">
        <f t="shared" si="3"/>
        <v>0</v>
      </c>
      <c r="U47">
        <f t="shared" si="3"/>
        <v>1</v>
      </c>
      <c r="V47">
        <f t="shared" si="5"/>
        <v>1</v>
      </c>
      <c r="W47">
        <f t="shared" si="5"/>
        <v>0</v>
      </c>
      <c r="X47">
        <f t="shared" si="5"/>
        <v>0</v>
      </c>
    </row>
    <row r="48" spans="1:24" x14ac:dyDescent="0.4">
      <c r="A48">
        <v>938</v>
      </c>
      <c r="B48">
        <v>1</v>
      </c>
      <c r="C48" t="s">
        <v>1819</v>
      </c>
      <c r="D48" t="s">
        <v>13</v>
      </c>
      <c r="E48">
        <v>45</v>
      </c>
      <c r="F48">
        <v>0</v>
      </c>
      <c r="G48">
        <v>0</v>
      </c>
      <c r="H48" t="s">
        <v>1820</v>
      </c>
      <c r="I48">
        <v>29.7</v>
      </c>
      <c r="J48" t="s">
        <v>1821</v>
      </c>
      <c r="K48" t="s">
        <v>21</v>
      </c>
      <c r="O48">
        <f>IF(I48&lt;&gt;"",I48,訓練データ!$O$19)</f>
        <v>29.7</v>
      </c>
      <c r="P48">
        <f>IF(E48&lt;&gt;"",E48,訓練データ!$O$18)</f>
        <v>45</v>
      </c>
      <c r="R48">
        <f t="shared" si="0"/>
        <v>0</v>
      </c>
      <c r="S48">
        <f t="shared" si="3"/>
        <v>1</v>
      </c>
      <c r="T48">
        <f t="shared" si="3"/>
        <v>0</v>
      </c>
      <c r="U48">
        <f t="shared" si="3"/>
        <v>0</v>
      </c>
      <c r="V48">
        <f t="shared" si="5"/>
        <v>0</v>
      </c>
      <c r="W48">
        <f t="shared" si="5"/>
        <v>0</v>
      </c>
      <c r="X48">
        <f t="shared" si="5"/>
        <v>1</v>
      </c>
    </row>
    <row r="49" spans="1:24" x14ac:dyDescent="0.4">
      <c r="A49">
        <v>939</v>
      </c>
      <c r="B49">
        <v>3</v>
      </c>
      <c r="C49" t="s">
        <v>1822</v>
      </c>
      <c r="D49" t="s">
        <v>13</v>
      </c>
      <c r="F49">
        <v>0</v>
      </c>
      <c r="G49">
        <v>0</v>
      </c>
      <c r="H49" t="s">
        <v>1823</v>
      </c>
      <c r="I49">
        <v>7.75</v>
      </c>
      <c r="J49" t="s">
        <v>15</v>
      </c>
      <c r="K49" t="s">
        <v>31</v>
      </c>
      <c r="O49">
        <f>IF(I49&lt;&gt;"",I49,訓練データ!$O$19)</f>
        <v>7.75</v>
      </c>
      <c r="P49">
        <f>IF(E49&lt;&gt;"",E49,訓練データ!$O$18)</f>
        <v>28</v>
      </c>
      <c r="R49">
        <f t="shared" si="0"/>
        <v>0</v>
      </c>
      <c r="S49">
        <f t="shared" si="3"/>
        <v>0</v>
      </c>
      <c r="T49">
        <f t="shared" si="3"/>
        <v>0</v>
      </c>
      <c r="U49">
        <f t="shared" si="3"/>
        <v>1</v>
      </c>
      <c r="V49">
        <f t="shared" si="5"/>
        <v>0</v>
      </c>
      <c r="W49">
        <f t="shared" si="5"/>
        <v>1</v>
      </c>
      <c r="X49">
        <f t="shared" si="5"/>
        <v>0</v>
      </c>
    </row>
    <row r="50" spans="1:24" x14ac:dyDescent="0.4">
      <c r="A50">
        <v>940</v>
      </c>
      <c r="B50">
        <v>1</v>
      </c>
      <c r="C50" t="s">
        <v>1824</v>
      </c>
      <c r="D50" t="s">
        <v>18</v>
      </c>
      <c r="E50">
        <v>60</v>
      </c>
      <c r="F50">
        <v>0</v>
      </c>
      <c r="G50">
        <v>0</v>
      </c>
      <c r="H50" t="s">
        <v>471</v>
      </c>
      <c r="I50">
        <v>76.291700000000006</v>
      </c>
      <c r="J50" t="s">
        <v>472</v>
      </c>
      <c r="K50" t="s">
        <v>21</v>
      </c>
      <c r="O50">
        <f>IF(I50&lt;&gt;"",I50,訓練データ!$O$19)</f>
        <v>76.291700000000006</v>
      </c>
      <c r="P50">
        <f>IF(E50&lt;&gt;"",E50,訓練データ!$O$18)</f>
        <v>60</v>
      </c>
      <c r="R50">
        <f t="shared" si="0"/>
        <v>1</v>
      </c>
      <c r="S50">
        <f t="shared" si="3"/>
        <v>1</v>
      </c>
      <c r="T50">
        <f t="shared" si="3"/>
        <v>0</v>
      </c>
      <c r="U50">
        <f t="shared" si="3"/>
        <v>0</v>
      </c>
      <c r="V50">
        <f t="shared" si="5"/>
        <v>0</v>
      </c>
      <c r="W50">
        <f t="shared" si="5"/>
        <v>0</v>
      </c>
      <c r="X50">
        <f t="shared" si="5"/>
        <v>1</v>
      </c>
    </row>
    <row r="51" spans="1:24" x14ac:dyDescent="0.4">
      <c r="A51">
        <v>941</v>
      </c>
      <c r="B51">
        <v>3</v>
      </c>
      <c r="C51" t="s">
        <v>1825</v>
      </c>
      <c r="D51" t="s">
        <v>18</v>
      </c>
      <c r="E51">
        <v>36</v>
      </c>
      <c r="F51">
        <v>0</v>
      </c>
      <c r="G51">
        <v>2</v>
      </c>
      <c r="H51" t="s">
        <v>736</v>
      </c>
      <c r="I51">
        <v>15.9</v>
      </c>
      <c r="J51" t="s">
        <v>15</v>
      </c>
      <c r="K51" t="s">
        <v>16</v>
      </c>
      <c r="O51">
        <f>IF(I51&lt;&gt;"",I51,訓練データ!$O$19)</f>
        <v>15.9</v>
      </c>
      <c r="P51">
        <f>IF(E51&lt;&gt;"",E51,訓練データ!$O$18)</f>
        <v>36</v>
      </c>
      <c r="R51">
        <f t="shared" si="0"/>
        <v>1</v>
      </c>
      <c r="S51">
        <f t="shared" si="3"/>
        <v>0</v>
      </c>
      <c r="T51">
        <f t="shared" si="3"/>
        <v>0</v>
      </c>
      <c r="U51">
        <f t="shared" si="3"/>
        <v>1</v>
      </c>
      <c r="V51">
        <f t="shared" si="5"/>
        <v>1</v>
      </c>
      <c r="W51">
        <f t="shared" si="5"/>
        <v>0</v>
      </c>
      <c r="X51">
        <f t="shared" si="5"/>
        <v>0</v>
      </c>
    </row>
    <row r="52" spans="1:24" x14ac:dyDescent="0.4">
      <c r="A52">
        <v>942</v>
      </c>
      <c r="B52">
        <v>1</v>
      </c>
      <c r="C52" t="s">
        <v>1826</v>
      </c>
      <c r="D52" t="s">
        <v>13</v>
      </c>
      <c r="E52">
        <v>24</v>
      </c>
      <c r="F52">
        <v>1</v>
      </c>
      <c r="G52">
        <v>0</v>
      </c>
      <c r="H52" t="s">
        <v>1827</v>
      </c>
      <c r="I52">
        <v>60</v>
      </c>
      <c r="J52" t="s">
        <v>1828</v>
      </c>
      <c r="K52" t="s">
        <v>16</v>
      </c>
      <c r="O52">
        <f>IF(I52&lt;&gt;"",I52,訓練データ!$O$19)</f>
        <v>60</v>
      </c>
      <c r="P52">
        <f>IF(E52&lt;&gt;"",E52,訓練データ!$O$18)</f>
        <v>24</v>
      </c>
      <c r="R52">
        <f t="shared" si="0"/>
        <v>0</v>
      </c>
      <c r="S52">
        <f t="shared" si="3"/>
        <v>1</v>
      </c>
      <c r="T52">
        <f t="shared" si="3"/>
        <v>0</v>
      </c>
      <c r="U52">
        <f t="shared" si="3"/>
        <v>0</v>
      </c>
      <c r="V52">
        <f t="shared" si="5"/>
        <v>1</v>
      </c>
      <c r="W52">
        <f t="shared" si="5"/>
        <v>0</v>
      </c>
      <c r="X52">
        <f t="shared" si="5"/>
        <v>0</v>
      </c>
    </row>
    <row r="53" spans="1:24" x14ac:dyDescent="0.4">
      <c r="A53">
        <v>943</v>
      </c>
      <c r="B53">
        <v>2</v>
      </c>
      <c r="C53" t="s">
        <v>1829</v>
      </c>
      <c r="D53" t="s">
        <v>13</v>
      </c>
      <c r="E53">
        <v>27</v>
      </c>
      <c r="F53">
        <v>0</v>
      </c>
      <c r="G53">
        <v>0</v>
      </c>
      <c r="H53" t="s">
        <v>1830</v>
      </c>
      <c r="I53">
        <v>15.033300000000001</v>
      </c>
      <c r="J53" t="s">
        <v>15</v>
      </c>
      <c r="K53" t="s">
        <v>21</v>
      </c>
      <c r="O53">
        <f>IF(I53&lt;&gt;"",I53,訓練データ!$O$19)</f>
        <v>15.033300000000001</v>
      </c>
      <c r="P53">
        <f>IF(E53&lt;&gt;"",E53,訓練データ!$O$18)</f>
        <v>27</v>
      </c>
      <c r="R53">
        <f t="shared" si="0"/>
        <v>0</v>
      </c>
      <c r="S53">
        <f t="shared" si="3"/>
        <v>0</v>
      </c>
      <c r="T53">
        <f t="shared" si="3"/>
        <v>1</v>
      </c>
      <c r="U53">
        <f t="shared" si="3"/>
        <v>0</v>
      </c>
      <c r="V53">
        <f t="shared" si="5"/>
        <v>0</v>
      </c>
      <c r="W53">
        <f t="shared" si="5"/>
        <v>0</v>
      </c>
      <c r="X53">
        <f t="shared" si="5"/>
        <v>1</v>
      </c>
    </row>
    <row r="54" spans="1:24" x14ac:dyDescent="0.4">
      <c r="A54">
        <v>944</v>
      </c>
      <c r="B54">
        <v>2</v>
      </c>
      <c r="C54" t="s">
        <v>1831</v>
      </c>
      <c r="D54" t="s">
        <v>18</v>
      </c>
      <c r="E54">
        <v>20</v>
      </c>
      <c r="F54">
        <v>2</v>
      </c>
      <c r="G54">
        <v>1</v>
      </c>
      <c r="H54" t="s">
        <v>1532</v>
      </c>
      <c r="I54">
        <v>23</v>
      </c>
      <c r="J54" t="s">
        <v>15</v>
      </c>
      <c r="K54" t="s">
        <v>16</v>
      </c>
      <c r="O54">
        <f>IF(I54&lt;&gt;"",I54,訓練データ!$O$19)</f>
        <v>23</v>
      </c>
      <c r="P54">
        <f>IF(E54&lt;&gt;"",E54,訓練データ!$O$18)</f>
        <v>20</v>
      </c>
      <c r="R54">
        <f t="shared" si="0"/>
        <v>1</v>
      </c>
      <c r="S54">
        <f t="shared" si="3"/>
        <v>0</v>
      </c>
      <c r="T54">
        <f t="shared" si="3"/>
        <v>1</v>
      </c>
      <c r="U54">
        <f t="shared" si="3"/>
        <v>0</v>
      </c>
      <c r="V54">
        <f t="shared" si="5"/>
        <v>1</v>
      </c>
      <c r="W54">
        <f t="shared" si="5"/>
        <v>0</v>
      </c>
      <c r="X54">
        <f t="shared" si="5"/>
        <v>0</v>
      </c>
    </row>
    <row r="55" spans="1:24" x14ac:dyDescent="0.4">
      <c r="A55">
        <v>945</v>
      </c>
      <c r="B55">
        <v>1</v>
      </c>
      <c r="C55" t="s">
        <v>1832</v>
      </c>
      <c r="D55" t="s">
        <v>18</v>
      </c>
      <c r="E55">
        <v>28</v>
      </c>
      <c r="F55">
        <v>3</v>
      </c>
      <c r="G55">
        <v>2</v>
      </c>
      <c r="H55" t="s">
        <v>79</v>
      </c>
      <c r="I55">
        <v>263</v>
      </c>
      <c r="J55" t="s">
        <v>80</v>
      </c>
      <c r="K55" t="s">
        <v>16</v>
      </c>
      <c r="O55">
        <f>IF(I55&lt;&gt;"",I55,訓練データ!$O$19)</f>
        <v>263</v>
      </c>
      <c r="P55">
        <f>IF(E55&lt;&gt;"",E55,訓練データ!$O$18)</f>
        <v>28</v>
      </c>
      <c r="R55">
        <f t="shared" si="0"/>
        <v>1</v>
      </c>
      <c r="S55">
        <f t="shared" si="3"/>
        <v>1</v>
      </c>
      <c r="T55">
        <f t="shared" si="3"/>
        <v>0</v>
      </c>
      <c r="U55">
        <f t="shared" si="3"/>
        <v>0</v>
      </c>
      <c r="V55">
        <f t="shared" si="5"/>
        <v>1</v>
      </c>
      <c r="W55">
        <f t="shared" si="5"/>
        <v>0</v>
      </c>
      <c r="X55">
        <f t="shared" si="5"/>
        <v>0</v>
      </c>
    </row>
    <row r="56" spans="1:24" x14ac:dyDescent="0.4">
      <c r="A56">
        <v>946</v>
      </c>
      <c r="B56">
        <v>2</v>
      </c>
      <c r="C56" t="s">
        <v>1833</v>
      </c>
      <c r="D56" t="s">
        <v>13</v>
      </c>
      <c r="F56">
        <v>0</v>
      </c>
      <c r="G56">
        <v>0</v>
      </c>
      <c r="H56" t="s">
        <v>1834</v>
      </c>
      <c r="I56">
        <v>15.5792</v>
      </c>
      <c r="J56" t="s">
        <v>15</v>
      </c>
      <c r="K56" t="s">
        <v>21</v>
      </c>
      <c r="O56">
        <f>IF(I56&lt;&gt;"",I56,訓練データ!$O$19)</f>
        <v>15.5792</v>
      </c>
      <c r="P56">
        <f>IF(E56&lt;&gt;"",E56,訓練データ!$O$18)</f>
        <v>28</v>
      </c>
      <c r="R56">
        <f t="shared" si="0"/>
        <v>0</v>
      </c>
      <c r="S56">
        <f t="shared" si="3"/>
        <v>0</v>
      </c>
      <c r="T56">
        <f t="shared" si="3"/>
        <v>1</v>
      </c>
      <c r="U56">
        <f t="shared" si="3"/>
        <v>0</v>
      </c>
      <c r="V56">
        <f t="shared" si="5"/>
        <v>0</v>
      </c>
      <c r="W56">
        <f t="shared" si="5"/>
        <v>0</v>
      </c>
      <c r="X56">
        <f t="shared" si="5"/>
        <v>1</v>
      </c>
    </row>
    <row r="57" spans="1:24" x14ac:dyDescent="0.4">
      <c r="A57">
        <v>947</v>
      </c>
      <c r="B57">
        <v>3</v>
      </c>
      <c r="C57" t="s">
        <v>1835</v>
      </c>
      <c r="D57" t="s">
        <v>13</v>
      </c>
      <c r="E57">
        <v>10</v>
      </c>
      <c r="F57">
        <v>4</v>
      </c>
      <c r="G57">
        <v>1</v>
      </c>
      <c r="H57" t="s">
        <v>56</v>
      </c>
      <c r="I57">
        <v>29.125</v>
      </c>
      <c r="J57" t="s">
        <v>15</v>
      </c>
      <c r="K57" t="s">
        <v>31</v>
      </c>
      <c r="O57">
        <f>IF(I57&lt;&gt;"",I57,訓練データ!$O$19)</f>
        <v>29.125</v>
      </c>
      <c r="P57">
        <f>IF(E57&lt;&gt;"",E57,訓練データ!$O$18)</f>
        <v>10</v>
      </c>
      <c r="R57">
        <f t="shared" si="0"/>
        <v>0</v>
      </c>
      <c r="S57">
        <f t="shared" si="3"/>
        <v>0</v>
      </c>
      <c r="T57">
        <f t="shared" si="3"/>
        <v>0</v>
      </c>
      <c r="U57">
        <f t="shared" si="3"/>
        <v>1</v>
      </c>
      <c r="V57">
        <f t="shared" si="5"/>
        <v>0</v>
      </c>
      <c r="W57">
        <f t="shared" si="5"/>
        <v>1</v>
      </c>
      <c r="X57">
        <f t="shared" si="5"/>
        <v>0</v>
      </c>
    </row>
    <row r="58" spans="1:24" x14ac:dyDescent="0.4">
      <c r="A58">
        <v>948</v>
      </c>
      <c r="B58">
        <v>3</v>
      </c>
      <c r="C58" t="s">
        <v>1836</v>
      </c>
      <c r="D58" t="s">
        <v>13</v>
      </c>
      <c r="E58">
        <v>35</v>
      </c>
      <c r="F58">
        <v>0</v>
      </c>
      <c r="G58">
        <v>0</v>
      </c>
      <c r="H58" t="s">
        <v>1837</v>
      </c>
      <c r="I58">
        <v>7.8958000000000004</v>
      </c>
      <c r="J58" t="s">
        <v>15</v>
      </c>
      <c r="K58" t="s">
        <v>16</v>
      </c>
      <c r="O58">
        <f>IF(I58&lt;&gt;"",I58,訓練データ!$O$19)</f>
        <v>7.8958000000000004</v>
      </c>
      <c r="P58">
        <f>IF(E58&lt;&gt;"",E58,訓練データ!$O$18)</f>
        <v>35</v>
      </c>
      <c r="R58">
        <f t="shared" si="0"/>
        <v>0</v>
      </c>
      <c r="S58">
        <f t="shared" si="3"/>
        <v>0</v>
      </c>
      <c r="T58">
        <f t="shared" si="3"/>
        <v>0</v>
      </c>
      <c r="U58">
        <f t="shared" si="3"/>
        <v>1</v>
      </c>
      <c r="V58">
        <f t="shared" si="5"/>
        <v>1</v>
      </c>
      <c r="W58">
        <f t="shared" si="5"/>
        <v>0</v>
      </c>
      <c r="X58">
        <f t="shared" si="5"/>
        <v>0</v>
      </c>
    </row>
    <row r="59" spans="1:24" x14ac:dyDescent="0.4">
      <c r="A59">
        <v>949</v>
      </c>
      <c r="B59">
        <v>3</v>
      </c>
      <c r="C59" t="s">
        <v>1838</v>
      </c>
      <c r="D59" t="s">
        <v>13</v>
      </c>
      <c r="E59">
        <v>25</v>
      </c>
      <c r="F59">
        <v>0</v>
      </c>
      <c r="G59">
        <v>0</v>
      </c>
      <c r="H59" t="s">
        <v>1839</v>
      </c>
      <c r="I59">
        <v>7.65</v>
      </c>
      <c r="J59" t="s">
        <v>1395</v>
      </c>
      <c r="K59" t="s">
        <v>16</v>
      </c>
      <c r="O59">
        <f>IF(I59&lt;&gt;"",I59,訓練データ!$O$19)</f>
        <v>7.65</v>
      </c>
      <c r="P59">
        <f>IF(E59&lt;&gt;"",E59,訓練データ!$O$18)</f>
        <v>25</v>
      </c>
      <c r="R59">
        <f t="shared" si="0"/>
        <v>0</v>
      </c>
      <c r="S59">
        <f t="shared" si="3"/>
        <v>0</v>
      </c>
      <c r="T59">
        <f t="shared" si="3"/>
        <v>0</v>
      </c>
      <c r="U59">
        <f t="shared" si="3"/>
        <v>1</v>
      </c>
      <c r="V59">
        <f t="shared" si="5"/>
        <v>1</v>
      </c>
      <c r="W59">
        <f t="shared" si="5"/>
        <v>0</v>
      </c>
      <c r="X59">
        <f t="shared" si="5"/>
        <v>0</v>
      </c>
    </row>
    <row r="60" spans="1:24" x14ac:dyDescent="0.4">
      <c r="A60">
        <v>950</v>
      </c>
      <c r="B60">
        <v>3</v>
      </c>
      <c r="C60" t="s">
        <v>1840</v>
      </c>
      <c r="D60" t="s">
        <v>13</v>
      </c>
      <c r="F60">
        <v>1</v>
      </c>
      <c r="G60">
        <v>0</v>
      </c>
      <c r="H60" t="s">
        <v>734</v>
      </c>
      <c r="I60">
        <v>16.100000000000001</v>
      </c>
      <c r="J60" t="s">
        <v>15</v>
      </c>
      <c r="K60" t="s">
        <v>16</v>
      </c>
      <c r="O60">
        <f>IF(I60&lt;&gt;"",I60,訓練データ!$O$19)</f>
        <v>16.100000000000001</v>
      </c>
      <c r="P60">
        <f>IF(E60&lt;&gt;"",E60,訓練データ!$O$18)</f>
        <v>28</v>
      </c>
      <c r="R60">
        <f t="shared" si="0"/>
        <v>0</v>
      </c>
      <c r="S60">
        <f t="shared" si="3"/>
        <v>0</v>
      </c>
      <c r="T60">
        <f t="shared" si="3"/>
        <v>0</v>
      </c>
      <c r="U60">
        <f t="shared" si="3"/>
        <v>1</v>
      </c>
      <c r="V60">
        <f t="shared" si="5"/>
        <v>1</v>
      </c>
      <c r="W60">
        <f t="shared" si="5"/>
        <v>0</v>
      </c>
      <c r="X60">
        <f t="shared" si="5"/>
        <v>0</v>
      </c>
    </row>
    <row r="61" spans="1:24" x14ac:dyDescent="0.4">
      <c r="A61">
        <v>951</v>
      </c>
      <c r="B61">
        <v>1</v>
      </c>
      <c r="C61" t="s">
        <v>1841</v>
      </c>
      <c r="D61" t="s">
        <v>18</v>
      </c>
      <c r="E61">
        <v>36</v>
      </c>
      <c r="F61">
        <v>0</v>
      </c>
      <c r="G61">
        <v>0</v>
      </c>
      <c r="H61" t="s">
        <v>665</v>
      </c>
      <c r="I61">
        <v>262.375</v>
      </c>
      <c r="J61" t="s">
        <v>1842</v>
      </c>
      <c r="K61" t="s">
        <v>21</v>
      </c>
      <c r="O61">
        <f>IF(I61&lt;&gt;"",I61,訓練データ!$O$19)</f>
        <v>262.375</v>
      </c>
      <c r="P61">
        <f>IF(E61&lt;&gt;"",E61,訓練データ!$O$18)</f>
        <v>36</v>
      </c>
      <c r="R61">
        <f t="shared" si="0"/>
        <v>1</v>
      </c>
      <c r="S61">
        <f t="shared" si="3"/>
        <v>1</v>
      </c>
      <c r="T61">
        <f t="shared" si="3"/>
        <v>0</v>
      </c>
      <c r="U61">
        <f t="shared" si="3"/>
        <v>0</v>
      </c>
      <c r="V61">
        <f t="shared" si="5"/>
        <v>0</v>
      </c>
      <c r="W61">
        <f t="shared" si="5"/>
        <v>0</v>
      </c>
      <c r="X61">
        <f t="shared" si="5"/>
        <v>1</v>
      </c>
    </row>
    <row r="62" spans="1:24" x14ac:dyDescent="0.4">
      <c r="A62">
        <v>952</v>
      </c>
      <c r="B62">
        <v>3</v>
      </c>
      <c r="C62" t="s">
        <v>1843</v>
      </c>
      <c r="D62" t="s">
        <v>13</v>
      </c>
      <c r="E62">
        <v>17</v>
      </c>
      <c r="F62">
        <v>0</v>
      </c>
      <c r="G62">
        <v>0</v>
      </c>
      <c r="H62" t="s">
        <v>1844</v>
      </c>
      <c r="I62">
        <v>7.8958000000000004</v>
      </c>
      <c r="J62" t="s">
        <v>15</v>
      </c>
      <c r="K62" t="s">
        <v>16</v>
      </c>
      <c r="O62">
        <f>IF(I62&lt;&gt;"",I62,訓練データ!$O$19)</f>
        <v>7.8958000000000004</v>
      </c>
      <c r="P62">
        <f>IF(E62&lt;&gt;"",E62,訓練データ!$O$18)</f>
        <v>17</v>
      </c>
      <c r="R62">
        <f t="shared" si="0"/>
        <v>0</v>
      </c>
      <c r="S62">
        <f t="shared" si="3"/>
        <v>0</v>
      </c>
      <c r="T62">
        <f t="shared" si="3"/>
        <v>0</v>
      </c>
      <c r="U62">
        <f t="shared" si="3"/>
        <v>1</v>
      </c>
      <c r="V62">
        <f t="shared" si="5"/>
        <v>1</v>
      </c>
      <c r="W62">
        <f t="shared" si="5"/>
        <v>0</v>
      </c>
      <c r="X62">
        <f t="shared" si="5"/>
        <v>0</v>
      </c>
    </row>
    <row r="63" spans="1:24" x14ac:dyDescent="0.4">
      <c r="A63">
        <v>953</v>
      </c>
      <c r="B63">
        <v>2</v>
      </c>
      <c r="C63" t="s">
        <v>1845</v>
      </c>
      <c r="D63" t="s">
        <v>13</v>
      </c>
      <c r="E63">
        <v>32</v>
      </c>
      <c r="F63">
        <v>0</v>
      </c>
      <c r="G63">
        <v>0</v>
      </c>
      <c r="H63" t="s">
        <v>1846</v>
      </c>
      <c r="I63">
        <v>13.5</v>
      </c>
      <c r="J63" t="s">
        <v>15</v>
      </c>
      <c r="K63" t="s">
        <v>16</v>
      </c>
      <c r="O63">
        <f>IF(I63&lt;&gt;"",I63,訓練データ!$O$19)</f>
        <v>13.5</v>
      </c>
      <c r="P63">
        <f>IF(E63&lt;&gt;"",E63,訓練データ!$O$18)</f>
        <v>32</v>
      </c>
      <c r="R63">
        <f t="shared" si="0"/>
        <v>0</v>
      </c>
      <c r="S63">
        <f t="shared" si="3"/>
        <v>0</v>
      </c>
      <c r="T63">
        <f t="shared" si="3"/>
        <v>1</v>
      </c>
      <c r="U63">
        <f t="shared" si="3"/>
        <v>0</v>
      </c>
      <c r="V63">
        <f t="shared" si="5"/>
        <v>1</v>
      </c>
      <c r="W63">
        <f t="shared" si="5"/>
        <v>0</v>
      </c>
      <c r="X63">
        <f t="shared" si="5"/>
        <v>0</v>
      </c>
    </row>
    <row r="64" spans="1:24" x14ac:dyDescent="0.4">
      <c r="A64">
        <v>954</v>
      </c>
      <c r="B64">
        <v>3</v>
      </c>
      <c r="C64" t="s">
        <v>1847</v>
      </c>
      <c r="D64" t="s">
        <v>13</v>
      </c>
      <c r="E64">
        <v>18</v>
      </c>
      <c r="F64">
        <v>0</v>
      </c>
      <c r="G64">
        <v>0</v>
      </c>
      <c r="H64" t="s">
        <v>1848</v>
      </c>
      <c r="I64">
        <v>7.75</v>
      </c>
      <c r="J64" t="s">
        <v>15</v>
      </c>
      <c r="K64" t="s">
        <v>16</v>
      </c>
      <c r="O64">
        <f>IF(I64&lt;&gt;"",I64,訓練データ!$O$19)</f>
        <v>7.75</v>
      </c>
      <c r="P64">
        <f>IF(E64&lt;&gt;"",E64,訓練データ!$O$18)</f>
        <v>18</v>
      </c>
      <c r="R64">
        <f t="shared" si="0"/>
        <v>0</v>
      </c>
      <c r="S64">
        <f t="shared" si="3"/>
        <v>0</v>
      </c>
      <c r="T64">
        <f t="shared" si="3"/>
        <v>0</v>
      </c>
      <c r="U64">
        <f t="shared" si="3"/>
        <v>1</v>
      </c>
      <c r="V64">
        <f t="shared" si="5"/>
        <v>1</v>
      </c>
      <c r="W64">
        <f t="shared" si="5"/>
        <v>0</v>
      </c>
      <c r="X64">
        <f t="shared" si="5"/>
        <v>0</v>
      </c>
    </row>
    <row r="65" spans="1:24" x14ac:dyDescent="0.4">
      <c r="A65">
        <v>955</v>
      </c>
      <c r="B65">
        <v>3</v>
      </c>
      <c r="C65" t="s">
        <v>1849</v>
      </c>
      <c r="D65" t="s">
        <v>18</v>
      </c>
      <c r="E65">
        <v>22</v>
      </c>
      <c r="F65">
        <v>0</v>
      </c>
      <c r="G65">
        <v>0</v>
      </c>
      <c r="H65" t="s">
        <v>1850</v>
      </c>
      <c r="I65">
        <v>7.7249999999999996</v>
      </c>
      <c r="J65" t="s">
        <v>15</v>
      </c>
      <c r="K65" t="s">
        <v>31</v>
      </c>
      <c r="O65">
        <f>IF(I65&lt;&gt;"",I65,訓練データ!$O$19)</f>
        <v>7.7249999999999996</v>
      </c>
      <c r="P65">
        <f>IF(E65&lt;&gt;"",E65,訓練データ!$O$18)</f>
        <v>22</v>
      </c>
      <c r="R65">
        <f t="shared" si="0"/>
        <v>1</v>
      </c>
      <c r="S65">
        <f t="shared" si="3"/>
        <v>0</v>
      </c>
      <c r="T65">
        <f t="shared" si="3"/>
        <v>0</v>
      </c>
      <c r="U65">
        <f t="shared" si="3"/>
        <v>1</v>
      </c>
      <c r="V65">
        <f t="shared" si="5"/>
        <v>0</v>
      </c>
      <c r="W65">
        <f t="shared" si="5"/>
        <v>1</v>
      </c>
      <c r="X65">
        <f t="shared" si="5"/>
        <v>0</v>
      </c>
    </row>
    <row r="66" spans="1:24" x14ac:dyDescent="0.4">
      <c r="A66">
        <v>956</v>
      </c>
      <c r="B66">
        <v>1</v>
      </c>
      <c r="C66" t="s">
        <v>1851</v>
      </c>
      <c r="D66" t="s">
        <v>13</v>
      </c>
      <c r="E66">
        <v>13</v>
      </c>
      <c r="F66">
        <v>2</v>
      </c>
      <c r="G66">
        <v>2</v>
      </c>
      <c r="H66" t="s">
        <v>665</v>
      </c>
      <c r="I66">
        <v>262.375</v>
      </c>
      <c r="J66" t="s">
        <v>666</v>
      </c>
      <c r="K66" t="s">
        <v>21</v>
      </c>
      <c r="O66">
        <f>IF(I66&lt;&gt;"",I66,訓練データ!$O$19)</f>
        <v>262.375</v>
      </c>
      <c r="P66">
        <f>IF(E66&lt;&gt;"",E66,訓練データ!$O$18)</f>
        <v>13</v>
      </c>
      <c r="R66">
        <f t="shared" ref="R66:R129" si="8">IF(D66="male",0,1)</f>
        <v>0</v>
      </c>
      <c r="S66">
        <f t="shared" si="3"/>
        <v>1</v>
      </c>
      <c r="T66">
        <f t="shared" si="3"/>
        <v>0</v>
      </c>
      <c r="U66">
        <f t="shared" si="3"/>
        <v>0</v>
      </c>
      <c r="V66">
        <f t="shared" si="5"/>
        <v>0</v>
      </c>
      <c r="W66">
        <f t="shared" si="5"/>
        <v>0</v>
      </c>
      <c r="X66">
        <f t="shared" si="5"/>
        <v>1</v>
      </c>
    </row>
    <row r="67" spans="1:24" x14ac:dyDescent="0.4">
      <c r="A67">
        <v>957</v>
      </c>
      <c r="B67">
        <v>2</v>
      </c>
      <c r="C67" t="s">
        <v>1852</v>
      </c>
      <c r="D67" t="s">
        <v>18</v>
      </c>
      <c r="F67">
        <v>0</v>
      </c>
      <c r="G67">
        <v>0</v>
      </c>
      <c r="H67" t="s">
        <v>1853</v>
      </c>
      <c r="I67">
        <v>21</v>
      </c>
      <c r="J67" t="s">
        <v>15</v>
      </c>
      <c r="K67" t="s">
        <v>16</v>
      </c>
      <c r="O67">
        <f>IF(I67&lt;&gt;"",I67,訓練データ!$O$19)</f>
        <v>21</v>
      </c>
      <c r="P67">
        <f>IF(E67&lt;&gt;"",E67,訓練データ!$O$18)</f>
        <v>28</v>
      </c>
      <c r="R67">
        <f t="shared" si="8"/>
        <v>1</v>
      </c>
      <c r="S67">
        <f t="shared" ref="S67:U130" si="9">IF("Pclass_"&amp;$B67=S$1,1,0)</f>
        <v>0</v>
      </c>
      <c r="T67">
        <f t="shared" si="9"/>
        <v>1</v>
      </c>
      <c r="U67">
        <f t="shared" si="9"/>
        <v>0</v>
      </c>
      <c r="V67">
        <f t="shared" ref="V67:X130" si="10">IF($K67=RIGHT(V$1,1),1,0)</f>
        <v>1</v>
      </c>
      <c r="W67">
        <f t="shared" si="10"/>
        <v>0</v>
      </c>
      <c r="X67">
        <f t="shared" si="10"/>
        <v>0</v>
      </c>
    </row>
    <row r="68" spans="1:24" x14ac:dyDescent="0.4">
      <c r="A68">
        <v>958</v>
      </c>
      <c r="B68">
        <v>3</v>
      </c>
      <c r="C68" t="s">
        <v>1854</v>
      </c>
      <c r="D68" t="s">
        <v>18</v>
      </c>
      <c r="E68">
        <v>18</v>
      </c>
      <c r="F68">
        <v>0</v>
      </c>
      <c r="G68">
        <v>0</v>
      </c>
      <c r="H68" t="s">
        <v>1855</v>
      </c>
      <c r="I68">
        <v>7.8792</v>
      </c>
      <c r="J68" t="s">
        <v>15</v>
      </c>
      <c r="K68" t="s">
        <v>31</v>
      </c>
      <c r="O68">
        <f>IF(I68&lt;&gt;"",I68,訓練データ!$O$19)</f>
        <v>7.8792</v>
      </c>
      <c r="P68">
        <f>IF(E68&lt;&gt;"",E68,訓練データ!$O$18)</f>
        <v>18</v>
      </c>
      <c r="R68">
        <f t="shared" si="8"/>
        <v>1</v>
      </c>
      <c r="S68">
        <f t="shared" si="9"/>
        <v>0</v>
      </c>
      <c r="T68">
        <f t="shared" si="9"/>
        <v>0</v>
      </c>
      <c r="U68">
        <f t="shared" si="9"/>
        <v>1</v>
      </c>
      <c r="V68">
        <f t="shared" si="10"/>
        <v>0</v>
      </c>
      <c r="W68">
        <f t="shared" si="10"/>
        <v>1</v>
      </c>
      <c r="X68">
        <f t="shared" si="10"/>
        <v>0</v>
      </c>
    </row>
    <row r="69" spans="1:24" x14ac:dyDescent="0.4">
      <c r="A69">
        <v>959</v>
      </c>
      <c r="B69">
        <v>1</v>
      </c>
      <c r="C69" t="s">
        <v>1856</v>
      </c>
      <c r="D69" t="s">
        <v>13</v>
      </c>
      <c r="E69">
        <v>47</v>
      </c>
      <c r="F69">
        <v>0</v>
      </c>
      <c r="G69">
        <v>0</v>
      </c>
      <c r="H69" t="s">
        <v>1219</v>
      </c>
      <c r="I69">
        <v>42.4</v>
      </c>
      <c r="J69" t="s">
        <v>15</v>
      </c>
      <c r="K69" t="s">
        <v>16</v>
      </c>
      <c r="O69">
        <f>IF(I69&lt;&gt;"",I69,訓練データ!$O$19)</f>
        <v>42.4</v>
      </c>
      <c r="P69">
        <f>IF(E69&lt;&gt;"",E69,訓練データ!$O$18)</f>
        <v>47</v>
      </c>
      <c r="R69">
        <f t="shared" si="8"/>
        <v>0</v>
      </c>
      <c r="S69">
        <f t="shared" si="9"/>
        <v>1</v>
      </c>
      <c r="T69">
        <f t="shared" si="9"/>
        <v>0</v>
      </c>
      <c r="U69">
        <f t="shared" si="9"/>
        <v>0</v>
      </c>
      <c r="V69">
        <f t="shared" si="10"/>
        <v>1</v>
      </c>
      <c r="W69">
        <f t="shared" si="10"/>
        <v>0</v>
      </c>
      <c r="X69">
        <f t="shared" si="10"/>
        <v>0</v>
      </c>
    </row>
    <row r="70" spans="1:24" x14ac:dyDescent="0.4">
      <c r="A70">
        <v>960</v>
      </c>
      <c r="B70">
        <v>1</v>
      </c>
      <c r="C70" t="s">
        <v>1857</v>
      </c>
      <c r="D70" t="s">
        <v>13</v>
      </c>
      <c r="E70">
        <v>31</v>
      </c>
      <c r="F70">
        <v>0</v>
      </c>
      <c r="G70">
        <v>0</v>
      </c>
      <c r="H70" t="s">
        <v>1858</v>
      </c>
      <c r="I70">
        <v>28.537500000000001</v>
      </c>
      <c r="J70" t="s">
        <v>1859</v>
      </c>
      <c r="K70" t="s">
        <v>21</v>
      </c>
      <c r="O70">
        <f>IF(I70&lt;&gt;"",I70,訓練データ!$O$19)</f>
        <v>28.537500000000001</v>
      </c>
      <c r="P70">
        <f>IF(E70&lt;&gt;"",E70,訓練データ!$O$18)</f>
        <v>31</v>
      </c>
      <c r="R70">
        <f t="shared" si="8"/>
        <v>0</v>
      </c>
      <c r="S70">
        <f t="shared" si="9"/>
        <v>1</v>
      </c>
      <c r="T70">
        <f t="shared" si="9"/>
        <v>0</v>
      </c>
      <c r="U70">
        <f t="shared" si="9"/>
        <v>0</v>
      </c>
      <c r="V70">
        <f t="shared" si="10"/>
        <v>0</v>
      </c>
      <c r="W70">
        <f t="shared" si="10"/>
        <v>0</v>
      </c>
      <c r="X70">
        <f t="shared" si="10"/>
        <v>1</v>
      </c>
    </row>
    <row r="71" spans="1:24" x14ac:dyDescent="0.4">
      <c r="A71">
        <v>961</v>
      </c>
      <c r="B71">
        <v>1</v>
      </c>
      <c r="C71" t="s">
        <v>1860</v>
      </c>
      <c r="D71" t="s">
        <v>18</v>
      </c>
      <c r="E71">
        <v>60</v>
      </c>
      <c r="F71">
        <v>1</v>
      </c>
      <c r="G71">
        <v>4</v>
      </c>
      <c r="H71" t="s">
        <v>79</v>
      </c>
      <c r="I71">
        <v>263</v>
      </c>
      <c r="J71" t="s">
        <v>80</v>
      </c>
      <c r="K71" t="s">
        <v>16</v>
      </c>
      <c r="O71">
        <f>IF(I71&lt;&gt;"",I71,訓練データ!$O$19)</f>
        <v>263</v>
      </c>
      <c r="P71">
        <f>IF(E71&lt;&gt;"",E71,訓練データ!$O$18)</f>
        <v>60</v>
      </c>
      <c r="R71">
        <f t="shared" si="8"/>
        <v>1</v>
      </c>
      <c r="S71">
        <f t="shared" si="9"/>
        <v>1</v>
      </c>
      <c r="T71">
        <f t="shared" si="9"/>
        <v>0</v>
      </c>
      <c r="U71">
        <f t="shared" si="9"/>
        <v>0</v>
      </c>
      <c r="V71">
        <f t="shared" si="10"/>
        <v>1</v>
      </c>
      <c r="W71">
        <f t="shared" si="10"/>
        <v>0</v>
      </c>
      <c r="X71">
        <f t="shared" si="10"/>
        <v>0</v>
      </c>
    </row>
    <row r="72" spans="1:24" x14ac:dyDescent="0.4">
      <c r="A72">
        <v>962</v>
      </c>
      <c r="B72">
        <v>3</v>
      </c>
      <c r="C72" t="s">
        <v>1861</v>
      </c>
      <c r="D72" t="s">
        <v>18</v>
      </c>
      <c r="E72">
        <v>24</v>
      </c>
      <c r="F72">
        <v>0</v>
      </c>
      <c r="G72">
        <v>0</v>
      </c>
      <c r="H72" t="s">
        <v>1862</v>
      </c>
      <c r="I72">
        <v>7.75</v>
      </c>
      <c r="J72" t="s">
        <v>15</v>
      </c>
      <c r="K72" t="s">
        <v>31</v>
      </c>
      <c r="O72">
        <f>IF(I72&lt;&gt;"",I72,訓練データ!$O$19)</f>
        <v>7.75</v>
      </c>
      <c r="P72">
        <f>IF(E72&lt;&gt;"",E72,訓練データ!$O$18)</f>
        <v>24</v>
      </c>
      <c r="R72">
        <f t="shared" si="8"/>
        <v>1</v>
      </c>
      <c r="S72">
        <f t="shared" si="9"/>
        <v>0</v>
      </c>
      <c r="T72">
        <f t="shared" si="9"/>
        <v>0</v>
      </c>
      <c r="U72">
        <f t="shared" si="9"/>
        <v>1</v>
      </c>
      <c r="V72">
        <f t="shared" si="10"/>
        <v>0</v>
      </c>
      <c r="W72">
        <f t="shared" si="10"/>
        <v>1</v>
      </c>
      <c r="X72">
        <f t="shared" si="10"/>
        <v>0</v>
      </c>
    </row>
    <row r="73" spans="1:24" x14ac:dyDescent="0.4">
      <c r="A73">
        <v>963</v>
      </c>
      <c r="B73">
        <v>3</v>
      </c>
      <c r="C73" t="s">
        <v>1863</v>
      </c>
      <c r="D73" t="s">
        <v>13</v>
      </c>
      <c r="E73">
        <v>21</v>
      </c>
      <c r="F73">
        <v>0</v>
      </c>
      <c r="G73">
        <v>0</v>
      </c>
      <c r="H73" t="s">
        <v>1864</v>
      </c>
      <c r="I73">
        <v>7.8958000000000004</v>
      </c>
      <c r="J73" t="s">
        <v>15</v>
      </c>
      <c r="K73" t="s">
        <v>16</v>
      </c>
      <c r="O73">
        <f>IF(I73&lt;&gt;"",I73,訓練データ!$O$19)</f>
        <v>7.8958000000000004</v>
      </c>
      <c r="P73">
        <f>IF(E73&lt;&gt;"",E73,訓練データ!$O$18)</f>
        <v>21</v>
      </c>
      <c r="R73">
        <f t="shared" si="8"/>
        <v>0</v>
      </c>
      <c r="S73">
        <f t="shared" si="9"/>
        <v>0</v>
      </c>
      <c r="T73">
        <f t="shared" si="9"/>
        <v>0</v>
      </c>
      <c r="U73">
        <f t="shared" si="9"/>
        <v>1</v>
      </c>
      <c r="V73">
        <f t="shared" si="10"/>
        <v>1</v>
      </c>
      <c r="W73">
        <f t="shared" si="10"/>
        <v>0</v>
      </c>
      <c r="X73">
        <f t="shared" si="10"/>
        <v>0</v>
      </c>
    </row>
    <row r="74" spans="1:24" x14ac:dyDescent="0.4">
      <c r="A74">
        <v>964</v>
      </c>
      <c r="B74">
        <v>3</v>
      </c>
      <c r="C74" t="s">
        <v>1865</v>
      </c>
      <c r="D74" t="s">
        <v>18</v>
      </c>
      <c r="E74">
        <v>29</v>
      </c>
      <c r="F74">
        <v>0</v>
      </c>
      <c r="G74">
        <v>0</v>
      </c>
      <c r="H74" t="s">
        <v>1866</v>
      </c>
      <c r="I74">
        <v>7.9249999999999998</v>
      </c>
      <c r="J74" t="s">
        <v>15</v>
      </c>
      <c r="K74" t="s">
        <v>16</v>
      </c>
      <c r="O74">
        <f>IF(I74&lt;&gt;"",I74,訓練データ!$O$19)</f>
        <v>7.9249999999999998</v>
      </c>
      <c r="P74">
        <f>IF(E74&lt;&gt;"",E74,訓練データ!$O$18)</f>
        <v>29</v>
      </c>
      <c r="R74">
        <f t="shared" si="8"/>
        <v>1</v>
      </c>
      <c r="S74">
        <f t="shared" si="9"/>
        <v>0</v>
      </c>
      <c r="T74">
        <f t="shared" si="9"/>
        <v>0</v>
      </c>
      <c r="U74">
        <f t="shared" si="9"/>
        <v>1</v>
      </c>
      <c r="V74">
        <f t="shared" si="10"/>
        <v>1</v>
      </c>
      <c r="W74">
        <f t="shared" si="10"/>
        <v>0</v>
      </c>
      <c r="X74">
        <f t="shared" si="10"/>
        <v>0</v>
      </c>
    </row>
    <row r="75" spans="1:24" x14ac:dyDescent="0.4">
      <c r="A75">
        <v>965</v>
      </c>
      <c r="B75">
        <v>1</v>
      </c>
      <c r="C75" t="s">
        <v>1867</v>
      </c>
      <c r="D75" t="s">
        <v>13</v>
      </c>
      <c r="E75">
        <v>28.5</v>
      </c>
      <c r="F75">
        <v>0</v>
      </c>
      <c r="G75">
        <v>0</v>
      </c>
      <c r="H75" t="s">
        <v>1868</v>
      </c>
      <c r="I75">
        <v>27.720800000000001</v>
      </c>
      <c r="J75" t="s">
        <v>1869</v>
      </c>
      <c r="K75" t="s">
        <v>21</v>
      </c>
      <c r="O75">
        <f>IF(I75&lt;&gt;"",I75,訓練データ!$O$19)</f>
        <v>27.720800000000001</v>
      </c>
      <c r="P75">
        <f>IF(E75&lt;&gt;"",E75,訓練データ!$O$18)</f>
        <v>28.5</v>
      </c>
      <c r="R75">
        <f t="shared" si="8"/>
        <v>0</v>
      </c>
      <c r="S75">
        <f t="shared" si="9"/>
        <v>1</v>
      </c>
      <c r="T75">
        <f t="shared" si="9"/>
        <v>0</v>
      </c>
      <c r="U75">
        <f t="shared" si="9"/>
        <v>0</v>
      </c>
      <c r="V75">
        <f t="shared" si="10"/>
        <v>0</v>
      </c>
      <c r="W75">
        <f t="shared" si="10"/>
        <v>0</v>
      </c>
      <c r="X75">
        <f t="shared" si="10"/>
        <v>1</v>
      </c>
    </row>
    <row r="76" spans="1:24" x14ac:dyDescent="0.4">
      <c r="A76">
        <v>966</v>
      </c>
      <c r="B76">
        <v>1</v>
      </c>
      <c r="C76" t="s">
        <v>1870</v>
      </c>
      <c r="D76" t="s">
        <v>18</v>
      </c>
      <c r="E76">
        <v>35</v>
      </c>
      <c r="F76">
        <v>0</v>
      </c>
      <c r="G76">
        <v>0</v>
      </c>
      <c r="H76" t="s">
        <v>791</v>
      </c>
      <c r="I76">
        <v>211.5</v>
      </c>
      <c r="J76" t="s">
        <v>1871</v>
      </c>
      <c r="K76" t="s">
        <v>21</v>
      </c>
      <c r="O76">
        <f>IF(I76&lt;&gt;"",I76,訓練データ!$O$19)</f>
        <v>211.5</v>
      </c>
      <c r="P76">
        <f>IF(E76&lt;&gt;"",E76,訓練データ!$O$18)</f>
        <v>35</v>
      </c>
      <c r="R76">
        <f t="shared" si="8"/>
        <v>1</v>
      </c>
      <c r="S76">
        <f t="shared" si="9"/>
        <v>1</v>
      </c>
      <c r="T76">
        <f t="shared" si="9"/>
        <v>0</v>
      </c>
      <c r="U76">
        <f t="shared" si="9"/>
        <v>0</v>
      </c>
      <c r="V76">
        <f t="shared" si="10"/>
        <v>0</v>
      </c>
      <c r="W76">
        <f t="shared" si="10"/>
        <v>0</v>
      </c>
      <c r="X76">
        <f t="shared" si="10"/>
        <v>1</v>
      </c>
    </row>
    <row r="77" spans="1:24" x14ac:dyDescent="0.4">
      <c r="A77">
        <v>967</v>
      </c>
      <c r="B77">
        <v>1</v>
      </c>
      <c r="C77" t="s">
        <v>1872</v>
      </c>
      <c r="D77" t="s">
        <v>13</v>
      </c>
      <c r="E77">
        <v>32.5</v>
      </c>
      <c r="F77">
        <v>0</v>
      </c>
      <c r="G77">
        <v>0</v>
      </c>
      <c r="H77" t="s">
        <v>791</v>
      </c>
      <c r="I77">
        <v>211.5</v>
      </c>
      <c r="J77" t="s">
        <v>1873</v>
      </c>
      <c r="K77" t="s">
        <v>21</v>
      </c>
      <c r="O77">
        <f>IF(I77&lt;&gt;"",I77,訓練データ!$O$19)</f>
        <v>211.5</v>
      </c>
      <c r="P77">
        <f>IF(E77&lt;&gt;"",E77,訓練データ!$O$18)</f>
        <v>32.5</v>
      </c>
      <c r="R77">
        <f t="shared" si="8"/>
        <v>0</v>
      </c>
      <c r="S77">
        <f t="shared" si="9"/>
        <v>1</v>
      </c>
      <c r="T77">
        <f t="shared" si="9"/>
        <v>0</v>
      </c>
      <c r="U77">
        <f t="shared" si="9"/>
        <v>0</v>
      </c>
      <c r="V77">
        <f t="shared" si="10"/>
        <v>0</v>
      </c>
      <c r="W77">
        <f t="shared" si="10"/>
        <v>0</v>
      </c>
      <c r="X77">
        <f t="shared" si="10"/>
        <v>1</v>
      </c>
    </row>
    <row r="78" spans="1:24" x14ac:dyDescent="0.4">
      <c r="A78">
        <v>968</v>
      </c>
      <c r="B78">
        <v>3</v>
      </c>
      <c r="C78" t="s">
        <v>1874</v>
      </c>
      <c r="D78" t="s">
        <v>13</v>
      </c>
      <c r="F78">
        <v>0</v>
      </c>
      <c r="G78">
        <v>0</v>
      </c>
      <c r="H78" t="s">
        <v>1875</v>
      </c>
      <c r="I78">
        <v>8.0500000000000007</v>
      </c>
      <c r="J78" t="s">
        <v>15</v>
      </c>
      <c r="K78" t="s">
        <v>16</v>
      </c>
      <c r="O78">
        <f>IF(I78&lt;&gt;"",I78,訓練データ!$O$19)</f>
        <v>8.0500000000000007</v>
      </c>
      <c r="P78">
        <f>IF(E78&lt;&gt;"",E78,訓練データ!$O$18)</f>
        <v>28</v>
      </c>
      <c r="R78">
        <f t="shared" si="8"/>
        <v>0</v>
      </c>
      <c r="S78">
        <f t="shared" si="9"/>
        <v>0</v>
      </c>
      <c r="T78">
        <f t="shared" si="9"/>
        <v>0</v>
      </c>
      <c r="U78">
        <f t="shared" si="9"/>
        <v>1</v>
      </c>
      <c r="V78">
        <f t="shared" si="10"/>
        <v>1</v>
      </c>
      <c r="W78">
        <f t="shared" si="10"/>
        <v>0</v>
      </c>
      <c r="X78">
        <f t="shared" si="10"/>
        <v>0</v>
      </c>
    </row>
    <row r="79" spans="1:24" x14ac:dyDescent="0.4">
      <c r="A79">
        <v>969</v>
      </c>
      <c r="B79">
        <v>1</v>
      </c>
      <c r="C79" t="s">
        <v>1876</v>
      </c>
      <c r="D79" t="s">
        <v>18</v>
      </c>
      <c r="E79">
        <v>55</v>
      </c>
      <c r="F79">
        <v>2</v>
      </c>
      <c r="G79">
        <v>0</v>
      </c>
      <c r="H79" t="s">
        <v>1877</v>
      </c>
      <c r="I79">
        <v>25.7</v>
      </c>
      <c r="J79" t="s">
        <v>1161</v>
      </c>
      <c r="K79" t="s">
        <v>16</v>
      </c>
      <c r="O79">
        <f>IF(I79&lt;&gt;"",I79,訓練データ!$O$19)</f>
        <v>25.7</v>
      </c>
      <c r="P79">
        <f>IF(E79&lt;&gt;"",E79,訓練データ!$O$18)</f>
        <v>55</v>
      </c>
      <c r="R79">
        <f t="shared" si="8"/>
        <v>1</v>
      </c>
      <c r="S79">
        <f t="shared" si="9"/>
        <v>1</v>
      </c>
      <c r="T79">
        <f t="shared" si="9"/>
        <v>0</v>
      </c>
      <c r="U79">
        <f t="shared" si="9"/>
        <v>0</v>
      </c>
      <c r="V79">
        <f t="shared" si="10"/>
        <v>1</v>
      </c>
      <c r="W79">
        <f t="shared" si="10"/>
        <v>0</v>
      </c>
      <c r="X79">
        <f t="shared" si="10"/>
        <v>0</v>
      </c>
    </row>
    <row r="80" spans="1:24" x14ac:dyDescent="0.4">
      <c r="A80">
        <v>970</v>
      </c>
      <c r="B80">
        <v>2</v>
      </c>
      <c r="C80" t="s">
        <v>1878</v>
      </c>
      <c r="D80" t="s">
        <v>13</v>
      </c>
      <c r="E80">
        <v>30</v>
      </c>
      <c r="F80">
        <v>0</v>
      </c>
      <c r="G80">
        <v>0</v>
      </c>
      <c r="H80" t="s">
        <v>1879</v>
      </c>
      <c r="I80">
        <v>13</v>
      </c>
      <c r="J80" t="s">
        <v>15</v>
      </c>
      <c r="K80" t="s">
        <v>16</v>
      </c>
      <c r="O80">
        <f>IF(I80&lt;&gt;"",I80,訓練データ!$O$19)</f>
        <v>13</v>
      </c>
      <c r="P80">
        <f>IF(E80&lt;&gt;"",E80,訓練データ!$O$18)</f>
        <v>30</v>
      </c>
      <c r="R80">
        <f t="shared" si="8"/>
        <v>0</v>
      </c>
      <c r="S80">
        <f t="shared" si="9"/>
        <v>0</v>
      </c>
      <c r="T80">
        <f t="shared" si="9"/>
        <v>1</v>
      </c>
      <c r="U80">
        <f t="shared" si="9"/>
        <v>0</v>
      </c>
      <c r="V80">
        <f t="shared" si="10"/>
        <v>1</v>
      </c>
      <c r="W80">
        <f t="shared" si="10"/>
        <v>0</v>
      </c>
      <c r="X80">
        <f t="shared" si="10"/>
        <v>0</v>
      </c>
    </row>
    <row r="81" spans="1:24" x14ac:dyDescent="0.4">
      <c r="A81">
        <v>971</v>
      </c>
      <c r="B81">
        <v>3</v>
      </c>
      <c r="C81" t="s">
        <v>1880</v>
      </c>
      <c r="D81" t="s">
        <v>18</v>
      </c>
      <c r="E81">
        <v>24</v>
      </c>
      <c r="F81">
        <v>0</v>
      </c>
      <c r="G81">
        <v>0</v>
      </c>
      <c r="H81" t="s">
        <v>1881</v>
      </c>
      <c r="I81">
        <v>7.75</v>
      </c>
      <c r="J81" t="s">
        <v>15</v>
      </c>
      <c r="K81" t="s">
        <v>31</v>
      </c>
      <c r="O81">
        <f>IF(I81&lt;&gt;"",I81,訓練データ!$O$19)</f>
        <v>7.75</v>
      </c>
      <c r="P81">
        <f>IF(E81&lt;&gt;"",E81,訓練データ!$O$18)</f>
        <v>24</v>
      </c>
      <c r="R81">
        <f t="shared" si="8"/>
        <v>1</v>
      </c>
      <c r="S81">
        <f t="shared" si="9"/>
        <v>0</v>
      </c>
      <c r="T81">
        <f t="shared" si="9"/>
        <v>0</v>
      </c>
      <c r="U81">
        <f t="shared" si="9"/>
        <v>1</v>
      </c>
      <c r="V81">
        <f t="shared" si="10"/>
        <v>0</v>
      </c>
      <c r="W81">
        <f t="shared" si="10"/>
        <v>1</v>
      </c>
      <c r="X81">
        <f t="shared" si="10"/>
        <v>0</v>
      </c>
    </row>
    <row r="82" spans="1:24" x14ac:dyDescent="0.4">
      <c r="A82">
        <v>972</v>
      </c>
      <c r="B82">
        <v>3</v>
      </c>
      <c r="C82" t="s">
        <v>1882</v>
      </c>
      <c r="D82" t="s">
        <v>13</v>
      </c>
      <c r="E82">
        <v>6</v>
      </c>
      <c r="F82">
        <v>1</v>
      </c>
      <c r="G82">
        <v>1</v>
      </c>
      <c r="H82" t="s">
        <v>315</v>
      </c>
      <c r="I82">
        <v>15.245799999999999</v>
      </c>
      <c r="J82" t="s">
        <v>15</v>
      </c>
      <c r="K82" t="s">
        <v>21</v>
      </c>
      <c r="O82">
        <f>IF(I82&lt;&gt;"",I82,訓練データ!$O$19)</f>
        <v>15.245799999999999</v>
      </c>
      <c r="P82">
        <f>IF(E82&lt;&gt;"",E82,訓練データ!$O$18)</f>
        <v>6</v>
      </c>
      <c r="R82">
        <f t="shared" si="8"/>
        <v>0</v>
      </c>
      <c r="S82">
        <f t="shared" si="9"/>
        <v>0</v>
      </c>
      <c r="T82">
        <f t="shared" si="9"/>
        <v>0</v>
      </c>
      <c r="U82">
        <f t="shared" si="9"/>
        <v>1</v>
      </c>
      <c r="V82">
        <f t="shared" si="10"/>
        <v>0</v>
      </c>
      <c r="W82">
        <f t="shared" si="10"/>
        <v>0</v>
      </c>
      <c r="X82">
        <f t="shared" si="10"/>
        <v>1</v>
      </c>
    </row>
    <row r="83" spans="1:24" x14ac:dyDescent="0.4">
      <c r="A83">
        <v>973</v>
      </c>
      <c r="B83">
        <v>1</v>
      </c>
      <c r="C83" t="s">
        <v>1883</v>
      </c>
      <c r="D83" t="s">
        <v>13</v>
      </c>
      <c r="E83">
        <v>67</v>
      </c>
      <c r="F83">
        <v>1</v>
      </c>
      <c r="G83">
        <v>0</v>
      </c>
      <c r="H83" t="s">
        <v>1078</v>
      </c>
      <c r="I83">
        <v>221.7792</v>
      </c>
      <c r="J83" t="s">
        <v>1884</v>
      </c>
      <c r="K83" t="s">
        <v>16</v>
      </c>
      <c r="O83">
        <f>IF(I83&lt;&gt;"",I83,訓練データ!$O$19)</f>
        <v>221.7792</v>
      </c>
      <c r="P83">
        <f>IF(E83&lt;&gt;"",E83,訓練データ!$O$18)</f>
        <v>67</v>
      </c>
      <c r="R83">
        <f t="shared" si="8"/>
        <v>0</v>
      </c>
      <c r="S83">
        <f t="shared" si="9"/>
        <v>1</v>
      </c>
      <c r="T83">
        <f t="shared" si="9"/>
        <v>0</v>
      </c>
      <c r="U83">
        <f t="shared" si="9"/>
        <v>0</v>
      </c>
      <c r="V83">
        <f t="shared" si="10"/>
        <v>1</v>
      </c>
      <c r="W83">
        <f t="shared" si="10"/>
        <v>0</v>
      </c>
      <c r="X83">
        <f t="shared" si="10"/>
        <v>0</v>
      </c>
    </row>
    <row r="84" spans="1:24" x14ac:dyDescent="0.4">
      <c r="A84">
        <v>974</v>
      </c>
      <c r="B84">
        <v>1</v>
      </c>
      <c r="C84" t="s">
        <v>1885</v>
      </c>
      <c r="D84" t="s">
        <v>13</v>
      </c>
      <c r="E84">
        <v>49</v>
      </c>
      <c r="F84">
        <v>0</v>
      </c>
      <c r="G84">
        <v>0</v>
      </c>
      <c r="H84" t="s">
        <v>1886</v>
      </c>
      <c r="I84">
        <v>26</v>
      </c>
      <c r="J84" t="s">
        <v>15</v>
      </c>
      <c r="K84" t="s">
        <v>16</v>
      </c>
      <c r="O84">
        <f>IF(I84&lt;&gt;"",I84,訓練データ!$O$19)</f>
        <v>26</v>
      </c>
      <c r="P84">
        <f>IF(E84&lt;&gt;"",E84,訓練データ!$O$18)</f>
        <v>49</v>
      </c>
      <c r="R84">
        <f t="shared" si="8"/>
        <v>0</v>
      </c>
      <c r="S84">
        <f t="shared" si="9"/>
        <v>1</v>
      </c>
      <c r="T84">
        <f t="shared" si="9"/>
        <v>0</v>
      </c>
      <c r="U84">
        <f t="shared" si="9"/>
        <v>0</v>
      </c>
      <c r="V84">
        <f t="shared" si="10"/>
        <v>1</v>
      </c>
      <c r="W84">
        <f t="shared" si="10"/>
        <v>0</v>
      </c>
      <c r="X84">
        <f t="shared" si="10"/>
        <v>0</v>
      </c>
    </row>
    <row r="85" spans="1:24" x14ac:dyDescent="0.4">
      <c r="A85">
        <v>975</v>
      </c>
      <c r="B85">
        <v>3</v>
      </c>
      <c r="C85" t="s">
        <v>1887</v>
      </c>
      <c r="D85" t="s">
        <v>13</v>
      </c>
      <c r="F85">
        <v>0</v>
      </c>
      <c r="G85">
        <v>0</v>
      </c>
      <c r="H85" t="s">
        <v>1888</v>
      </c>
      <c r="I85">
        <v>7.8958000000000004</v>
      </c>
      <c r="J85" t="s">
        <v>15</v>
      </c>
      <c r="K85" t="s">
        <v>16</v>
      </c>
      <c r="O85">
        <f>IF(I85&lt;&gt;"",I85,訓練データ!$O$19)</f>
        <v>7.8958000000000004</v>
      </c>
      <c r="P85">
        <f>IF(E85&lt;&gt;"",E85,訓練データ!$O$18)</f>
        <v>28</v>
      </c>
      <c r="R85">
        <f t="shared" si="8"/>
        <v>0</v>
      </c>
      <c r="S85">
        <f t="shared" si="9"/>
        <v>0</v>
      </c>
      <c r="T85">
        <f t="shared" si="9"/>
        <v>0</v>
      </c>
      <c r="U85">
        <f t="shared" si="9"/>
        <v>1</v>
      </c>
      <c r="V85">
        <f t="shared" si="10"/>
        <v>1</v>
      </c>
      <c r="W85">
        <f t="shared" si="10"/>
        <v>0</v>
      </c>
      <c r="X85">
        <f t="shared" si="10"/>
        <v>0</v>
      </c>
    </row>
    <row r="86" spans="1:24" x14ac:dyDescent="0.4">
      <c r="A86">
        <v>976</v>
      </c>
      <c r="B86">
        <v>2</v>
      </c>
      <c r="C86" t="s">
        <v>1889</v>
      </c>
      <c r="D86" t="s">
        <v>13</v>
      </c>
      <c r="F86">
        <v>0</v>
      </c>
      <c r="G86">
        <v>0</v>
      </c>
      <c r="H86" t="s">
        <v>1890</v>
      </c>
      <c r="I86">
        <v>10.708299999999999</v>
      </c>
      <c r="J86" t="s">
        <v>15</v>
      </c>
      <c r="K86" t="s">
        <v>31</v>
      </c>
      <c r="O86">
        <f>IF(I86&lt;&gt;"",I86,訓練データ!$O$19)</f>
        <v>10.708299999999999</v>
      </c>
      <c r="P86">
        <f>IF(E86&lt;&gt;"",E86,訓練データ!$O$18)</f>
        <v>28</v>
      </c>
      <c r="R86">
        <f t="shared" si="8"/>
        <v>0</v>
      </c>
      <c r="S86">
        <f t="shared" si="9"/>
        <v>0</v>
      </c>
      <c r="T86">
        <f t="shared" si="9"/>
        <v>1</v>
      </c>
      <c r="U86">
        <f t="shared" si="9"/>
        <v>0</v>
      </c>
      <c r="V86">
        <f t="shared" si="10"/>
        <v>0</v>
      </c>
      <c r="W86">
        <f t="shared" si="10"/>
        <v>1</v>
      </c>
      <c r="X86">
        <f t="shared" si="10"/>
        <v>0</v>
      </c>
    </row>
    <row r="87" spans="1:24" x14ac:dyDescent="0.4">
      <c r="A87">
        <v>977</v>
      </c>
      <c r="B87">
        <v>3</v>
      </c>
      <c r="C87" t="s">
        <v>1891</v>
      </c>
      <c r="D87" t="s">
        <v>13</v>
      </c>
      <c r="F87">
        <v>1</v>
      </c>
      <c r="G87">
        <v>0</v>
      </c>
      <c r="H87" t="s">
        <v>1892</v>
      </c>
      <c r="I87">
        <v>14.4542</v>
      </c>
      <c r="J87" t="s">
        <v>15</v>
      </c>
      <c r="K87" t="s">
        <v>21</v>
      </c>
      <c r="O87">
        <f>IF(I87&lt;&gt;"",I87,訓練データ!$O$19)</f>
        <v>14.4542</v>
      </c>
      <c r="P87">
        <f>IF(E87&lt;&gt;"",E87,訓練データ!$O$18)</f>
        <v>28</v>
      </c>
      <c r="R87">
        <f t="shared" si="8"/>
        <v>0</v>
      </c>
      <c r="S87">
        <f t="shared" si="9"/>
        <v>0</v>
      </c>
      <c r="T87">
        <f t="shared" si="9"/>
        <v>0</v>
      </c>
      <c r="U87">
        <f t="shared" si="9"/>
        <v>1</v>
      </c>
      <c r="V87">
        <f t="shared" si="10"/>
        <v>0</v>
      </c>
      <c r="W87">
        <f t="shared" si="10"/>
        <v>0</v>
      </c>
      <c r="X87">
        <f t="shared" si="10"/>
        <v>1</v>
      </c>
    </row>
    <row r="88" spans="1:24" x14ac:dyDescent="0.4">
      <c r="A88">
        <v>978</v>
      </c>
      <c r="B88">
        <v>3</v>
      </c>
      <c r="C88" t="s">
        <v>1893</v>
      </c>
      <c r="D88" t="s">
        <v>18</v>
      </c>
      <c r="E88">
        <v>27</v>
      </c>
      <c r="F88">
        <v>0</v>
      </c>
      <c r="G88">
        <v>0</v>
      </c>
      <c r="H88" t="s">
        <v>1894</v>
      </c>
      <c r="I88">
        <v>7.8792</v>
      </c>
      <c r="J88" t="s">
        <v>15</v>
      </c>
      <c r="K88" t="s">
        <v>31</v>
      </c>
      <c r="O88">
        <f>IF(I88&lt;&gt;"",I88,訓練データ!$O$19)</f>
        <v>7.8792</v>
      </c>
      <c r="P88">
        <f>IF(E88&lt;&gt;"",E88,訓練データ!$O$18)</f>
        <v>27</v>
      </c>
      <c r="R88">
        <f t="shared" si="8"/>
        <v>1</v>
      </c>
      <c r="S88">
        <f t="shared" si="9"/>
        <v>0</v>
      </c>
      <c r="T88">
        <f t="shared" si="9"/>
        <v>0</v>
      </c>
      <c r="U88">
        <f t="shared" si="9"/>
        <v>1</v>
      </c>
      <c r="V88">
        <f t="shared" si="10"/>
        <v>0</v>
      </c>
      <c r="W88">
        <f t="shared" si="10"/>
        <v>1</v>
      </c>
      <c r="X88">
        <f t="shared" si="10"/>
        <v>0</v>
      </c>
    </row>
    <row r="89" spans="1:24" x14ac:dyDescent="0.4">
      <c r="A89">
        <v>979</v>
      </c>
      <c r="B89">
        <v>3</v>
      </c>
      <c r="C89" t="s">
        <v>1895</v>
      </c>
      <c r="D89" t="s">
        <v>18</v>
      </c>
      <c r="E89">
        <v>18</v>
      </c>
      <c r="F89">
        <v>0</v>
      </c>
      <c r="G89">
        <v>0</v>
      </c>
      <c r="H89" t="s">
        <v>1896</v>
      </c>
      <c r="I89">
        <v>8.0500000000000007</v>
      </c>
      <c r="J89" t="s">
        <v>15</v>
      </c>
      <c r="K89" t="s">
        <v>16</v>
      </c>
      <c r="O89">
        <f>IF(I89&lt;&gt;"",I89,訓練データ!$O$19)</f>
        <v>8.0500000000000007</v>
      </c>
      <c r="P89">
        <f>IF(E89&lt;&gt;"",E89,訓練データ!$O$18)</f>
        <v>18</v>
      </c>
      <c r="R89">
        <f t="shared" si="8"/>
        <v>1</v>
      </c>
      <c r="S89">
        <f t="shared" si="9"/>
        <v>0</v>
      </c>
      <c r="T89">
        <f t="shared" si="9"/>
        <v>0</v>
      </c>
      <c r="U89">
        <f t="shared" si="9"/>
        <v>1</v>
      </c>
      <c r="V89">
        <f t="shared" si="10"/>
        <v>1</v>
      </c>
      <c r="W89">
        <f t="shared" si="10"/>
        <v>0</v>
      </c>
      <c r="X89">
        <f t="shared" si="10"/>
        <v>0</v>
      </c>
    </row>
    <row r="90" spans="1:24" x14ac:dyDescent="0.4">
      <c r="A90">
        <v>980</v>
      </c>
      <c r="B90">
        <v>3</v>
      </c>
      <c r="C90" t="s">
        <v>1897</v>
      </c>
      <c r="D90" t="s">
        <v>18</v>
      </c>
      <c r="F90">
        <v>0</v>
      </c>
      <c r="G90">
        <v>0</v>
      </c>
      <c r="H90" t="s">
        <v>1898</v>
      </c>
      <c r="I90">
        <v>7.75</v>
      </c>
      <c r="J90" t="s">
        <v>15</v>
      </c>
      <c r="K90" t="s">
        <v>31</v>
      </c>
      <c r="O90">
        <f>IF(I90&lt;&gt;"",I90,訓練データ!$O$19)</f>
        <v>7.75</v>
      </c>
      <c r="P90">
        <f>IF(E90&lt;&gt;"",E90,訓練データ!$O$18)</f>
        <v>28</v>
      </c>
      <c r="R90">
        <f t="shared" si="8"/>
        <v>1</v>
      </c>
      <c r="S90">
        <f t="shared" si="9"/>
        <v>0</v>
      </c>
      <c r="T90">
        <f t="shared" si="9"/>
        <v>0</v>
      </c>
      <c r="U90">
        <f t="shared" si="9"/>
        <v>1</v>
      </c>
      <c r="V90">
        <f t="shared" si="10"/>
        <v>0</v>
      </c>
      <c r="W90">
        <f t="shared" si="10"/>
        <v>1</v>
      </c>
      <c r="X90">
        <f t="shared" si="10"/>
        <v>0</v>
      </c>
    </row>
    <row r="91" spans="1:24" x14ac:dyDescent="0.4">
      <c r="A91">
        <v>981</v>
      </c>
      <c r="B91">
        <v>2</v>
      </c>
      <c r="C91" t="s">
        <v>1899</v>
      </c>
      <c r="D91" t="s">
        <v>13</v>
      </c>
      <c r="E91">
        <v>2</v>
      </c>
      <c r="F91">
        <v>1</v>
      </c>
      <c r="G91">
        <v>1</v>
      </c>
      <c r="H91" t="s">
        <v>1488</v>
      </c>
      <c r="I91">
        <v>23</v>
      </c>
      <c r="J91" t="s">
        <v>15</v>
      </c>
      <c r="K91" t="s">
        <v>16</v>
      </c>
      <c r="O91">
        <f>IF(I91&lt;&gt;"",I91,訓練データ!$O$19)</f>
        <v>23</v>
      </c>
      <c r="P91">
        <f>IF(E91&lt;&gt;"",E91,訓練データ!$O$18)</f>
        <v>2</v>
      </c>
      <c r="R91">
        <f t="shared" si="8"/>
        <v>0</v>
      </c>
      <c r="S91">
        <f t="shared" si="9"/>
        <v>0</v>
      </c>
      <c r="T91">
        <f t="shared" si="9"/>
        <v>1</v>
      </c>
      <c r="U91">
        <f t="shared" si="9"/>
        <v>0</v>
      </c>
      <c r="V91">
        <f t="shared" si="10"/>
        <v>1</v>
      </c>
      <c r="W91">
        <f t="shared" si="10"/>
        <v>0</v>
      </c>
      <c r="X91">
        <f t="shared" si="10"/>
        <v>0</v>
      </c>
    </row>
    <row r="92" spans="1:24" x14ac:dyDescent="0.4">
      <c r="A92">
        <v>982</v>
      </c>
      <c r="B92">
        <v>3</v>
      </c>
      <c r="C92" t="s">
        <v>1900</v>
      </c>
      <c r="D92" t="s">
        <v>18</v>
      </c>
      <c r="E92">
        <v>22</v>
      </c>
      <c r="F92">
        <v>1</v>
      </c>
      <c r="G92">
        <v>0</v>
      </c>
      <c r="H92" t="s">
        <v>1901</v>
      </c>
      <c r="I92">
        <v>13.9</v>
      </c>
      <c r="J92" t="s">
        <v>15</v>
      </c>
      <c r="K92" t="s">
        <v>16</v>
      </c>
      <c r="O92">
        <f>IF(I92&lt;&gt;"",I92,訓練データ!$O$19)</f>
        <v>13.9</v>
      </c>
      <c r="P92">
        <f>IF(E92&lt;&gt;"",E92,訓練データ!$O$18)</f>
        <v>22</v>
      </c>
      <c r="R92">
        <f t="shared" si="8"/>
        <v>1</v>
      </c>
      <c r="S92">
        <f t="shared" si="9"/>
        <v>0</v>
      </c>
      <c r="T92">
        <f t="shared" si="9"/>
        <v>0</v>
      </c>
      <c r="U92">
        <f t="shared" si="9"/>
        <v>1</v>
      </c>
      <c r="V92">
        <f t="shared" si="10"/>
        <v>1</v>
      </c>
      <c r="W92">
        <f t="shared" si="10"/>
        <v>0</v>
      </c>
      <c r="X92">
        <f t="shared" si="10"/>
        <v>0</v>
      </c>
    </row>
    <row r="93" spans="1:24" x14ac:dyDescent="0.4">
      <c r="A93">
        <v>983</v>
      </c>
      <c r="B93">
        <v>3</v>
      </c>
      <c r="C93" t="s">
        <v>1902</v>
      </c>
      <c r="D93" t="s">
        <v>13</v>
      </c>
      <c r="F93">
        <v>0</v>
      </c>
      <c r="G93">
        <v>0</v>
      </c>
      <c r="H93" t="s">
        <v>1903</v>
      </c>
      <c r="I93">
        <v>7.7750000000000004</v>
      </c>
      <c r="J93" t="s">
        <v>15</v>
      </c>
      <c r="K93" t="s">
        <v>16</v>
      </c>
      <c r="O93">
        <f>IF(I93&lt;&gt;"",I93,訓練データ!$O$19)</f>
        <v>7.7750000000000004</v>
      </c>
      <c r="P93">
        <f>IF(E93&lt;&gt;"",E93,訓練データ!$O$18)</f>
        <v>28</v>
      </c>
      <c r="R93">
        <f t="shared" si="8"/>
        <v>0</v>
      </c>
      <c r="S93">
        <f t="shared" si="9"/>
        <v>0</v>
      </c>
      <c r="T93">
        <f t="shared" si="9"/>
        <v>0</v>
      </c>
      <c r="U93">
        <f t="shared" si="9"/>
        <v>1</v>
      </c>
      <c r="V93">
        <f t="shared" si="10"/>
        <v>1</v>
      </c>
      <c r="W93">
        <f t="shared" si="10"/>
        <v>0</v>
      </c>
      <c r="X93">
        <f t="shared" si="10"/>
        <v>0</v>
      </c>
    </row>
    <row r="94" spans="1:24" x14ac:dyDescent="0.4">
      <c r="A94">
        <v>984</v>
      </c>
      <c r="B94">
        <v>1</v>
      </c>
      <c r="C94" t="s">
        <v>1904</v>
      </c>
      <c r="D94" t="s">
        <v>18</v>
      </c>
      <c r="E94">
        <v>27</v>
      </c>
      <c r="F94">
        <v>1</v>
      </c>
      <c r="G94">
        <v>2</v>
      </c>
      <c r="H94" t="s">
        <v>1342</v>
      </c>
      <c r="I94">
        <v>52</v>
      </c>
      <c r="J94" t="s">
        <v>1343</v>
      </c>
      <c r="K94" t="s">
        <v>16</v>
      </c>
      <c r="O94">
        <f>IF(I94&lt;&gt;"",I94,訓練データ!$O$19)</f>
        <v>52</v>
      </c>
      <c r="P94">
        <f>IF(E94&lt;&gt;"",E94,訓練データ!$O$18)</f>
        <v>27</v>
      </c>
      <c r="R94">
        <f t="shared" si="8"/>
        <v>1</v>
      </c>
      <c r="S94">
        <f t="shared" si="9"/>
        <v>1</v>
      </c>
      <c r="T94">
        <f t="shared" si="9"/>
        <v>0</v>
      </c>
      <c r="U94">
        <f t="shared" si="9"/>
        <v>0</v>
      </c>
      <c r="V94">
        <f t="shared" si="10"/>
        <v>1</v>
      </c>
      <c r="W94">
        <f t="shared" si="10"/>
        <v>0</v>
      </c>
      <c r="X94">
        <f t="shared" si="10"/>
        <v>0</v>
      </c>
    </row>
    <row r="95" spans="1:24" x14ac:dyDescent="0.4">
      <c r="A95">
        <v>985</v>
      </c>
      <c r="B95">
        <v>3</v>
      </c>
      <c r="C95" t="s">
        <v>1905</v>
      </c>
      <c r="D95" t="s">
        <v>13</v>
      </c>
      <c r="F95">
        <v>0</v>
      </c>
      <c r="G95">
        <v>0</v>
      </c>
      <c r="H95" t="s">
        <v>1906</v>
      </c>
      <c r="I95">
        <v>8.0500000000000007</v>
      </c>
      <c r="J95" t="s">
        <v>15</v>
      </c>
      <c r="K95" t="s">
        <v>16</v>
      </c>
      <c r="O95">
        <f>IF(I95&lt;&gt;"",I95,訓練データ!$O$19)</f>
        <v>8.0500000000000007</v>
      </c>
      <c r="P95">
        <f>IF(E95&lt;&gt;"",E95,訓練データ!$O$18)</f>
        <v>28</v>
      </c>
      <c r="R95">
        <f t="shared" si="8"/>
        <v>0</v>
      </c>
      <c r="S95">
        <f t="shared" si="9"/>
        <v>0</v>
      </c>
      <c r="T95">
        <f t="shared" si="9"/>
        <v>0</v>
      </c>
      <c r="U95">
        <f t="shared" si="9"/>
        <v>1</v>
      </c>
      <c r="V95">
        <f t="shared" si="10"/>
        <v>1</v>
      </c>
      <c r="W95">
        <f t="shared" si="10"/>
        <v>0</v>
      </c>
      <c r="X95">
        <f t="shared" si="10"/>
        <v>0</v>
      </c>
    </row>
    <row r="96" spans="1:24" x14ac:dyDescent="0.4">
      <c r="A96">
        <v>986</v>
      </c>
      <c r="B96">
        <v>1</v>
      </c>
      <c r="C96" t="s">
        <v>1907</v>
      </c>
      <c r="D96" t="s">
        <v>13</v>
      </c>
      <c r="E96">
        <v>25</v>
      </c>
      <c r="F96">
        <v>0</v>
      </c>
      <c r="G96">
        <v>0</v>
      </c>
      <c r="H96" t="s">
        <v>1908</v>
      </c>
      <c r="I96">
        <v>26</v>
      </c>
      <c r="J96" t="s">
        <v>15</v>
      </c>
      <c r="K96" t="s">
        <v>21</v>
      </c>
      <c r="O96">
        <f>IF(I96&lt;&gt;"",I96,訓練データ!$O$19)</f>
        <v>26</v>
      </c>
      <c r="P96">
        <f>IF(E96&lt;&gt;"",E96,訓練データ!$O$18)</f>
        <v>25</v>
      </c>
      <c r="R96">
        <f t="shared" si="8"/>
        <v>0</v>
      </c>
      <c r="S96">
        <f t="shared" si="9"/>
        <v>1</v>
      </c>
      <c r="T96">
        <f t="shared" si="9"/>
        <v>0</v>
      </c>
      <c r="U96">
        <f t="shared" si="9"/>
        <v>0</v>
      </c>
      <c r="V96">
        <f t="shared" si="10"/>
        <v>0</v>
      </c>
      <c r="W96">
        <f t="shared" si="10"/>
        <v>0</v>
      </c>
      <c r="X96">
        <f t="shared" si="10"/>
        <v>1</v>
      </c>
    </row>
    <row r="97" spans="1:24" x14ac:dyDescent="0.4">
      <c r="A97">
        <v>987</v>
      </c>
      <c r="B97">
        <v>3</v>
      </c>
      <c r="C97" t="s">
        <v>1909</v>
      </c>
      <c r="D97" t="s">
        <v>13</v>
      </c>
      <c r="E97">
        <v>25</v>
      </c>
      <c r="F97">
        <v>0</v>
      </c>
      <c r="G97">
        <v>0</v>
      </c>
      <c r="H97" t="s">
        <v>1910</v>
      </c>
      <c r="I97">
        <v>7.7957999999999998</v>
      </c>
      <c r="J97" t="s">
        <v>15</v>
      </c>
      <c r="K97" t="s">
        <v>16</v>
      </c>
      <c r="O97">
        <f>IF(I97&lt;&gt;"",I97,訓練データ!$O$19)</f>
        <v>7.7957999999999998</v>
      </c>
      <c r="P97">
        <f>IF(E97&lt;&gt;"",E97,訓練データ!$O$18)</f>
        <v>25</v>
      </c>
      <c r="R97">
        <f t="shared" si="8"/>
        <v>0</v>
      </c>
      <c r="S97">
        <f t="shared" si="9"/>
        <v>0</v>
      </c>
      <c r="T97">
        <f t="shared" si="9"/>
        <v>0</v>
      </c>
      <c r="U97">
        <f t="shared" si="9"/>
        <v>1</v>
      </c>
      <c r="V97">
        <f t="shared" si="10"/>
        <v>1</v>
      </c>
      <c r="W97">
        <f t="shared" si="10"/>
        <v>0</v>
      </c>
      <c r="X97">
        <f t="shared" si="10"/>
        <v>0</v>
      </c>
    </row>
    <row r="98" spans="1:24" x14ac:dyDescent="0.4">
      <c r="A98">
        <v>988</v>
      </c>
      <c r="B98">
        <v>1</v>
      </c>
      <c r="C98" t="s">
        <v>1911</v>
      </c>
      <c r="D98" t="s">
        <v>18</v>
      </c>
      <c r="E98">
        <v>76</v>
      </c>
      <c r="F98">
        <v>1</v>
      </c>
      <c r="G98">
        <v>0</v>
      </c>
      <c r="H98" t="s">
        <v>619</v>
      </c>
      <c r="I98">
        <v>78.849999999999994</v>
      </c>
      <c r="J98" t="s">
        <v>1472</v>
      </c>
      <c r="K98" t="s">
        <v>16</v>
      </c>
      <c r="O98">
        <f>IF(I98&lt;&gt;"",I98,訓練データ!$O$19)</f>
        <v>78.849999999999994</v>
      </c>
      <c r="P98">
        <f>IF(E98&lt;&gt;"",E98,訓練データ!$O$18)</f>
        <v>76</v>
      </c>
      <c r="R98">
        <f t="shared" si="8"/>
        <v>1</v>
      </c>
      <c r="S98">
        <f t="shared" si="9"/>
        <v>1</v>
      </c>
      <c r="T98">
        <f t="shared" si="9"/>
        <v>0</v>
      </c>
      <c r="U98">
        <f t="shared" si="9"/>
        <v>0</v>
      </c>
      <c r="V98">
        <f t="shared" si="10"/>
        <v>1</v>
      </c>
      <c r="W98">
        <f t="shared" si="10"/>
        <v>0</v>
      </c>
      <c r="X98">
        <f t="shared" si="10"/>
        <v>0</v>
      </c>
    </row>
    <row r="99" spans="1:24" x14ac:dyDescent="0.4">
      <c r="A99">
        <v>989</v>
      </c>
      <c r="B99">
        <v>3</v>
      </c>
      <c r="C99" t="s">
        <v>1912</v>
      </c>
      <c r="D99" t="s">
        <v>13</v>
      </c>
      <c r="E99">
        <v>29</v>
      </c>
      <c r="F99">
        <v>0</v>
      </c>
      <c r="G99">
        <v>0</v>
      </c>
      <c r="H99" t="s">
        <v>1913</v>
      </c>
      <c r="I99">
        <v>7.9249999999999998</v>
      </c>
      <c r="J99" t="s">
        <v>15</v>
      </c>
      <c r="K99" t="s">
        <v>16</v>
      </c>
      <c r="O99">
        <f>IF(I99&lt;&gt;"",I99,訓練データ!$O$19)</f>
        <v>7.9249999999999998</v>
      </c>
      <c r="P99">
        <f>IF(E99&lt;&gt;"",E99,訓練データ!$O$18)</f>
        <v>29</v>
      </c>
      <c r="R99">
        <f t="shared" si="8"/>
        <v>0</v>
      </c>
      <c r="S99">
        <f t="shared" si="9"/>
        <v>0</v>
      </c>
      <c r="T99">
        <f t="shared" si="9"/>
        <v>0</v>
      </c>
      <c r="U99">
        <f t="shared" si="9"/>
        <v>1</v>
      </c>
      <c r="V99">
        <f t="shared" si="10"/>
        <v>1</v>
      </c>
      <c r="W99">
        <f t="shared" si="10"/>
        <v>0</v>
      </c>
      <c r="X99">
        <f t="shared" si="10"/>
        <v>0</v>
      </c>
    </row>
    <row r="100" spans="1:24" x14ac:dyDescent="0.4">
      <c r="A100">
        <v>990</v>
      </c>
      <c r="B100">
        <v>3</v>
      </c>
      <c r="C100" t="s">
        <v>1914</v>
      </c>
      <c r="D100" t="s">
        <v>18</v>
      </c>
      <c r="E100">
        <v>20</v>
      </c>
      <c r="F100">
        <v>0</v>
      </c>
      <c r="G100">
        <v>0</v>
      </c>
      <c r="H100" t="s">
        <v>1915</v>
      </c>
      <c r="I100">
        <v>7.8541999999999996</v>
      </c>
      <c r="J100" t="s">
        <v>15</v>
      </c>
      <c r="K100" t="s">
        <v>16</v>
      </c>
      <c r="O100">
        <f>IF(I100&lt;&gt;"",I100,訓練データ!$O$19)</f>
        <v>7.8541999999999996</v>
      </c>
      <c r="P100">
        <f>IF(E100&lt;&gt;"",E100,訓練データ!$O$18)</f>
        <v>20</v>
      </c>
      <c r="R100">
        <f t="shared" si="8"/>
        <v>1</v>
      </c>
      <c r="S100">
        <f t="shared" si="9"/>
        <v>0</v>
      </c>
      <c r="T100">
        <f t="shared" si="9"/>
        <v>0</v>
      </c>
      <c r="U100">
        <f t="shared" si="9"/>
        <v>1</v>
      </c>
      <c r="V100">
        <f t="shared" si="10"/>
        <v>1</v>
      </c>
      <c r="W100">
        <f t="shared" si="10"/>
        <v>0</v>
      </c>
      <c r="X100">
        <f t="shared" si="10"/>
        <v>0</v>
      </c>
    </row>
    <row r="101" spans="1:24" x14ac:dyDescent="0.4">
      <c r="A101">
        <v>991</v>
      </c>
      <c r="B101">
        <v>3</v>
      </c>
      <c r="C101" t="s">
        <v>1916</v>
      </c>
      <c r="D101" t="s">
        <v>13</v>
      </c>
      <c r="E101">
        <v>33</v>
      </c>
      <c r="F101">
        <v>0</v>
      </c>
      <c r="G101">
        <v>0</v>
      </c>
      <c r="H101" t="s">
        <v>1917</v>
      </c>
      <c r="I101">
        <v>8.0500000000000007</v>
      </c>
      <c r="J101" t="s">
        <v>15</v>
      </c>
      <c r="K101" t="s">
        <v>16</v>
      </c>
      <c r="O101">
        <f>IF(I101&lt;&gt;"",I101,訓練データ!$O$19)</f>
        <v>8.0500000000000007</v>
      </c>
      <c r="P101">
        <f>IF(E101&lt;&gt;"",E101,訓練データ!$O$18)</f>
        <v>33</v>
      </c>
      <c r="R101">
        <f t="shared" si="8"/>
        <v>0</v>
      </c>
      <c r="S101">
        <f t="shared" si="9"/>
        <v>0</v>
      </c>
      <c r="T101">
        <f t="shared" si="9"/>
        <v>0</v>
      </c>
      <c r="U101">
        <f t="shared" si="9"/>
        <v>1</v>
      </c>
      <c r="V101">
        <f t="shared" si="10"/>
        <v>1</v>
      </c>
      <c r="W101">
        <f t="shared" si="10"/>
        <v>0</v>
      </c>
      <c r="X101">
        <f t="shared" si="10"/>
        <v>0</v>
      </c>
    </row>
    <row r="102" spans="1:24" x14ac:dyDescent="0.4">
      <c r="A102">
        <v>992</v>
      </c>
      <c r="B102">
        <v>1</v>
      </c>
      <c r="C102" t="s">
        <v>1918</v>
      </c>
      <c r="D102" t="s">
        <v>18</v>
      </c>
      <c r="E102">
        <v>43</v>
      </c>
      <c r="F102">
        <v>1</v>
      </c>
      <c r="G102">
        <v>0</v>
      </c>
      <c r="H102" t="s">
        <v>1919</v>
      </c>
      <c r="I102">
        <v>55.441699999999997</v>
      </c>
      <c r="J102" t="s">
        <v>1920</v>
      </c>
      <c r="K102" t="s">
        <v>21</v>
      </c>
      <c r="O102">
        <f>IF(I102&lt;&gt;"",I102,訓練データ!$O$19)</f>
        <v>55.441699999999997</v>
      </c>
      <c r="P102">
        <f>IF(E102&lt;&gt;"",E102,訓練データ!$O$18)</f>
        <v>43</v>
      </c>
      <c r="R102">
        <f t="shared" si="8"/>
        <v>1</v>
      </c>
      <c r="S102">
        <f t="shared" si="9"/>
        <v>1</v>
      </c>
      <c r="T102">
        <f t="shared" si="9"/>
        <v>0</v>
      </c>
      <c r="U102">
        <f t="shared" si="9"/>
        <v>0</v>
      </c>
      <c r="V102">
        <f t="shared" si="10"/>
        <v>0</v>
      </c>
      <c r="W102">
        <f t="shared" si="10"/>
        <v>0</v>
      </c>
      <c r="X102">
        <f t="shared" si="10"/>
        <v>1</v>
      </c>
    </row>
    <row r="103" spans="1:24" x14ac:dyDescent="0.4">
      <c r="A103">
        <v>993</v>
      </c>
      <c r="B103">
        <v>2</v>
      </c>
      <c r="C103" t="s">
        <v>1921</v>
      </c>
      <c r="D103" t="s">
        <v>13</v>
      </c>
      <c r="E103">
        <v>27</v>
      </c>
      <c r="F103">
        <v>1</v>
      </c>
      <c r="G103">
        <v>0</v>
      </c>
      <c r="H103" t="s">
        <v>300</v>
      </c>
      <c r="I103">
        <v>26</v>
      </c>
      <c r="J103" t="s">
        <v>15</v>
      </c>
      <c r="K103" t="s">
        <v>16</v>
      </c>
      <c r="O103">
        <f>IF(I103&lt;&gt;"",I103,訓練データ!$O$19)</f>
        <v>26</v>
      </c>
      <c r="P103">
        <f>IF(E103&lt;&gt;"",E103,訓練データ!$O$18)</f>
        <v>27</v>
      </c>
      <c r="R103">
        <f t="shared" si="8"/>
        <v>0</v>
      </c>
      <c r="S103">
        <f t="shared" si="9"/>
        <v>0</v>
      </c>
      <c r="T103">
        <f t="shared" si="9"/>
        <v>1</v>
      </c>
      <c r="U103">
        <f t="shared" si="9"/>
        <v>0</v>
      </c>
      <c r="V103">
        <f t="shared" si="10"/>
        <v>1</v>
      </c>
      <c r="W103">
        <f t="shared" si="10"/>
        <v>0</v>
      </c>
      <c r="X103">
        <f t="shared" si="10"/>
        <v>0</v>
      </c>
    </row>
    <row r="104" spans="1:24" x14ac:dyDescent="0.4">
      <c r="A104">
        <v>994</v>
      </c>
      <c r="B104">
        <v>3</v>
      </c>
      <c r="C104" t="s">
        <v>1922</v>
      </c>
      <c r="D104" t="s">
        <v>13</v>
      </c>
      <c r="F104">
        <v>0</v>
      </c>
      <c r="G104">
        <v>0</v>
      </c>
      <c r="H104" t="s">
        <v>1923</v>
      </c>
      <c r="I104">
        <v>7.75</v>
      </c>
      <c r="J104" t="s">
        <v>15</v>
      </c>
      <c r="K104" t="s">
        <v>31</v>
      </c>
      <c r="O104">
        <f>IF(I104&lt;&gt;"",I104,訓練データ!$O$19)</f>
        <v>7.75</v>
      </c>
      <c r="P104">
        <f>IF(E104&lt;&gt;"",E104,訓練データ!$O$18)</f>
        <v>28</v>
      </c>
      <c r="R104">
        <f t="shared" si="8"/>
        <v>0</v>
      </c>
      <c r="S104">
        <f t="shared" si="9"/>
        <v>0</v>
      </c>
      <c r="T104">
        <f t="shared" si="9"/>
        <v>0</v>
      </c>
      <c r="U104">
        <f t="shared" si="9"/>
        <v>1</v>
      </c>
      <c r="V104">
        <f t="shared" si="10"/>
        <v>0</v>
      </c>
      <c r="W104">
        <f t="shared" si="10"/>
        <v>1</v>
      </c>
      <c r="X104">
        <f t="shared" si="10"/>
        <v>0</v>
      </c>
    </row>
    <row r="105" spans="1:24" x14ac:dyDescent="0.4">
      <c r="A105">
        <v>995</v>
      </c>
      <c r="B105">
        <v>3</v>
      </c>
      <c r="C105" t="s">
        <v>1924</v>
      </c>
      <c r="D105" t="s">
        <v>13</v>
      </c>
      <c r="E105">
        <v>26</v>
      </c>
      <c r="F105">
        <v>0</v>
      </c>
      <c r="G105">
        <v>0</v>
      </c>
      <c r="H105" t="s">
        <v>1925</v>
      </c>
      <c r="I105">
        <v>7.7750000000000004</v>
      </c>
      <c r="J105" t="s">
        <v>15</v>
      </c>
      <c r="K105" t="s">
        <v>16</v>
      </c>
      <c r="O105">
        <f>IF(I105&lt;&gt;"",I105,訓練データ!$O$19)</f>
        <v>7.7750000000000004</v>
      </c>
      <c r="P105">
        <f>IF(E105&lt;&gt;"",E105,訓練データ!$O$18)</f>
        <v>26</v>
      </c>
      <c r="R105">
        <f t="shared" si="8"/>
        <v>0</v>
      </c>
      <c r="S105">
        <f t="shared" si="9"/>
        <v>0</v>
      </c>
      <c r="T105">
        <f t="shared" si="9"/>
        <v>0</v>
      </c>
      <c r="U105">
        <f t="shared" si="9"/>
        <v>1</v>
      </c>
      <c r="V105">
        <f t="shared" si="10"/>
        <v>1</v>
      </c>
      <c r="W105">
        <f t="shared" si="10"/>
        <v>0</v>
      </c>
      <c r="X105">
        <f t="shared" si="10"/>
        <v>0</v>
      </c>
    </row>
    <row r="106" spans="1:24" x14ac:dyDescent="0.4">
      <c r="A106">
        <v>996</v>
      </c>
      <c r="B106">
        <v>3</v>
      </c>
      <c r="C106" t="s">
        <v>1926</v>
      </c>
      <c r="D106" t="s">
        <v>18</v>
      </c>
      <c r="E106">
        <v>16</v>
      </c>
      <c r="F106">
        <v>1</v>
      </c>
      <c r="G106">
        <v>1</v>
      </c>
      <c r="H106" t="s">
        <v>1583</v>
      </c>
      <c r="I106">
        <v>8.5167000000000002</v>
      </c>
      <c r="J106" t="s">
        <v>15</v>
      </c>
      <c r="K106" t="s">
        <v>21</v>
      </c>
      <c r="O106">
        <f>IF(I106&lt;&gt;"",I106,訓練データ!$O$19)</f>
        <v>8.5167000000000002</v>
      </c>
      <c r="P106">
        <f>IF(E106&lt;&gt;"",E106,訓練データ!$O$18)</f>
        <v>16</v>
      </c>
      <c r="R106">
        <f t="shared" si="8"/>
        <v>1</v>
      </c>
      <c r="S106">
        <f t="shared" si="9"/>
        <v>0</v>
      </c>
      <c r="T106">
        <f t="shared" si="9"/>
        <v>0</v>
      </c>
      <c r="U106">
        <f t="shared" si="9"/>
        <v>1</v>
      </c>
      <c r="V106">
        <f t="shared" si="10"/>
        <v>0</v>
      </c>
      <c r="W106">
        <f t="shared" si="10"/>
        <v>0</v>
      </c>
      <c r="X106">
        <f t="shared" si="10"/>
        <v>1</v>
      </c>
    </row>
    <row r="107" spans="1:24" x14ac:dyDescent="0.4">
      <c r="A107">
        <v>997</v>
      </c>
      <c r="B107">
        <v>3</v>
      </c>
      <c r="C107" t="s">
        <v>1927</v>
      </c>
      <c r="D107" t="s">
        <v>13</v>
      </c>
      <c r="E107">
        <v>28</v>
      </c>
      <c r="F107">
        <v>0</v>
      </c>
      <c r="G107">
        <v>0</v>
      </c>
      <c r="H107" t="s">
        <v>1040</v>
      </c>
      <c r="I107">
        <v>22.524999999999999</v>
      </c>
      <c r="J107" t="s">
        <v>15</v>
      </c>
      <c r="K107" t="s">
        <v>16</v>
      </c>
      <c r="O107">
        <f>IF(I107&lt;&gt;"",I107,訓練データ!$O$19)</f>
        <v>22.524999999999999</v>
      </c>
      <c r="P107">
        <f>IF(E107&lt;&gt;"",E107,訓練データ!$O$18)</f>
        <v>28</v>
      </c>
      <c r="R107">
        <f t="shared" si="8"/>
        <v>0</v>
      </c>
      <c r="S107">
        <f t="shared" si="9"/>
        <v>0</v>
      </c>
      <c r="T107">
        <f t="shared" si="9"/>
        <v>0</v>
      </c>
      <c r="U107">
        <f t="shared" si="9"/>
        <v>1</v>
      </c>
      <c r="V107">
        <f t="shared" si="10"/>
        <v>1</v>
      </c>
      <c r="W107">
        <f t="shared" si="10"/>
        <v>0</v>
      </c>
      <c r="X107">
        <f t="shared" si="10"/>
        <v>0</v>
      </c>
    </row>
    <row r="108" spans="1:24" x14ac:dyDescent="0.4">
      <c r="A108">
        <v>998</v>
      </c>
      <c r="B108">
        <v>3</v>
      </c>
      <c r="C108" t="s">
        <v>1928</v>
      </c>
      <c r="D108" t="s">
        <v>13</v>
      </c>
      <c r="E108">
        <v>21</v>
      </c>
      <c r="F108">
        <v>0</v>
      </c>
      <c r="G108">
        <v>0</v>
      </c>
      <c r="H108" t="s">
        <v>1929</v>
      </c>
      <c r="I108">
        <v>7.8208000000000002</v>
      </c>
      <c r="J108" t="s">
        <v>15</v>
      </c>
      <c r="K108" t="s">
        <v>31</v>
      </c>
      <c r="O108">
        <f>IF(I108&lt;&gt;"",I108,訓練データ!$O$19)</f>
        <v>7.8208000000000002</v>
      </c>
      <c r="P108">
        <f>IF(E108&lt;&gt;"",E108,訓練データ!$O$18)</f>
        <v>21</v>
      </c>
      <c r="R108">
        <f t="shared" si="8"/>
        <v>0</v>
      </c>
      <c r="S108">
        <f t="shared" si="9"/>
        <v>0</v>
      </c>
      <c r="T108">
        <f t="shared" si="9"/>
        <v>0</v>
      </c>
      <c r="U108">
        <f t="shared" si="9"/>
        <v>1</v>
      </c>
      <c r="V108">
        <f t="shared" si="10"/>
        <v>0</v>
      </c>
      <c r="W108">
        <f t="shared" si="10"/>
        <v>1</v>
      </c>
      <c r="X108">
        <f t="shared" si="10"/>
        <v>0</v>
      </c>
    </row>
    <row r="109" spans="1:24" x14ac:dyDescent="0.4">
      <c r="A109">
        <v>999</v>
      </c>
      <c r="B109">
        <v>3</v>
      </c>
      <c r="C109" t="s">
        <v>1930</v>
      </c>
      <c r="D109" t="s">
        <v>13</v>
      </c>
      <c r="F109">
        <v>0</v>
      </c>
      <c r="G109">
        <v>0</v>
      </c>
      <c r="H109" t="s">
        <v>1931</v>
      </c>
      <c r="I109">
        <v>7.75</v>
      </c>
      <c r="J109" t="s">
        <v>15</v>
      </c>
      <c r="K109" t="s">
        <v>31</v>
      </c>
      <c r="O109">
        <f>IF(I109&lt;&gt;"",I109,訓練データ!$O$19)</f>
        <v>7.75</v>
      </c>
      <c r="P109">
        <f>IF(E109&lt;&gt;"",E109,訓練データ!$O$18)</f>
        <v>28</v>
      </c>
      <c r="R109">
        <f t="shared" si="8"/>
        <v>0</v>
      </c>
      <c r="S109">
        <f t="shared" si="9"/>
        <v>0</v>
      </c>
      <c r="T109">
        <f t="shared" si="9"/>
        <v>0</v>
      </c>
      <c r="U109">
        <f t="shared" si="9"/>
        <v>1</v>
      </c>
      <c r="V109">
        <f t="shared" si="10"/>
        <v>0</v>
      </c>
      <c r="W109">
        <f t="shared" si="10"/>
        <v>1</v>
      </c>
      <c r="X109">
        <f t="shared" si="10"/>
        <v>0</v>
      </c>
    </row>
    <row r="110" spans="1:24" x14ac:dyDescent="0.4">
      <c r="A110">
        <v>1000</v>
      </c>
      <c r="B110">
        <v>3</v>
      </c>
      <c r="C110" t="s">
        <v>1932</v>
      </c>
      <c r="D110" t="s">
        <v>13</v>
      </c>
      <c r="F110">
        <v>0</v>
      </c>
      <c r="G110">
        <v>0</v>
      </c>
      <c r="H110" t="s">
        <v>1933</v>
      </c>
      <c r="I110">
        <v>8.7125000000000004</v>
      </c>
      <c r="J110" t="s">
        <v>15</v>
      </c>
      <c r="K110" t="s">
        <v>16</v>
      </c>
      <c r="O110">
        <f>IF(I110&lt;&gt;"",I110,訓練データ!$O$19)</f>
        <v>8.7125000000000004</v>
      </c>
      <c r="P110">
        <f>IF(E110&lt;&gt;"",E110,訓練データ!$O$18)</f>
        <v>28</v>
      </c>
      <c r="R110">
        <f t="shared" si="8"/>
        <v>0</v>
      </c>
      <c r="S110">
        <f t="shared" si="9"/>
        <v>0</v>
      </c>
      <c r="T110">
        <f t="shared" si="9"/>
        <v>0</v>
      </c>
      <c r="U110">
        <f t="shared" si="9"/>
        <v>1</v>
      </c>
      <c r="V110">
        <f t="shared" si="10"/>
        <v>1</v>
      </c>
      <c r="W110">
        <f t="shared" si="10"/>
        <v>0</v>
      </c>
      <c r="X110">
        <f t="shared" si="10"/>
        <v>0</v>
      </c>
    </row>
    <row r="111" spans="1:24" x14ac:dyDescent="0.4">
      <c r="A111">
        <v>1001</v>
      </c>
      <c r="B111">
        <v>2</v>
      </c>
      <c r="C111" t="s">
        <v>1934</v>
      </c>
      <c r="D111" t="s">
        <v>13</v>
      </c>
      <c r="E111">
        <v>18.5</v>
      </c>
      <c r="F111">
        <v>0</v>
      </c>
      <c r="G111">
        <v>0</v>
      </c>
      <c r="H111" t="s">
        <v>1935</v>
      </c>
      <c r="I111">
        <v>13</v>
      </c>
      <c r="J111" t="s">
        <v>1936</v>
      </c>
      <c r="K111" t="s">
        <v>16</v>
      </c>
      <c r="O111">
        <f>IF(I111&lt;&gt;"",I111,訓練データ!$O$19)</f>
        <v>13</v>
      </c>
      <c r="P111">
        <f>IF(E111&lt;&gt;"",E111,訓練データ!$O$18)</f>
        <v>18.5</v>
      </c>
      <c r="R111">
        <f t="shared" si="8"/>
        <v>0</v>
      </c>
      <c r="S111">
        <f t="shared" si="9"/>
        <v>0</v>
      </c>
      <c r="T111">
        <f t="shared" si="9"/>
        <v>1</v>
      </c>
      <c r="U111">
        <f t="shared" si="9"/>
        <v>0</v>
      </c>
      <c r="V111">
        <f t="shared" si="10"/>
        <v>1</v>
      </c>
      <c r="W111">
        <f t="shared" si="10"/>
        <v>0</v>
      </c>
      <c r="X111">
        <f t="shared" si="10"/>
        <v>0</v>
      </c>
    </row>
    <row r="112" spans="1:24" x14ac:dyDescent="0.4">
      <c r="A112">
        <v>1002</v>
      </c>
      <c r="B112">
        <v>2</v>
      </c>
      <c r="C112" t="s">
        <v>1937</v>
      </c>
      <c r="D112" t="s">
        <v>13</v>
      </c>
      <c r="E112">
        <v>41</v>
      </c>
      <c r="F112">
        <v>0</v>
      </c>
      <c r="G112">
        <v>0</v>
      </c>
      <c r="H112" t="s">
        <v>1938</v>
      </c>
      <c r="I112">
        <v>15.0458</v>
      </c>
      <c r="J112" t="s">
        <v>15</v>
      </c>
      <c r="K112" t="s">
        <v>21</v>
      </c>
      <c r="O112">
        <f>IF(I112&lt;&gt;"",I112,訓練データ!$O$19)</f>
        <v>15.0458</v>
      </c>
      <c r="P112">
        <f>IF(E112&lt;&gt;"",E112,訓練データ!$O$18)</f>
        <v>41</v>
      </c>
      <c r="R112">
        <f t="shared" si="8"/>
        <v>0</v>
      </c>
      <c r="S112">
        <f t="shared" si="9"/>
        <v>0</v>
      </c>
      <c r="T112">
        <f t="shared" si="9"/>
        <v>1</v>
      </c>
      <c r="U112">
        <f t="shared" si="9"/>
        <v>0</v>
      </c>
      <c r="V112">
        <f t="shared" si="10"/>
        <v>0</v>
      </c>
      <c r="W112">
        <f t="shared" si="10"/>
        <v>0</v>
      </c>
      <c r="X112">
        <f t="shared" si="10"/>
        <v>1</v>
      </c>
    </row>
    <row r="113" spans="1:24" x14ac:dyDescent="0.4">
      <c r="A113">
        <v>1003</v>
      </c>
      <c r="B113">
        <v>3</v>
      </c>
      <c r="C113" t="s">
        <v>1939</v>
      </c>
      <c r="D113" t="s">
        <v>18</v>
      </c>
      <c r="F113">
        <v>0</v>
      </c>
      <c r="G113">
        <v>0</v>
      </c>
      <c r="H113" t="s">
        <v>1940</v>
      </c>
      <c r="I113">
        <v>7.7792000000000003</v>
      </c>
      <c r="J113" t="s">
        <v>15</v>
      </c>
      <c r="K113" t="s">
        <v>31</v>
      </c>
      <c r="O113">
        <f>IF(I113&lt;&gt;"",I113,訓練データ!$O$19)</f>
        <v>7.7792000000000003</v>
      </c>
      <c r="P113">
        <f>IF(E113&lt;&gt;"",E113,訓練データ!$O$18)</f>
        <v>28</v>
      </c>
      <c r="R113">
        <f t="shared" si="8"/>
        <v>1</v>
      </c>
      <c r="S113">
        <f t="shared" si="9"/>
        <v>0</v>
      </c>
      <c r="T113">
        <f t="shared" si="9"/>
        <v>0</v>
      </c>
      <c r="U113">
        <f t="shared" si="9"/>
        <v>1</v>
      </c>
      <c r="V113">
        <f t="shared" si="10"/>
        <v>0</v>
      </c>
      <c r="W113">
        <f t="shared" si="10"/>
        <v>1</v>
      </c>
      <c r="X113">
        <f t="shared" si="10"/>
        <v>0</v>
      </c>
    </row>
    <row r="114" spans="1:24" x14ac:dyDescent="0.4">
      <c r="A114">
        <v>1004</v>
      </c>
      <c r="B114">
        <v>1</v>
      </c>
      <c r="C114" t="s">
        <v>1941</v>
      </c>
      <c r="D114" t="s">
        <v>18</v>
      </c>
      <c r="E114">
        <v>36</v>
      </c>
      <c r="F114">
        <v>0</v>
      </c>
      <c r="G114">
        <v>0</v>
      </c>
      <c r="H114" t="s">
        <v>1942</v>
      </c>
      <c r="I114">
        <v>31.679200000000002</v>
      </c>
      <c r="J114" t="s">
        <v>1943</v>
      </c>
      <c r="K114" t="s">
        <v>21</v>
      </c>
      <c r="O114">
        <f>IF(I114&lt;&gt;"",I114,訓練データ!$O$19)</f>
        <v>31.679200000000002</v>
      </c>
      <c r="P114">
        <f>IF(E114&lt;&gt;"",E114,訓練データ!$O$18)</f>
        <v>36</v>
      </c>
      <c r="R114">
        <f t="shared" si="8"/>
        <v>1</v>
      </c>
      <c r="S114">
        <f t="shared" si="9"/>
        <v>1</v>
      </c>
      <c r="T114">
        <f t="shared" si="9"/>
        <v>0</v>
      </c>
      <c r="U114">
        <f t="shared" si="9"/>
        <v>0</v>
      </c>
      <c r="V114">
        <f t="shared" si="10"/>
        <v>0</v>
      </c>
      <c r="W114">
        <f t="shared" si="10"/>
        <v>0</v>
      </c>
      <c r="X114">
        <f t="shared" si="10"/>
        <v>1</v>
      </c>
    </row>
    <row r="115" spans="1:24" x14ac:dyDescent="0.4">
      <c r="A115">
        <v>1005</v>
      </c>
      <c r="B115">
        <v>3</v>
      </c>
      <c r="C115" t="s">
        <v>1944</v>
      </c>
      <c r="D115" t="s">
        <v>18</v>
      </c>
      <c r="E115">
        <v>18.5</v>
      </c>
      <c r="F115">
        <v>0</v>
      </c>
      <c r="G115">
        <v>0</v>
      </c>
      <c r="H115" t="s">
        <v>1945</v>
      </c>
      <c r="I115">
        <v>7.2832999999999997</v>
      </c>
      <c r="J115" t="s">
        <v>15</v>
      </c>
      <c r="K115" t="s">
        <v>31</v>
      </c>
      <c r="O115">
        <f>IF(I115&lt;&gt;"",I115,訓練データ!$O$19)</f>
        <v>7.2832999999999997</v>
      </c>
      <c r="P115">
        <f>IF(E115&lt;&gt;"",E115,訓練データ!$O$18)</f>
        <v>18.5</v>
      </c>
      <c r="R115">
        <f t="shared" si="8"/>
        <v>1</v>
      </c>
      <c r="S115">
        <f t="shared" si="9"/>
        <v>0</v>
      </c>
      <c r="T115">
        <f t="shared" si="9"/>
        <v>0</v>
      </c>
      <c r="U115">
        <f t="shared" si="9"/>
        <v>1</v>
      </c>
      <c r="V115">
        <f t="shared" si="10"/>
        <v>0</v>
      </c>
      <c r="W115">
        <f t="shared" si="10"/>
        <v>1</v>
      </c>
      <c r="X115">
        <f t="shared" si="10"/>
        <v>0</v>
      </c>
    </row>
    <row r="116" spans="1:24" x14ac:dyDescent="0.4">
      <c r="A116">
        <v>1006</v>
      </c>
      <c r="B116">
        <v>1</v>
      </c>
      <c r="C116" t="s">
        <v>1946</v>
      </c>
      <c r="D116" t="s">
        <v>18</v>
      </c>
      <c r="E116">
        <v>63</v>
      </c>
      <c r="F116">
        <v>1</v>
      </c>
      <c r="G116">
        <v>0</v>
      </c>
      <c r="H116" t="s">
        <v>1078</v>
      </c>
      <c r="I116">
        <v>221.7792</v>
      </c>
      <c r="J116" t="s">
        <v>1884</v>
      </c>
      <c r="K116" t="s">
        <v>16</v>
      </c>
      <c r="O116">
        <f>IF(I116&lt;&gt;"",I116,訓練データ!$O$19)</f>
        <v>221.7792</v>
      </c>
      <c r="P116">
        <f>IF(E116&lt;&gt;"",E116,訓練データ!$O$18)</f>
        <v>63</v>
      </c>
      <c r="R116">
        <f t="shared" si="8"/>
        <v>1</v>
      </c>
      <c r="S116">
        <f t="shared" si="9"/>
        <v>1</v>
      </c>
      <c r="T116">
        <f t="shared" si="9"/>
        <v>0</v>
      </c>
      <c r="U116">
        <f t="shared" si="9"/>
        <v>0</v>
      </c>
      <c r="V116">
        <f t="shared" si="10"/>
        <v>1</v>
      </c>
      <c r="W116">
        <f t="shared" si="10"/>
        <v>0</v>
      </c>
      <c r="X116">
        <f t="shared" si="10"/>
        <v>0</v>
      </c>
    </row>
    <row r="117" spans="1:24" x14ac:dyDescent="0.4">
      <c r="A117">
        <v>1007</v>
      </c>
      <c r="B117">
        <v>3</v>
      </c>
      <c r="C117" t="s">
        <v>1947</v>
      </c>
      <c r="D117" t="s">
        <v>13</v>
      </c>
      <c r="E117">
        <v>18</v>
      </c>
      <c r="F117">
        <v>1</v>
      </c>
      <c r="G117">
        <v>0</v>
      </c>
      <c r="H117" t="s">
        <v>178</v>
      </c>
      <c r="I117">
        <v>14.4542</v>
      </c>
      <c r="J117" t="s">
        <v>15</v>
      </c>
      <c r="K117" t="s">
        <v>21</v>
      </c>
      <c r="O117">
        <f>IF(I117&lt;&gt;"",I117,訓練データ!$O$19)</f>
        <v>14.4542</v>
      </c>
      <c r="P117">
        <f>IF(E117&lt;&gt;"",E117,訓練データ!$O$18)</f>
        <v>18</v>
      </c>
      <c r="R117">
        <f t="shared" si="8"/>
        <v>0</v>
      </c>
      <c r="S117">
        <f t="shared" si="9"/>
        <v>0</v>
      </c>
      <c r="T117">
        <f t="shared" si="9"/>
        <v>0</v>
      </c>
      <c r="U117">
        <f t="shared" si="9"/>
        <v>1</v>
      </c>
      <c r="V117">
        <f t="shared" si="10"/>
        <v>0</v>
      </c>
      <c r="W117">
        <f t="shared" si="10"/>
        <v>0</v>
      </c>
      <c r="X117">
        <f t="shared" si="10"/>
        <v>1</v>
      </c>
    </row>
    <row r="118" spans="1:24" x14ac:dyDescent="0.4">
      <c r="A118">
        <v>1008</v>
      </c>
      <c r="B118">
        <v>3</v>
      </c>
      <c r="C118" t="s">
        <v>1948</v>
      </c>
      <c r="D118" t="s">
        <v>13</v>
      </c>
      <c r="F118">
        <v>0</v>
      </c>
      <c r="G118">
        <v>0</v>
      </c>
      <c r="H118" t="s">
        <v>1949</v>
      </c>
      <c r="I118">
        <v>6.4375</v>
      </c>
      <c r="J118" t="s">
        <v>15</v>
      </c>
      <c r="K118" t="s">
        <v>21</v>
      </c>
      <c r="O118">
        <f>IF(I118&lt;&gt;"",I118,訓練データ!$O$19)</f>
        <v>6.4375</v>
      </c>
      <c r="P118">
        <f>IF(E118&lt;&gt;"",E118,訓練データ!$O$18)</f>
        <v>28</v>
      </c>
      <c r="R118">
        <f t="shared" si="8"/>
        <v>0</v>
      </c>
      <c r="S118">
        <f t="shared" si="9"/>
        <v>0</v>
      </c>
      <c r="T118">
        <f t="shared" si="9"/>
        <v>0</v>
      </c>
      <c r="U118">
        <f t="shared" si="9"/>
        <v>1</v>
      </c>
      <c r="V118">
        <f t="shared" si="10"/>
        <v>0</v>
      </c>
      <c r="W118">
        <f t="shared" si="10"/>
        <v>0</v>
      </c>
      <c r="X118">
        <f t="shared" si="10"/>
        <v>1</v>
      </c>
    </row>
    <row r="119" spans="1:24" x14ac:dyDescent="0.4">
      <c r="A119">
        <v>1009</v>
      </c>
      <c r="B119">
        <v>3</v>
      </c>
      <c r="C119" t="s">
        <v>1950</v>
      </c>
      <c r="D119" t="s">
        <v>18</v>
      </c>
      <c r="E119">
        <v>1</v>
      </c>
      <c r="F119">
        <v>1</v>
      </c>
      <c r="G119">
        <v>1</v>
      </c>
      <c r="H119" t="s">
        <v>42</v>
      </c>
      <c r="I119">
        <v>16.7</v>
      </c>
      <c r="J119" t="s">
        <v>43</v>
      </c>
      <c r="K119" t="s">
        <v>16</v>
      </c>
      <c r="O119">
        <f>IF(I119&lt;&gt;"",I119,訓練データ!$O$19)</f>
        <v>16.7</v>
      </c>
      <c r="P119">
        <f>IF(E119&lt;&gt;"",E119,訓練データ!$O$18)</f>
        <v>1</v>
      </c>
      <c r="R119">
        <f t="shared" si="8"/>
        <v>1</v>
      </c>
      <c r="S119">
        <f t="shared" si="9"/>
        <v>0</v>
      </c>
      <c r="T119">
        <f t="shared" si="9"/>
        <v>0</v>
      </c>
      <c r="U119">
        <f t="shared" si="9"/>
        <v>1</v>
      </c>
      <c r="V119">
        <f t="shared" si="10"/>
        <v>1</v>
      </c>
      <c r="W119">
        <f t="shared" si="10"/>
        <v>0</v>
      </c>
      <c r="X119">
        <f t="shared" si="10"/>
        <v>0</v>
      </c>
    </row>
    <row r="120" spans="1:24" x14ac:dyDescent="0.4">
      <c r="A120">
        <v>1010</v>
      </c>
      <c r="B120">
        <v>1</v>
      </c>
      <c r="C120" t="s">
        <v>1951</v>
      </c>
      <c r="D120" t="s">
        <v>13</v>
      </c>
      <c r="E120">
        <v>36</v>
      </c>
      <c r="F120">
        <v>0</v>
      </c>
      <c r="G120">
        <v>0</v>
      </c>
      <c r="H120" t="s">
        <v>1952</v>
      </c>
      <c r="I120">
        <v>75.241699999999994</v>
      </c>
      <c r="J120" t="s">
        <v>1953</v>
      </c>
      <c r="K120" t="s">
        <v>21</v>
      </c>
      <c r="O120">
        <f>IF(I120&lt;&gt;"",I120,訓練データ!$O$19)</f>
        <v>75.241699999999994</v>
      </c>
      <c r="P120">
        <f>IF(E120&lt;&gt;"",E120,訓練データ!$O$18)</f>
        <v>36</v>
      </c>
      <c r="R120">
        <f t="shared" si="8"/>
        <v>0</v>
      </c>
      <c r="S120">
        <f t="shared" si="9"/>
        <v>1</v>
      </c>
      <c r="T120">
        <f t="shared" si="9"/>
        <v>0</v>
      </c>
      <c r="U120">
        <f t="shared" si="9"/>
        <v>0</v>
      </c>
      <c r="V120">
        <f t="shared" si="10"/>
        <v>0</v>
      </c>
      <c r="W120">
        <f t="shared" si="10"/>
        <v>0</v>
      </c>
      <c r="X120">
        <f t="shared" si="10"/>
        <v>1</v>
      </c>
    </row>
    <row r="121" spans="1:24" x14ac:dyDescent="0.4">
      <c r="A121">
        <v>1011</v>
      </c>
      <c r="B121">
        <v>2</v>
      </c>
      <c r="C121" t="s">
        <v>1954</v>
      </c>
      <c r="D121" t="s">
        <v>18</v>
      </c>
      <c r="E121">
        <v>29</v>
      </c>
      <c r="F121">
        <v>1</v>
      </c>
      <c r="G121">
        <v>0</v>
      </c>
      <c r="H121" t="s">
        <v>1206</v>
      </c>
      <c r="I121">
        <v>26</v>
      </c>
      <c r="J121" t="s">
        <v>15</v>
      </c>
      <c r="K121" t="s">
        <v>16</v>
      </c>
      <c r="O121">
        <f>IF(I121&lt;&gt;"",I121,訓練データ!$O$19)</f>
        <v>26</v>
      </c>
      <c r="P121">
        <f>IF(E121&lt;&gt;"",E121,訓練データ!$O$18)</f>
        <v>29</v>
      </c>
      <c r="R121">
        <f t="shared" si="8"/>
        <v>1</v>
      </c>
      <c r="S121">
        <f t="shared" si="9"/>
        <v>0</v>
      </c>
      <c r="T121">
        <f t="shared" si="9"/>
        <v>1</v>
      </c>
      <c r="U121">
        <f t="shared" si="9"/>
        <v>0</v>
      </c>
      <c r="V121">
        <f t="shared" si="10"/>
        <v>1</v>
      </c>
      <c r="W121">
        <f t="shared" si="10"/>
        <v>0</v>
      </c>
      <c r="X121">
        <f t="shared" si="10"/>
        <v>0</v>
      </c>
    </row>
    <row r="122" spans="1:24" x14ac:dyDescent="0.4">
      <c r="A122">
        <v>1012</v>
      </c>
      <c r="B122">
        <v>2</v>
      </c>
      <c r="C122" t="s">
        <v>1955</v>
      </c>
      <c r="D122" t="s">
        <v>18</v>
      </c>
      <c r="E122">
        <v>12</v>
      </c>
      <c r="F122">
        <v>0</v>
      </c>
      <c r="G122">
        <v>0</v>
      </c>
      <c r="H122" t="s">
        <v>358</v>
      </c>
      <c r="I122">
        <v>15.75</v>
      </c>
      <c r="J122" t="s">
        <v>15</v>
      </c>
      <c r="K122" t="s">
        <v>16</v>
      </c>
      <c r="O122">
        <f>IF(I122&lt;&gt;"",I122,訓練データ!$O$19)</f>
        <v>15.75</v>
      </c>
      <c r="P122">
        <f>IF(E122&lt;&gt;"",E122,訓練データ!$O$18)</f>
        <v>12</v>
      </c>
      <c r="R122">
        <f t="shared" si="8"/>
        <v>1</v>
      </c>
      <c r="S122">
        <f t="shared" si="9"/>
        <v>0</v>
      </c>
      <c r="T122">
        <f t="shared" si="9"/>
        <v>1</v>
      </c>
      <c r="U122">
        <f t="shared" si="9"/>
        <v>0</v>
      </c>
      <c r="V122">
        <f t="shared" si="10"/>
        <v>1</v>
      </c>
      <c r="W122">
        <f t="shared" si="10"/>
        <v>0</v>
      </c>
      <c r="X122">
        <f t="shared" si="10"/>
        <v>0</v>
      </c>
    </row>
    <row r="123" spans="1:24" x14ac:dyDescent="0.4">
      <c r="A123">
        <v>1013</v>
      </c>
      <c r="B123">
        <v>3</v>
      </c>
      <c r="C123" t="s">
        <v>1956</v>
      </c>
      <c r="D123" t="s">
        <v>13</v>
      </c>
      <c r="F123">
        <v>1</v>
      </c>
      <c r="G123">
        <v>0</v>
      </c>
      <c r="H123" t="s">
        <v>1957</v>
      </c>
      <c r="I123">
        <v>7.75</v>
      </c>
      <c r="J123" t="s">
        <v>15</v>
      </c>
      <c r="K123" t="s">
        <v>31</v>
      </c>
      <c r="O123">
        <f>IF(I123&lt;&gt;"",I123,訓練データ!$O$19)</f>
        <v>7.75</v>
      </c>
      <c r="P123">
        <f>IF(E123&lt;&gt;"",E123,訓練データ!$O$18)</f>
        <v>28</v>
      </c>
      <c r="R123">
        <f t="shared" si="8"/>
        <v>0</v>
      </c>
      <c r="S123">
        <f t="shared" si="9"/>
        <v>0</v>
      </c>
      <c r="T123">
        <f t="shared" si="9"/>
        <v>0</v>
      </c>
      <c r="U123">
        <f t="shared" si="9"/>
        <v>1</v>
      </c>
      <c r="V123">
        <f t="shared" si="10"/>
        <v>0</v>
      </c>
      <c r="W123">
        <f t="shared" si="10"/>
        <v>1</v>
      </c>
      <c r="X123">
        <f t="shared" si="10"/>
        <v>0</v>
      </c>
    </row>
    <row r="124" spans="1:24" x14ac:dyDescent="0.4">
      <c r="A124">
        <v>1014</v>
      </c>
      <c r="B124">
        <v>1</v>
      </c>
      <c r="C124" t="s">
        <v>1958</v>
      </c>
      <c r="D124" t="s">
        <v>18</v>
      </c>
      <c r="E124">
        <v>35</v>
      </c>
      <c r="F124">
        <v>1</v>
      </c>
      <c r="G124">
        <v>0</v>
      </c>
      <c r="H124" t="s">
        <v>1798</v>
      </c>
      <c r="I124">
        <v>57.75</v>
      </c>
      <c r="J124" t="s">
        <v>1959</v>
      </c>
      <c r="K124" t="s">
        <v>21</v>
      </c>
      <c r="O124">
        <f>IF(I124&lt;&gt;"",I124,訓練データ!$O$19)</f>
        <v>57.75</v>
      </c>
      <c r="P124">
        <f>IF(E124&lt;&gt;"",E124,訓練データ!$O$18)</f>
        <v>35</v>
      </c>
      <c r="R124">
        <f t="shared" si="8"/>
        <v>1</v>
      </c>
      <c r="S124">
        <f t="shared" si="9"/>
        <v>1</v>
      </c>
      <c r="T124">
        <f t="shared" si="9"/>
        <v>0</v>
      </c>
      <c r="U124">
        <f t="shared" si="9"/>
        <v>0</v>
      </c>
      <c r="V124">
        <f t="shared" si="10"/>
        <v>0</v>
      </c>
      <c r="W124">
        <f t="shared" si="10"/>
        <v>0</v>
      </c>
      <c r="X124">
        <f t="shared" si="10"/>
        <v>1</v>
      </c>
    </row>
    <row r="125" spans="1:24" x14ac:dyDescent="0.4">
      <c r="A125">
        <v>1015</v>
      </c>
      <c r="B125">
        <v>3</v>
      </c>
      <c r="C125" t="s">
        <v>1960</v>
      </c>
      <c r="D125" t="s">
        <v>13</v>
      </c>
      <c r="E125">
        <v>28</v>
      </c>
      <c r="F125">
        <v>0</v>
      </c>
      <c r="G125">
        <v>0</v>
      </c>
      <c r="H125" t="s">
        <v>1961</v>
      </c>
      <c r="I125">
        <v>7.25</v>
      </c>
      <c r="J125" t="s">
        <v>15</v>
      </c>
      <c r="K125" t="s">
        <v>16</v>
      </c>
      <c r="O125">
        <f>IF(I125&lt;&gt;"",I125,訓練データ!$O$19)</f>
        <v>7.25</v>
      </c>
      <c r="P125">
        <f>IF(E125&lt;&gt;"",E125,訓練データ!$O$18)</f>
        <v>28</v>
      </c>
      <c r="R125">
        <f t="shared" si="8"/>
        <v>0</v>
      </c>
      <c r="S125">
        <f t="shared" si="9"/>
        <v>0</v>
      </c>
      <c r="T125">
        <f t="shared" si="9"/>
        <v>0</v>
      </c>
      <c r="U125">
        <f t="shared" si="9"/>
        <v>1</v>
      </c>
      <c r="V125">
        <f t="shared" si="10"/>
        <v>1</v>
      </c>
      <c r="W125">
        <f t="shared" si="10"/>
        <v>0</v>
      </c>
      <c r="X125">
        <f t="shared" si="10"/>
        <v>0</v>
      </c>
    </row>
    <row r="126" spans="1:24" x14ac:dyDescent="0.4">
      <c r="A126">
        <v>1016</v>
      </c>
      <c r="B126">
        <v>3</v>
      </c>
      <c r="C126" t="s">
        <v>1962</v>
      </c>
      <c r="D126" t="s">
        <v>13</v>
      </c>
      <c r="F126">
        <v>0</v>
      </c>
      <c r="G126">
        <v>0</v>
      </c>
      <c r="H126" t="s">
        <v>1963</v>
      </c>
      <c r="I126">
        <v>7.75</v>
      </c>
      <c r="J126" t="s">
        <v>15</v>
      </c>
      <c r="K126" t="s">
        <v>31</v>
      </c>
      <c r="O126">
        <f>IF(I126&lt;&gt;"",I126,訓練データ!$O$19)</f>
        <v>7.75</v>
      </c>
      <c r="P126">
        <f>IF(E126&lt;&gt;"",E126,訓練データ!$O$18)</f>
        <v>28</v>
      </c>
      <c r="R126">
        <f t="shared" si="8"/>
        <v>0</v>
      </c>
      <c r="S126">
        <f t="shared" si="9"/>
        <v>0</v>
      </c>
      <c r="T126">
        <f t="shared" si="9"/>
        <v>0</v>
      </c>
      <c r="U126">
        <f t="shared" si="9"/>
        <v>1</v>
      </c>
      <c r="V126">
        <f t="shared" si="10"/>
        <v>0</v>
      </c>
      <c r="W126">
        <f t="shared" si="10"/>
        <v>1</v>
      </c>
      <c r="X126">
        <f t="shared" si="10"/>
        <v>0</v>
      </c>
    </row>
    <row r="127" spans="1:24" x14ac:dyDescent="0.4">
      <c r="A127">
        <v>1017</v>
      </c>
      <c r="B127">
        <v>3</v>
      </c>
      <c r="C127" t="s">
        <v>1964</v>
      </c>
      <c r="D127" t="s">
        <v>18</v>
      </c>
      <c r="E127">
        <v>17</v>
      </c>
      <c r="F127">
        <v>0</v>
      </c>
      <c r="G127">
        <v>1</v>
      </c>
      <c r="H127" t="s">
        <v>356</v>
      </c>
      <c r="I127">
        <v>16.100000000000001</v>
      </c>
      <c r="J127" t="s">
        <v>15</v>
      </c>
      <c r="K127" t="s">
        <v>16</v>
      </c>
      <c r="O127">
        <f>IF(I127&lt;&gt;"",I127,訓練データ!$O$19)</f>
        <v>16.100000000000001</v>
      </c>
      <c r="P127">
        <f>IF(E127&lt;&gt;"",E127,訓練データ!$O$18)</f>
        <v>17</v>
      </c>
      <c r="R127">
        <f t="shared" si="8"/>
        <v>1</v>
      </c>
      <c r="S127">
        <f t="shared" si="9"/>
        <v>0</v>
      </c>
      <c r="T127">
        <f t="shared" si="9"/>
        <v>0</v>
      </c>
      <c r="U127">
        <f t="shared" si="9"/>
        <v>1</v>
      </c>
      <c r="V127">
        <f t="shared" si="10"/>
        <v>1</v>
      </c>
      <c r="W127">
        <f t="shared" si="10"/>
        <v>0</v>
      </c>
      <c r="X127">
        <f t="shared" si="10"/>
        <v>0</v>
      </c>
    </row>
    <row r="128" spans="1:24" x14ac:dyDescent="0.4">
      <c r="A128">
        <v>1018</v>
      </c>
      <c r="B128">
        <v>3</v>
      </c>
      <c r="C128" t="s">
        <v>1965</v>
      </c>
      <c r="D128" t="s">
        <v>13</v>
      </c>
      <c r="E128">
        <v>22</v>
      </c>
      <c r="F128">
        <v>0</v>
      </c>
      <c r="G128">
        <v>0</v>
      </c>
      <c r="H128" t="s">
        <v>1966</v>
      </c>
      <c r="I128">
        <v>7.7957999999999998</v>
      </c>
      <c r="J128" t="s">
        <v>15</v>
      </c>
      <c r="K128" t="s">
        <v>16</v>
      </c>
      <c r="O128">
        <f>IF(I128&lt;&gt;"",I128,訓練データ!$O$19)</f>
        <v>7.7957999999999998</v>
      </c>
      <c r="P128">
        <f>IF(E128&lt;&gt;"",E128,訓練データ!$O$18)</f>
        <v>22</v>
      </c>
      <c r="R128">
        <f t="shared" si="8"/>
        <v>0</v>
      </c>
      <c r="S128">
        <f t="shared" si="9"/>
        <v>0</v>
      </c>
      <c r="T128">
        <f t="shared" si="9"/>
        <v>0</v>
      </c>
      <c r="U128">
        <f t="shared" si="9"/>
        <v>1</v>
      </c>
      <c r="V128">
        <f t="shared" si="10"/>
        <v>1</v>
      </c>
      <c r="W128">
        <f t="shared" si="10"/>
        <v>0</v>
      </c>
      <c r="X128">
        <f t="shared" si="10"/>
        <v>0</v>
      </c>
    </row>
    <row r="129" spans="1:24" x14ac:dyDescent="0.4">
      <c r="A129">
        <v>1019</v>
      </c>
      <c r="B129">
        <v>3</v>
      </c>
      <c r="C129" t="s">
        <v>1967</v>
      </c>
      <c r="D129" t="s">
        <v>18</v>
      </c>
      <c r="F129">
        <v>2</v>
      </c>
      <c r="G129">
        <v>0</v>
      </c>
      <c r="H129" t="s">
        <v>644</v>
      </c>
      <c r="I129">
        <v>23.25</v>
      </c>
      <c r="J129" t="s">
        <v>15</v>
      </c>
      <c r="K129" t="s">
        <v>31</v>
      </c>
      <c r="O129">
        <f>IF(I129&lt;&gt;"",I129,訓練データ!$O$19)</f>
        <v>23.25</v>
      </c>
      <c r="P129">
        <f>IF(E129&lt;&gt;"",E129,訓練データ!$O$18)</f>
        <v>28</v>
      </c>
      <c r="R129">
        <f t="shared" si="8"/>
        <v>1</v>
      </c>
      <c r="S129">
        <f t="shared" si="9"/>
        <v>0</v>
      </c>
      <c r="T129">
        <f t="shared" si="9"/>
        <v>0</v>
      </c>
      <c r="U129">
        <f t="shared" si="9"/>
        <v>1</v>
      </c>
      <c r="V129">
        <f t="shared" si="10"/>
        <v>0</v>
      </c>
      <c r="W129">
        <f t="shared" si="10"/>
        <v>1</v>
      </c>
      <c r="X129">
        <f t="shared" si="10"/>
        <v>0</v>
      </c>
    </row>
    <row r="130" spans="1:24" x14ac:dyDescent="0.4">
      <c r="A130">
        <v>1020</v>
      </c>
      <c r="B130">
        <v>2</v>
      </c>
      <c r="C130" t="s">
        <v>1968</v>
      </c>
      <c r="D130" t="s">
        <v>13</v>
      </c>
      <c r="E130">
        <v>42</v>
      </c>
      <c r="F130">
        <v>0</v>
      </c>
      <c r="G130">
        <v>0</v>
      </c>
      <c r="H130" t="s">
        <v>1969</v>
      </c>
      <c r="I130">
        <v>13</v>
      </c>
      <c r="J130" t="s">
        <v>15</v>
      </c>
      <c r="K130" t="s">
        <v>16</v>
      </c>
      <c r="O130">
        <f>IF(I130&lt;&gt;"",I130,訓練データ!$O$19)</f>
        <v>13</v>
      </c>
      <c r="P130">
        <f>IF(E130&lt;&gt;"",E130,訓練データ!$O$18)</f>
        <v>42</v>
      </c>
      <c r="R130">
        <f t="shared" ref="R130:R193" si="11">IF(D130="male",0,1)</f>
        <v>0</v>
      </c>
      <c r="S130">
        <f t="shared" si="9"/>
        <v>0</v>
      </c>
      <c r="T130">
        <f t="shared" si="9"/>
        <v>1</v>
      </c>
      <c r="U130">
        <f t="shared" si="9"/>
        <v>0</v>
      </c>
      <c r="V130">
        <f t="shared" si="10"/>
        <v>1</v>
      </c>
      <c r="W130">
        <f t="shared" si="10"/>
        <v>0</v>
      </c>
      <c r="X130">
        <f t="shared" si="10"/>
        <v>0</v>
      </c>
    </row>
    <row r="131" spans="1:24" x14ac:dyDescent="0.4">
      <c r="A131">
        <v>1021</v>
      </c>
      <c r="B131">
        <v>3</v>
      </c>
      <c r="C131" t="s">
        <v>1970</v>
      </c>
      <c r="D131" t="s">
        <v>13</v>
      </c>
      <c r="E131">
        <v>24</v>
      </c>
      <c r="F131">
        <v>0</v>
      </c>
      <c r="G131">
        <v>0</v>
      </c>
      <c r="H131" t="s">
        <v>1971</v>
      </c>
      <c r="I131">
        <v>8.0500000000000007</v>
      </c>
      <c r="J131" t="s">
        <v>15</v>
      </c>
      <c r="K131" t="s">
        <v>16</v>
      </c>
      <c r="O131">
        <f>IF(I131&lt;&gt;"",I131,訓練データ!$O$19)</f>
        <v>8.0500000000000007</v>
      </c>
      <c r="P131">
        <f>IF(E131&lt;&gt;"",E131,訓練データ!$O$18)</f>
        <v>24</v>
      </c>
      <c r="R131">
        <f t="shared" si="11"/>
        <v>0</v>
      </c>
      <c r="S131">
        <f t="shared" ref="S131:U194" si="12">IF("Pclass_"&amp;$B131=S$1,1,0)</f>
        <v>0</v>
      </c>
      <c r="T131">
        <f t="shared" si="12"/>
        <v>0</v>
      </c>
      <c r="U131">
        <f t="shared" si="12"/>
        <v>1</v>
      </c>
      <c r="V131">
        <f t="shared" ref="V131:X194" si="13">IF($K131=RIGHT(V$1,1),1,0)</f>
        <v>1</v>
      </c>
      <c r="W131">
        <f t="shared" si="13"/>
        <v>0</v>
      </c>
      <c r="X131">
        <f t="shared" si="13"/>
        <v>0</v>
      </c>
    </row>
    <row r="132" spans="1:24" x14ac:dyDescent="0.4">
      <c r="A132">
        <v>1022</v>
      </c>
      <c r="B132">
        <v>3</v>
      </c>
      <c r="C132" t="s">
        <v>1972</v>
      </c>
      <c r="D132" t="s">
        <v>13</v>
      </c>
      <c r="E132">
        <v>32</v>
      </c>
      <c r="F132">
        <v>0</v>
      </c>
      <c r="G132">
        <v>0</v>
      </c>
      <c r="H132" t="s">
        <v>1973</v>
      </c>
      <c r="I132">
        <v>8.0500000000000007</v>
      </c>
      <c r="J132" t="s">
        <v>15</v>
      </c>
      <c r="K132" t="s">
        <v>16</v>
      </c>
      <c r="O132">
        <f>IF(I132&lt;&gt;"",I132,訓練データ!$O$19)</f>
        <v>8.0500000000000007</v>
      </c>
      <c r="P132">
        <f>IF(E132&lt;&gt;"",E132,訓練データ!$O$18)</f>
        <v>32</v>
      </c>
      <c r="R132">
        <f t="shared" si="11"/>
        <v>0</v>
      </c>
      <c r="S132">
        <f t="shared" si="12"/>
        <v>0</v>
      </c>
      <c r="T132">
        <f t="shared" si="12"/>
        <v>0</v>
      </c>
      <c r="U132">
        <f t="shared" si="12"/>
        <v>1</v>
      </c>
      <c r="V132">
        <f t="shared" si="13"/>
        <v>1</v>
      </c>
      <c r="W132">
        <f t="shared" si="13"/>
        <v>0</v>
      </c>
      <c r="X132">
        <f t="shared" si="13"/>
        <v>0</v>
      </c>
    </row>
    <row r="133" spans="1:24" x14ac:dyDescent="0.4">
      <c r="A133">
        <v>1023</v>
      </c>
      <c r="B133">
        <v>1</v>
      </c>
      <c r="C133" t="s">
        <v>1974</v>
      </c>
      <c r="D133" t="s">
        <v>13</v>
      </c>
      <c r="E133">
        <v>53</v>
      </c>
      <c r="F133">
        <v>0</v>
      </c>
      <c r="G133">
        <v>0</v>
      </c>
      <c r="H133" t="s">
        <v>1975</v>
      </c>
      <c r="I133">
        <v>28.5</v>
      </c>
      <c r="J133" t="s">
        <v>1976</v>
      </c>
      <c r="K133" t="s">
        <v>21</v>
      </c>
      <c r="O133">
        <f>IF(I133&lt;&gt;"",I133,訓練データ!$O$19)</f>
        <v>28.5</v>
      </c>
      <c r="P133">
        <f>IF(E133&lt;&gt;"",E133,訓練データ!$O$18)</f>
        <v>53</v>
      </c>
      <c r="R133">
        <f t="shared" si="11"/>
        <v>0</v>
      </c>
      <c r="S133">
        <f t="shared" si="12"/>
        <v>1</v>
      </c>
      <c r="T133">
        <f t="shared" si="12"/>
        <v>0</v>
      </c>
      <c r="U133">
        <f t="shared" si="12"/>
        <v>0</v>
      </c>
      <c r="V133">
        <f t="shared" si="13"/>
        <v>0</v>
      </c>
      <c r="W133">
        <f t="shared" si="13"/>
        <v>0</v>
      </c>
      <c r="X133">
        <f t="shared" si="13"/>
        <v>1</v>
      </c>
    </row>
    <row r="134" spans="1:24" x14ac:dyDescent="0.4">
      <c r="A134">
        <v>1024</v>
      </c>
      <c r="B134">
        <v>3</v>
      </c>
      <c r="C134" t="s">
        <v>1977</v>
      </c>
      <c r="D134" t="s">
        <v>18</v>
      </c>
      <c r="F134">
        <v>0</v>
      </c>
      <c r="G134">
        <v>4</v>
      </c>
      <c r="H134" t="s">
        <v>386</v>
      </c>
      <c r="I134">
        <v>25.466699999999999</v>
      </c>
      <c r="J134" t="s">
        <v>15</v>
      </c>
      <c r="K134" t="s">
        <v>16</v>
      </c>
      <c r="O134">
        <f>IF(I134&lt;&gt;"",I134,訓練データ!$O$19)</f>
        <v>25.466699999999999</v>
      </c>
      <c r="P134">
        <f>IF(E134&lt;&gt;"",E134,訓練データ!$O$18)</f>
        <v>28</v>
      </c>
      <c r="R134">
        <f t="shared" si="11"/>
        <v>1</v>
      </c>
      <c r="S134">
        <f t="shared" si="12"/>
        <v>0</v>
      </c>
      <c r="T134">
        <f t="shared" si="12"/>
        <v>0</v>
      </c>
      <c r="U134">
        <f t="shared" si="12"/>
        <v>1</v>
      </c>
      <c r="V134">
        <f t="shared" si="13"/>
        <v>1</v>
      </c>
      <c r="W134">
        <f t="shared" si="13"/>
        <v>0</v>
      </c>
      <c r="X134">
        <f t="shared" si="13"/>
        <v>0</v>
      </c>
    </row>
    <row r="135" spans="1:24" x14ac:dyDescent="0.4">
      <c r="A135">
        <v>1025</v>
      </c>
      <c r="B135">
        <v>3</v>
      </c>
      <c r="C135" t="s">
        <v>1978</v>
      </c>
      <c r="D135" t="s">
        <v>13</v>
      </c>
      <c r="F135">
        <v>1</v>
      </c>
      <c r="G135">
        <v>0</v>
      </c>
      <c r="H135" t="s">
        <v>1979</v>
      </c>
      <c r="I135">
        <v>6.4375</v>
      </c>
      <c r="J135" t="s">
        <v>15</v>
      </c>
      <c r="K135" t="s">
        <v>21</v>
      </c>
      <c r="O135">
        <f>IF(I135&lt;&gt;"",I135,訓練データ!$O$19)</f>
        <v>6.4375</v>
      </c>
      <c r="P135">
        <f>IF(E135&lt;&gt;"",E135,訓練データ!$O$18)</f>
        <v>28</v>
      </c>
      <c r="R135">
        <f t="shared" si="11"/>
        <v>0</v>
      </c>
      <c r="S135">
        <f t="shared" si="12"/>
        <v>0</v>
      </c>
      <c r="T135">
        <f t="shared" si="12"/>
        <v>0</v>
      </c>
      <c r="U135">
        <f t="shared" si="12"/>
        <v>1</v>
      </c>
      <c r="V135">
        <f t="shared" si="13"/>
        <v>0</v>
      </c>
      <c r="W135">
        <f t="shared" si="13"/>
        <v>0</v>
      </c>
      <c r="X135">
        <f t="shared" si="13"/>
        <v>1</v>
      </c>
    </row>
    <row r="136" spans="1:24" x14ac:dyDescent="0.4">
      <c r="A136">
        <v>1026</v>
      </c>
      <c r="B136">
        <v>3</v>
      </c>
      <c r="C136" t="s">
        <v>1980</v>
      </c>
      <c r="D136" t="s">
        <v>13</v>
      </c>
      <c r="E136">
        <v>43</v>
      </c>
      <c r="F136">
        <v>0</v>
      </c>
      <c r="G136">
        <v>0</v>
      </c>
      <c r="H136" t="s">
        <v>1981</v>
      </c>
      <c r="I136">
        <v>7.8958000000000004</v>
      </c>
      <c r="J136" t="s">
        <v>15</v>
      </c>
      <c r="K136" t="s">
        <v>16</v>
      </c>
      <c r="O136">
        <f>IF(I136&lt;&gt;"",I136,訓練データ!$O$19)</f>
        <v>7.8958000000000004</v>
      </c>
      <c r="P136">
        <f>IF(E136&lt;&gt;"",E136,訓練データ!$O$18)</f>
        <v>43</v>
      </c>
      <c r="R136">
        <f t="shared" si="11"/>
        <v>0</v>
      </c>
      <c r="S136">
        <f t="shared" si="12"/>
        <v>0</v>
      </c>
      <c r="T136">
        <f t="shared" si="12"/>
        <v>0</v>
      </c>
      <c r="U136">
        <f t="shared" si="12"/>
        <v>1</v>
      </c>
      <c r="V136">
        <f t="shared" si="13"/>
        <v>1</v>
      </c>
      <c r="W136">
        <f t="shared" si="13"/>
        <v>0</v>
      </c>
      <c r="X136">
        <f t="shared" si="13"/>
        <v>0</v>
      </c>
    </row>
    <row r="137" spans="1:24" x14ac:dyDescent="0.4">
      <c r="A137">
        <v>1027</v>
      </c>
      <c r="B137">
        <v>3</v>
      </c>
      <c r="C137" t="s">
        <v>1982</v>
      </c>
      <c r="D137" t="s">
        <v>13</v>
      </c>
      <c r="E137">
        <v>24</v>
      </c>
      <c r="F137">
        <v>0</v>
      </c>
      <c r="G137">
        <v>0</v>
      </c>
      <c r="H137" t="s">
        <v>1983</v>
      </c>
      <c r="I137">
        <v>7.8541999999999996</v>
      </c>
      <c r="J137" t="s">
        <v>15</v>
      </c>
      <c r="K137" t="s">
        <v>16</v>
      </c>
      <c r="O137">
        <f>IF(I137&lt;&gt;"",I137,訓練データ!$O$19)</f>
        <v>7.8541999999999996</v>
      </c>
      <c r="P137">
        <f>IF(E137&lt;&gt;"",E137,訓練データ!$O$18)</f>
        <v>24</v>
      </c>
      <c r="R137">
        <f t="shared" si="11"/>
        <v>0</v>
      </c>
      <c r="S137">
        <f t="shared" si="12"/>
        <v>0</v>
      </c>
      <c r="T137">
        <f t="shared" si="12"/>
        <v>0</v>
      </c>
      <c r="U137">
        <f t="shared" si="12"/>
        <v>1</v>
      </c>
      <c r="V137">
        <f t="shared" si="13"/>
        <v>1</v>
      </c>
      <c r="W137">
        <f t="shared" si="13"/>
        <v>0</v>
      </c>
      <c r="X137">
        <f t="shared" si="13"/>
        <v>0</v>
      </c>
    </row>
    <row r="138" spans="1:24" x14ac:dyDescent="0.4">
      <c r="A138">
        <v>1028</v>
      </c>
      <c r="B138">
        <v>3</v>
      </c>
      <c r="C138" t="s">
        <v>1984</v>
      </c>
      <c r="D138" t="s">
        <v>13</v>
      </c>
      <c r="E138">
        <v>26.5</v>
      </c>
      <c r="F138">
        <v>0</v>
      </c>
      <c r="G138">
        <v>0</v>
      </c>
      <c r="H138" t="s">
        <v>1985</v>
      </c>
      <c r="I138">
        <v>7.2249999999999996</v>
      </c>
      <c r="J138" t="s">
        <v>15</v>
      </c>
      <c r="K138" t="s">
        <v>21</v>
      </c>
      <c r="O138">
        <f>IF(I138&lt;&gt;"",I138,訓練データ!$O$19)</f>
        <v>7.2249999999999996</v>
      </c>
      <c r="P138">
        <f>IF(E138&lt;&gt;"",E138,訓練データ!$O$18)</f>
        <v>26.5</v>
      </c>
      <c r="R138">
        <f t="shared" si="11"/>
        <v>0</v>
      </c>
      <c r="S138">
        <f t="shared" si="12"/>
        <v>0</v>
      </c>
      <c r="T138">
        <f t="shared" si="12"/>
        <v>0</v>
      </c>
      <c r="U138">
        <f t="shared" si="12"/>
        <v>1</v>
      </c>
      <c r="V138">
        <f t="shared" si="13"/>
        <v>0</v>
      </c>
      <c r="W138">
        <f t="shared" si="13"/>
        <v>0</v>
      </c>
      <c r="X138">
        <f t="shared" si="13"/>
        <v>1</v>
      </c>
    </row>
    <row r="139" spans="1:24" x14ac:dyDescent="0.4">
      <c r="A139">
        <v>1029</v>
      </c>
      <c r="B139">
        <v>2</v>
      </c>
      <c r="C139" t="s">
        <v>1986</v>
      </c>
      <c r="D139" t="s">
        <v>13</v>
      </c>
      <c r="E139">
        <v>26</v>
      </c>
      <c r="F139">
        <v>0</v>
      </c>
      <c r="G139">
        <v>0</v>
      </c>
      <c r="H139" t="s">
        <v>1987</v>
      </c>
      <c r="I139">
        <v>13</v>
      </c>
      <c r="J139" t="s">
        <v>15</v>
      </c>
      <c r="K139" t="s">
        <v>16</v>
      </c>
      <c r="O139">
        <f>IF(I139&lt;&gt;"",I139,訓練データ!$O$19)</f>
        <v>13</v>
      </c>
      <c r="P139">
        <f>IF(E139&lt;&gt;"",E139,訓練データ!$O$18)</f>
        <v>26</v>
      </c>
      <c r="R139">
        <f t="shared" si="11"/>
        <v>0</v>
      </c>
      <c r="S139">
        <f t="shared" si="12"/>
        <v>0</v>
      </c>
      <c r="T139">
        <f t="shared" si="12"/>
        <v>1</v>
      </c>
      <c r="U139">
        <f t="shared" si="12"/>
        <v>0</v>
      </c>
      <c r="V139">
        <f t="shared" si="13"/>
        <v>1</v>
      </c>
      <c r="W139">
        <f t="shared" si="13"/>
        <v>0</v>
      </c>
      <c r="X139">
        <f t="shared" si="13"/>
        <v>0</v>
      </c>
    </row>
    <row r="140" spans="1:24" x14ac:dyDescent="0.4">
      <c r="A140">
        <v>1030</v>
      </c>
      <c r="B140">
        <v>3</v>
      </c>
      <c r="C140" t="s">
        <v>1988</v>
      </c>
      <c r="D140" t="s">
        <v>18</v>
      </c>
      <c r="E140">
        <v>23</v>
      </c>
      <c r="F140">
        <v>0</v>
      </c>
      <c r="G140">
        <v>0</v>
      </c>
      <c r="H140" t="s">
        <v>1989</v>
      </c>
      <c r="I140">
        <v>8.0500000000000007</v>
      </c>
      <c r="J140" t="s">
        <v>15</v>
      </c>
      <c r="K140" t="s">
        <v>16</v>
      </c>
      <c r="O140">
        <f>IF(I140&lt;&gt;"",I140,訓練データ!$O$19)</f>
        <v>8.0500000000000007</v>
      </c>
      <c r="P140">
        <f>IF(E140&lt;&gt;"",E140,訓練データ!$O$18)</f>
        <v>23</v>
      </c>
      <c r="R140">
        <f t="shared" si="11"/>
        <v>1</v>
      </c>
      <c r="S140">
        <f t="shared" si="12"/>
        <v>0</v>
      </c>
      <c r="T140">
        <f t="shared" si="12"/>
        <v>0</v>
      </c>
      <c r="U140">
        <f t="shared" si="12"/>
        <v>1</v>
      </c>
      <c r="V140">
        <f t="shared" si="13"/>
        <v>1</v>
      </c>
      <c r="W140">
        <f t="shared" si="13"/>
        <v>0</v>
      </c>
      <c r="X140">
        <f t="shared" si="13"/>
        <v>0</v>
      </c>
    </row>
    <row r="141" spans="1:24" x14ac:dyDescent="0.4">
      <c r="A141">
        <v>1031</v>
      </c>
      <c r="B141">
        <v>3</v>
      </c>
      <c r="C141" t="s">
        <v>1990</v>
      </c>
      <c r="D141" t="s">
        <v>13</v>
      </c>
      <c r="E141">
        <v>40</v>
      </c>
      <c r="F141">
        <v>1</v>
      </c>
      <c r="G141">
        <v>6</v>
      </c>
      <c r="H141" t="s">
        <v>148</v>
      </c>
      <c r="I141">
        <v>46.9</v>
      </c>
      <c r="J141" t="s">
        <v>15</v>
      </c>
      <c r="K141" t="s">
        <v>16</v>
      </c>
      <c r="O141">
        <f>IF(I141&lt;&gt;"",I141,訓練データ!$O$19)</f>
        <v>46.9</v>
      </c>
      <c r="P141">
        <f>IF(E141&lt;&gt;"",E141,訓練データ!$O$18)</f>
        <v>40</v>
      </c>
      <c r="R141">
        <f t="shared" si="11"/>
        <v>0</v>
      </c>
      <c r="S141">
        <f t="shared" si="12"/>
        <v>0</v>
      </c>
      <c r="T141">
        <f t="shared" si="12"/>
        <v>0</v>
      </c>
      <c r="U141">
        <f t="shared" si="12"/>
        <v>1</v>
      </c>
      <c r="V141">
        <f t="shared" si="13"/>
        <v>1</v>
      </c>
      <c r="W141">
        <f t="shared" si="13"/>
        <v>0</v>
      </c>
      <c r="X141">
        <f t="shared" si="13"/>
        <v>0</v>
      </c>
    </row>
    <row r="142" spans="1:24" x14ac:dyDescent="0.4">
      <c r="A142">
        <v>1032</v>
      </c>
      <c r="B142">
        <v>3</v>
      </c>
      <c r="C142" t="s">
        <v>1991</v>
      </c>
      <c r="D142" t="s">
        <v>18</v>
      </c>
      <c r="E142">
        <v>10</v>
      </c>
      <c r="F142">
        <v>5</v>
      </c>
      <c r="G142">
        <v>2</v>
      </c>
      <c r="H142" t="s">
        <v>148</v>
      </c>
      <c r="I142">
        <v>46.9</v>
      </c>
      <c r="J142" t="s">
        <v>15</v>
      </c>
      <c r="K142" t="s">
        <v>16</v>
      </c>
      <c r="O142">
        <f>IF(I142&lt;&gt;"",I142,訓練データ!$O$19)</f>
        <v>46.9</v>
      </c>
      <c r="P142">
        <f>IF(E142&lt;&gt;"",E142,訓練データ!$O$18)</f>
        <v>10</v>
      </c>
      <c r="R142">
        <f t="shared" si="11"/>
        <v>1</v>
      </c>
      <c r="S142">
        <f t="shared" si="12"/>
        <v>0</v>
      </c>
      <c r="T142">
        <f t="shared" si="12"/>
        <v>0</v>
      </c>
      <c r="U142">
        <f t="shared" si="12"/>
        <v>1</v>
      </c>
      <c r="V142">
        <f t="shared" si="13"/>
        <v>1</v>
      </c>
      <c r="W142">
        <f t="shared" si="13"/>
        <v>0</v>
      </c>
      <c r="X142">
        <f t="shared" si="13"/>
        <v>0</v>
      </c>
    </row>
    <row r="143" spans="1:24" x14ac:dyDescent="0.4">
      <c r="A143">
        <v>1033</v>
      </c>
      <c r="B143">
        <v>1</v>
      </c>
      <c r="C143" t="s">
        <v>1992</v>
      </c>
      <c r="D143" t="s">
        <v>18</v>
      </c>
      <c r="E143">
        <v>33</v>
      </c>
      <c r="F143">
        <v>0</v>
      </c>
      <c r="G143">
        <v>0</v>
      </c>
      <c r="H143" t="s">
        <v>635</v>
      </c>
      <c r="I143">
        <v>151.55000000000001</v>
      </c>
      <c r="J143" t="s">
        <v>15</v>
      </c>
      <c r="K143" t="s">
        <v>16</v>
      </c>
      <c r="O143">
        <f>IF(I143&lt;&gt;"",I143,訓練データ!$O$19)</f>
        <v>151.55000000000001</v>
      </c>
      <c r="P143">
        <f>IF(E143&lt;&gt;"",E143,訓練データ!$O$18)</f>
        <v>33</v>
      </c>
      <c r="R143">
        <f t="shared" si="11"/>
        <v>1</v>
      </c>
      <c r="S143">
        <f t="shared" si="12"/>
        <v>1</v>
      </c>
      <c r="T143">
        <f t="shared" si="12"/>
        <v>0</v>
      </c>
      <c r="U143">
        <f t="shared" si="12"/>
        <v>0</v>
      </c>
      <c r="V143">
        <f t="shared" si="13"/>
        <v>1</v>
      </c>
      <c r="W143">
        <f t="shared" si="13"/>
        <v>0</v>
      </c>
      <c r="X143">
        <f t="shared" si="13"/>
        <v>0</v>
      </c>
    </row>
    <row r="144" spans="1:24" x14ac:dyDescent="0.4">
      <c r="A144">
        <v>1034</v>
      </c>
      <c r="B144">
        <v>1</v>
      </c>
      <c r="C144" t="s">
        <v>1993</v>
      </c>
      <c r="D144" t="s">
        <v>13</v>
      </c>
      <c r="E144">
        <v>61</v>
      </c>
      <c r="F144">
        <v>1</v>
      </c>
      <c r="G144">
        <v>3</v>
      </c>
      <c r="H144" t="s">
        <v>665</v>
      </c>
      <c r="I144">
        <v>262.375</v>
      </c>
      <c r="J144" t="s">
        <v>666</v>
      </c>
      <c r="K144" t="s">
        <v>21</v>
      </c>
      <c r="O144">
        <f>IF(I144&lt;&gt;"",I144,訓練データ!$O$19)</f>
        <v>262.375</v>
      </c>
      <c r="P144">
        <f>IF(E144&lt;&gt;"",E144,訓練データ!$O$18)</f>
        <v>61</v>
      </c>
      <c r="R144">
        <f t="shared" si="11"/>
        <v>0</v>
      </c>
      <c r="S144">
        <f t="shared" si="12"/>
        <v>1</v>
      </c>
      <c r="T144">
        <f t="shared" si="12"/>
        <v>0</v>
      </c>
      <c r="U144">
        <f t="shared" si="12"/>
        <v>0</v>
      </c>
      <c r="V144">
        <f t="shared" si="13"/>
        <v>0</v>
      </c>
      <c r="W144">
        <f t="shared" si="13"/>
        <v>0</v>
      </c>
      <c r="X144">
        <f t="shared" si="13"/>
        <v>1</v>
      </c>
    </row>
    <row r="145" spans="1:24" x14ac:dyDescent="0.4">
      <c r="A145">
        <v>1035</v>
      </c>
      <c r="B145">
        <v>2</v>
      </c>
      <c r="C145" t="s">
        <v>1994</v>
      </c>
      <c r="D145" t="s">
        <v>13</v>
      </c>
      <c r="E145">
        <v>28</v>
      </c>
      <c r="F145">
        <v>0</v>
      </c>
      <c r="G145">
        <v>0</v>
      </c>
      <c r="H145" t="s">
        <v>1122</v>
      </c>
      <c r="I145">
        <v>26</v>
      </c>
      <c r="J145" t="s">
        <v>15</v>
      </c>
      <c r="K145" t="s">
        <v>16</v>
      </c>
      <c r="O145">
        <f>IF(I145&lt;&gt;"",I145,訓練データ!$O$19)</f>
        <v>26</v>
      </c>
      <c r="P145">
        <f>IF(E145&lt;&gt;"",E145,訓練データ!$O$18)</f>
        <v>28</v>
      </c>
      <c r="R145">
        <f t="shared" si="11"/>
        <v>0</v>
      </c>
      <c r="S145">
        <f t="shared" si="12"/>
        <v>0</v>
      </c>
      <c r="T145">
        <f t="shared" si="12"/>
        <v>1</v>
      </c>
      <c r="U145">
        <f t="shared" si="12"/>
        <v>0</v>
      </c>
      <c r="V145">
        <f t="shared" si="13"/>
        <v>1</v>
      </c>
      <c r="W145">
        <f t="shared" si="13"/>
        <v>0</v>
      </c>
      <c r="X145">
        <f t="shared" si="13"/>
        <v>0</v>
      </c>
    </row>
    <row r="146" spans="1:24" x14ac:dyDescent="0.4">
      <c r="A146">
        <v>1036</v>
      </c>
      <c r="B146">
        <v>1</v>
      </c>
      <c r="C146" t="s">
        <v>1995</v>
      </c>
      <c r="D146" t="s">
        <v>13</v>
      </c>
      <c r="E146">
        <v>42</v>
      </c>
      <c r="F146">
        <v>0</v>
      </c>
      <c r="G146">
        <v>0</v>
      </c>
      <c r="H146" t="s">
        <v>1996</v>
      </c>
      <c r="I146">
        <v>26.55</v>
      </c>
      <c r="J146" t="s">
        <v>15</v>
      </c>
      <c r="K146" t="s">
        <v>16</v>
      </c>
      <c r="O146">
        <f>IF(I146&lt;&gt;"",I146,訓練データ!$O$19)</f>
        <v>26.55</v>
      </c>
      <c r="P146">
        <f>IF(E146&lt;&gt;"",E146,訓練データ!$O$18)</f>
        <v>42</v>
      </c>
      <c r="R146">
        <f t="shared" si="11"/>
        <v>0</v>
      </c>
      <c r="S146">
        <f t="shared" si="12"/>
        <v>1</v>
      </c>
      <c r="T146">
        <f t="shared" si="12"/>
        <v>0</v>
      </c>
      <c r="U146">
        <f t="shared" si="12"/>
        <v>0</v>
      </c>
      <c r="V146">
        <f t="shared" si="13"/>
        <v>1</v>
      </c>
      <c r="W146">
        <f t="shared" si="13"/>
        <v>0</v>
      </c>
      <c r="X146">
        <f t="shared" si="13"/>
        <v>0</v>
      </c>
    </row>
    <row r="147" spans="1:24" x14ac:dyDescent="0.4">
      <c r="A147">
        <v>1037</v>
      </c>
      <c r="B147">
        <v>3</v>
      </c>
      <c r="C147" t="s">
        <v>1997</v>
      </c>
      <c r="D147" t="s">
        <v>13</v>
      </c>
      <c r="E147">
        <v>31</v>
      </c>
      <c r="F147">
        <v>3</v>
      </c>
      <c r="G147">
        <v>0</v>
      </c>
      <c r="H147" t="s">
        <v>60</v>
      </c>
      <c r="I147">
        <v>18</v>
      </c>
      <c r="J147" t="s">
        <v>15</v>
      </c>
      <c r="K147" t="s">
        <v>16</v>
      </c>
      <c r="O147">
        <f>IF(I147&lt;&gt;"",I147,訓練データ!$O$19)</f>
        <v>18</v>
      </c>
      <c r="P147">
        <f>IF(E147&lt;&gt;"",E147,訓練データ!$O$18)</f>
        <v>31</v>
      </c>
      <c r="R147">
        <f t="shared" si="11"/>
        <v>0</v>
      </c>
      <c r="S147">
        <f t="shared" si="12"/>
        <v>0</v>
      </c>
      <c r="T147">
        <f t="shared" si="12"/>
        <v>0</v>
      </c>
      <c r="U147">
        <f t="shared" si="12"/>
        <v>1</v>
      </c>
      <c r="V147">
        <f t="shared" si="13"/>
        <v>1</v>
      </c>
      <c r="W147">
        <f t="shared" si="13"/>
        <v>0</v>
      </c>
      <c r="X147">
        <f t="shared" si="13"/>
        <v>0</v>
      </c>
    </row>
    <row r="148" spans="1:24" x14ac:dyDescent="0.4">
      <c r="A148">
        <v>1038</v>
      </c>
      <c r="B148">
        <v>1</v>
      </c>
      <c r="C148" t="s">
        <v>1998</v>
      </c>
      <c r="D148" t="s">
        <v>13</v>
      </c>
      <c r="F148">
        <v>0</v>
      </c>
      <c r="G148">
        <v>0</v>
      </c>
      <c r="H148" t="s">
        <v>33</v>
      </c>
      <c r="I148">
        <v>51.862499999999997</v>
      </c>
      <c r="J148" t="s">
        <v>34</v>
      </c>
      <c r="K148" t="s">
        <v>16</v>
      </c>
      <c r="O148">
        <f>IF(I148&lt;&gt;"",I148,訓練データ!$O$19)</f>
        <v>51.862499999999997</v>
      </c>
      <c r="P148">
        <f>IF(E148&lt;&gt;"",E148,訓練データ!$O$18)</f>
        <v>28</v>
      </c>
      <c r="R148">
        <f t="shared" si="11"/>
        <v>0</v>
      </c>
      <c r="S148">
        <f t="shared" si="12"/>
        <v>1</v>
      </c>
      <c r="T148">
        <f t="shared" si="12"/>
        <v>0</v>
      </c>
      <c r="U148">
        <f t="shared" si="12"/>
        <v>0</v>
      </c>
      <c r="V148">
        <f t="shared" si="13"/>
        <v>1</v>
      </c>
      <c r="W148">
        <f t="shared" si="13"/>
        <v>0</v>
      </c>
      <c r="X148">
        <f t="shared" si="13"/>
        <v>0</v>
      </c>
    </row>
    <row r="149" spans="1:24" x14ac:dyDescent="0.4">
      <c r="A149">
        <v>1039</v>
      </c>
      <c r="B149">
        <v>3</v>
      </c>
      <c r="C149" t="s">
        <v>1999</v>
      </c>
      <c r="D149" t="s">
        <v>13</v>
      </c>
      <c r="E149">
        <v>22</v>
      </c>
      <c r="F149">
        <v>0</v>
      </c>
      <c r="G149">
        <v>0</v>
      </c>
      <c r="H149" t="s">
        <v>2000</v>
      </c>
      <c r="I149">
        <v>8.0500000000000007</v>
      </c>
      <c r="J149" t="s">
        <v>15</v>
      </c>
      <c r="K149" t="s">
        <v>16</v>
      </c>
      <c r="O149">
        <f>IF(I149&lt;&gt;"",I149,訓練データ!$O$19)</f>
        <v>8.0500000000000007</v>
      </c>
      <c r="P149">
        <f>IF(E149&lt;&gt;"",E149,訓練データ!$O$18)</f>
        <v>22</v>
      </c>
      <c r="R149">
        <f t="shared" si="11"/>
        <v>0</v>
      </c>
      <c r="S149">
        <f t="shared" si="12"/>
        <v>0</v>
      </c>
      <c r="T149">
        <f t="shared" si="12"/>
        <v>0</v>
      </c>
      <c r="U149">
        <f t="shared" si="12"/>
        <v>1</v>
      </c>
      <c r="V149">
        <f t="shared" si="13"/>
        <v>1</v>
      </c>
      <c r="W149">
        <f t="shared" si="13"/>
        <v>0</v>
      </c>
      <c r="X149">
        <f t="shared" si="13"/>
        <v>0</v>
      </c>
    </row>
    <row r="150" spans="1:24" x14ac:dyDescent="0.4">
      <c r="A150">
        <v>1040</v>
      </c>
      <c r="B150">
        <v>1</v>
      </c>
      <c r="C150" t="s">
        <v>2001</v>
      </c>
      <c r="D150" t="s">
        <v>13</v>
      </c>
      <c r="F150">
        <v>0</v>
      </c>
      <c r="G150">
        <v>0</v>
      </c>
      <c r="H150" t="s">
        <v>2002</v>
      </c>
      <c r="I150">
        <v>26.55</v>
      </c>
      <c r="J150" t="s">
        <v>15</v>
      </c>
      <c r="K150" t="s">
        <v>16</v>
      </c>
      <c r="O150">
        <f>IF(I150&lt;&gt;"",I150,訓練データ!$O$19)</f>
        <v>26.55</v>
      </c>
      <c r="P150">
        <f>IF(E150&lt;&gt;"",E150,訓練データ!$O$18)</f>
        <v>28</v>
      </c>
      <c r="R150">
        <f t="shared" si="11"/>
        <v>0</v>
      </c>
      <c r="S150">
        <f t="shared" si="12"/>
        <v>1</v>
      </c>
      <c r="T150">
        <f t="shared" si="12"/>
        <v>0</v>
      </c>
      <c r="U150">
        <f t="shared" si="12"/>
        <v>0</v>
      </c>
      <c r="V150">
        <f t="shared" si="13"/>
        <v>1</v>
      </c>
      <c r="W150">
        <f t="shared" si="13"/>
        <v>0</v>
      </c>
      <c r="X150">
        <f t="shared" si="13"/>
        <v>0</v>
      </c>
    </row>
    <row r="151" spans="1:24" x14ac:dyDescent="0.4">
      <c r="A151">
        <v>1041</v>
      </c>
      <c r="B151">
        <v>2</v>
      </c>
      <c r="C151" t="s">
        <v>2003</v>
      </c>
      <c r="D151" t="s">
        <v>13</v>
      </c>
      <c r="E151">
        <v>30</v>
      </c>
      <c r="F151">
        <v>1</v>
      </c>
      <c r="G151">
        <v>1</v>
      </c>
      <c r="H151" t="s">
        <v>668</v>
      </c>
      <c r="I151">
        <v>26</v>
      </c>
      <c r="J151" t="s">
        <v>15</v>
      </c>
      <c r="K151" t="s">
        <v>16</v>
      </c>
      <c r="O151">
        <f>IF(I151&lt;&gt;"",I151,訓練データ!$O$19)</f>
        <v>26</v>
      </c>
      <c r="P151">
        <f>IF(E151&lt;&gt;"",E151,訓練データ!$O$18)</f>
        <v>30</v>
      </c>
      <c r="R151">
        <f t="shared" si="11"/>
        <v>0</v>
      </c>
      <c r="S151">
        <f t="shared" si="12"/>
        <v>0</v>
      </c>
      <c r="T151">
        <f t="shared" si="12"/>
        <v>1</v>
      </c>
      <c r="U151">
        <f t="shared" si="12"/>
        <v>0</v>
      </c>
      <c r="V151">
        <f t="shared" si="13"/>
        <v>1</v>
      </c>
      <c r="W151">
        <f t="shared" si="13"/>
        <v>0</v>
      </c>
      <c r="X151">
        <f t="shared" si="13"/>
        <v>0</v>
      </c>
    </row>
    <row r="152" spans="1:24" x14ac:dyDescent="0.4">
      <c r="A152">
        <v>1042</v>
      </c>
      <c r="B152">
        <v>1</v>
      </c>
      <c r="C152" t="s">
        <v>2004</v>
      </c>
      <c r="D152" t="s">
        <v>18</v>
      </c>
      <c r="E152">
        <v>23</v>
      </c>
      <c r="F152">
        <v>0</v>
      </c>
      <c r="G152">
        <v>1</v>
      </c>
      <c r="H152" t="s">
        <v>662</v>
      </c>
      <c r="I152">
        <v>83.158299999999997</v>
      </c>
      <c r="J152" t="s">
        <v>663</v>
      </c>
      <c r="K152" t="s">
        <v>21</v>
      </c>
      <c r="O152">
        <f>IF(I152&lt;&gt;"",I152,訓練データ!$O$19)</f>
        <v>83.158299999999997</v>
      </c>
      <c r="P152">
        <f>IF(E152&lt;&gt;"",E152,訓練データ!$O$18)</f>
        <v>23</v>
      </c>
      <c r="R152">
        <f t="shared" si="11"/>
        <v>1</v>
      </c>
      <c r="S152">
        <f t="shared" si="12"/>
        <v>1</v>
      </c>
      <c r="T152">
        <f t="shared" si="12"/>
        <v>0</v>
      </c>
      <c r="U152">
        <f t="shared" si="12"/>
        <v>0</v>
      </c>
      <c r="V152">
        <f t="shared" si="13"/>
        <v>0</v>
      </c>
      <c r="W152">
        <f t="shared" si="13"/>
        <v>0</v>
      </c>
      <c r="X152">
        <f t="shared" si="13"/>
        <v>1</v>
      </c>
    </row>
    <row r="153" spans="1:24" x14ac:dyDescent="0.4">
      <c r="A153">
        <v>1043</v>
      </c>
      <c r="B153">
        <v>3</v>
      </c>
      <c r="C153" t="s">
        <v>2005</v>
      </c>
      <c r="D153" t="s">
        <v>13</v>
      </c>
      <c r="F153">
        <v>0</v>
      </c>
      <c r="G153">
        <v>0</v>
      </c>
      <c r="H153" t="s">
        <v>2006</v>
      </c>
      <c r="I153">
        <v>7.8958000000000004</v>
      </c>
      <c r="J153" t="s">
        <v>15</v>
      </c>
      <c r="K153" t="s">
        <v>21</v>
      </c>
      <c r="O153">
        <f>IF(I153&lt;&gt;"",I153,訓練データ!$O$19)</f>
        <v>7.8958000000000004</v>
      </c>
      <c r="P153">
        <f>IF(E153&lt;&gt;"",E153,訓練データ!$O$18)</f>
        <v>28</v>
      </c>
      <c r="R153">
        <f t="shared" si="11"/>
        <v>0</v>
      </c>
      <c r="S153">
        <f t="shared" si="12"/>
        <v>0</v>
      </c>
      <c r="T153">
        <f t="shared" si="12"/>
        <v>0</v>
      </c>
      <c r="U153">
        <f t="shared" si="12"/>
        <v>1</v>
      </c>
      <c r="V153">
        <f t="shared" si="13"/>
        <v>0</v>
      </c>
      <c r="W153">
        <f t="shared" si="13"/>
        <v>0</v>
      </c>
      <c r="X153">
        <f t="shared" si="13"/>
        <v>1</v>
      </c>
    </row>
    <row r="154" spans="1:24" x14ac:dyDescent="0.4">
      <c r="A154">
        <v>1044</v>
      </c>
      <c r="B154">
        <v>3</v>
      </c>
      <c r="C154" t="s">
        <v>2007</v>
      </c>
      <c r="D154" t="s">
        <v>13</v>
      </c>
      <c r="E154">
        <v>60.5</v>
      </c>
      <c r="F154">
        <v>0</v>
      </c>
      <c r="G154">
        <v>0</v>
      </c>
      <c r="H154" t="s">
        <v>2008</v>
      </c>
      <c r="J154" t="s">
        <v>15</v>
      </c>
      <c r="K154" t="s">
        <v>16</v>
      </c>
      <c r="O154">
        <f>IF(I154&lt;&gt;"",I154,訓練データ!$O$19)</f>
        <v>14.4542</v>
      </c>
      <c r="P154">
        <f>IF(E154&lt;&gt;"",E154,訓練データ!$O$18)</f>
        <v>60.5</v>
      </c>
      <c r="R154">
        <f t="shared" si="11"/>
        <v>0</v>
      </c>
      <c r="S154">
        <f t="shared" si="12"/>
        <v>0</v>
      </c>
      <c r="T154">
        <f t="shared" si="12"/>
        <v>0</v>
      </c>
      <c r="U154">
        <f t="shared" si="12"/>
        <v>1</v>
      </c>
      <c r="V154">
        <f t="shared" si="13"/>
        <v>1</v>
      </c>
      <c r="W154">
        <f t="shared" si="13"/>
        <v>0</v>
      </c>
      <c r="X154">
        <f t="shared" si="13"/>
        <v>0</v>
      </c>
    </row>
    <row r="155" spans="1:24" x14ac:dyDescent="0.4">
      <c r="A155">
        <v>1045</v>
      </c>
      <c r="B155">
        <v>3</v>
      </c>
      <c r="C155" t="s">
        <v>2009</v>
      </c>
      <c r="D155" t="s">
        <v>18</v>
      </c>
      <c r="E155">
        <v>36</v>
      </c>
      <c r="F155">
        <v>0</v>
      </c>
      <c r="G155">
        <v>2</v>
      </c>
      <c r="H155" t="s">
        <v>2010</v>
      </c>
      <c r="I155">
        <v>12.183299999999999</v>
      </c>
      <c r="J155" t="s">
        <v>15</v>
      </c>
      <c r="K155" t="s">
        <v>16</v>
      </c>
      <c r="O155">
        <f>IF(I155&lt;&gt;"",I155,訓練データ!$O$19)</f>
        <v>12.183299999999999</v>
      </c>
      <c r="P155">
        <f>IF(E155&lt;&gt;"",E155,訓練データ!$O$18)</f>
        <v>36</v>
      </c>
      <c r="R155">
        <f t="shared" si="11"/>
        <v>1</v>
      </c>
      <c r="S155">
        <f t="shared" si="12"/>
        <v>0</v>
      </c>
      <c r="T155">
        <f t="shared" si="12"/>
        <v>0</v>
      </c>
      <c r="U155">
        <f t="shared" si="12"/>
        <v>1</v>
      </c>
      <c r="V155">
        <f t="shared" si="13"/>
        <v>1</v>
      </c>
      <c r="W155">
        <f t="shared" si="13"/>
        <v>0</v>
      </c>
      <c r="X155">
        <f t="shared" si="13"/>
        <v>0</v>
      </c>
    </row>
    <row r="156" spans="1:24" x14ac:dyDescent="0.4">
      <c r="A156">
        <v>1046</v>
      </c>
      <c r="B156">
        <v>3</v>
      </c>
      <c r="C156" t="s">
        <v>2011</v>
      </c>
      <c r="D156" t="s">
        <v>13</v>
      </c>
      <c r="E156">
        <v>13</v>
      </c>
      <c r="F156">
        <v>4</v>
      </c>
      <c r="G156">
        <v>2</v>
      </c>
      <c r="H156" t="s">
        <v>75</v>
      </c>
      <c r="I156">
        <v>31.387499999999999</v>
      </c>
      <c r="J156" t="s">
        <v>15</v>
      </c>
      <c r="K156" t="s">
        <v>16</v>
      </c>
      <c r="O156">
        <f>IF(I156&lt;&gt;"",I156,訓練データ!$O$19)</f>
        <v>31.387499999999999</v>
      </c>
      <c r="P156">
        <f>IF(E156&lt;&gt;"",E156,訓練データ!$O$18)</f>
        <v>13</v>
      </c>
      <c r="R156">
        <f t="shared" si="11"/>
        <v>0</v>
      </c>
      <c r="S156">
        <f t="shared" si="12"/>
        <v>0</v>
      </c>
      <c r="T156">
        <f t="shared" si="12"/>
        <v>0</v>
      </c>
      <c r="U156">
        <f t="shared" si="12"/>
        <v>1</v>
      </c>
      <c r="V156">
        <f t="shared" si="13"/>
        <v>1</v>
      </c>
      <c r="W156">
        <f t="shared" si="13"/>
        <v>0</v>
      </c>
      <c r="X156">
        <f t="shared" si="13"/>
        <v>0</v>
      </c>
    </row>
    <row r="157" spans="1:24" x14ac:dyDescent="0.4">
      <c r="A157">
        <v>1047</v>
      </c>
      <c r="B157">
        <v>3</v>
      </c>
      <c r="C157" t="s">
        <v>2012</v>
      </c>
      <c r="D157" t="s">
        <v>13</v>
      </c>
      <c r="E157">
        <v>24</v>
      </c>
      <c r="F157">
        <v>0</v>
      </c>
      <c r="G157">
        <v>0</v>
      </c>
      <c r="H157" t="s">
        <v>2013</v>
      </c>
      <c r="I157">
        <v>7.55</v>
      </c>
      <c r="J157" t="s">
        <v>15</v>
      </c>
      <c r="K157" t="s">
        <v>16</v>
      </c>
      <c r="O157">
        <f>IF(I157&lt;&gt;"",I157,訓練データ!$O$19)</f>
        <v>7.55</v>
      </c>
      <c r="P157">
        <f>IF(E157&lt;&gt;"",E157,訓練データ!$O$18)</f>
        <v>24</v>
      </c>
      <c r="R157">
        <f t="shared" si="11"/>
        <v>0</v>
      </c>
      <c r="S157">
        <f t="shared" si="12"/>
        <v>0</v>
      </c>
      <c r="T157">
        <f t="shared" si="12"/>
        <v>0</v>
      </c>
      <c r="U157">
        <f t="shared" si="12"/>
        <v>1</v>
      </c>
      <c r="V157">
        <f t="shared" si="13"/>
        <v>1</v>
      </c>
      <c r="W157">
        <f t="shared" si="13"/>
        <v>0</v>
      </c>
      <c r="X157">
        <f t="shared" si="13"/>
        <v>0</v>
      </c>
    </row>
    <row r="158" spans="1:24" x14ac:dyDescent="0.4">
      <c r="A158">
        <v>1048</v>
      </c>
      <c r="B158">
        <v>1</v>
      </c>
      <c r="C158" t="s">
        <v>2014</v>
      </c>
      <c r="D158" t="s">
        <v>18</v>
      </c>
      <c r="E158">
        <v>29</v>
      </c>
      <c r="F158">
        <v>0</v>
      </c>
      <c r="G158">
        <v>0</v>
      </c>
      <c r="H158" t="s">
        <v>1078</v>
      </c>
      <c r="I158">
        <v>221.7792</v>
      </c>
      <c r="J158" t="s">
        <v>2015</v>
      </c>
      <c r="K158" t="s">
        <v>16</v>
      </c>
      <c r="O158">
        <f>IF(I158&lt;&gt;"",I158,訓練データ!$O$19)</f>
        <v>221.7792</v>
      </c>
      <c r="P158">
        <f>IF(E158&lt;&gt;"",E158,訓練データ!$O$18)</f>
        <v>29</v>
      </c>
      <c r="R158">
        <f t="shared" si="11"/>
        <v>1</v>
      </c>
      <c r="S158">
        <f t="shared" si="12"/>
        <v>1</v>
      </c>
      <c r="T158">
        <f t="shared" si="12"/>
        <v>0</v>
      </c>
      <c r="U158">
        <f t="shared" si="12"/>
        <v>0</v>
      </c>
      <c r="V158">
        <f t="shared" si="13"/>
        <v>1</v>
      </c>
      <c r="W158">
        <f t="shared" si="13"/>
        <v>0</v>
      </c>
      <c r="X158">
        <f t="shared" si="13"/>
        <v>0</v>
      </c>
    </row>
    <row r="159" spans="1:24" x14ac:dyDescent="0.4">
      <c r="A159">
        <v>1049</v>
      </c>
      <c r="B159">
        <v>3</v>
      </c>
      <c r="C159" t="s">
        <v>2016</v>
      </c>
      <c r="D159" t="s">
        <v>18</v>
      </c>
      <c r="E159">
        <v>23</v>
      </c>
      <c r="F159">
        <v>0</v>
      </c>
      <c r="G159">
        <v>0</v>
      </c>
      <c r="H159" t="s">
        <v>2017</v>
      </c>
      <c r="I159">
        <v>7.8541999999999996</v>
      </c>
      <c r="J159" t="s">
        <v>15</v>
      </c>
      <c r="K159" t="s">
        <v>16</v>
      </c>
      <c r="O159">
        <f>IF(I159&lt;&gt;"",I159,訓練データ!$O$19)</f>
        <v>7.8541999999999996</v>
      </c>
      <c r="P159">
        <f>IF(E159&lt;&gt;"",E159,訓練データ!$O$18)</f>
        <v>23</v>
      </c>
      <c r="R159">
        <f t="shared" si="11"/>
        <v>1</v>
      </c>
      <c r="S159">
        <f t="shared" si="12"/>
        <v>0</v>
      </c>
      <c r="T159">
        <f t="shared" si="12"/>
        <v>0</v>
      </c>
      <c r="U159">
        <f t="shared" si="12"/>
        <v>1</v>
      </c>
      <c r="V159">
        <f t="shared" si="13"/>
        <v>1</v>
      </c>
      <c r="W159">
        <f t="shared" si="13"/>
        <v>0</v>
      </c>
      <c r="X159">
        <f t="shared" si="13"/>
        <v>0</v>
      </c>
    </row>
    <row r="160" spans="1:24" x14ac:dyDescent="0.4">
      <c r="A160">
        <v>1050</v>
      </c>
      <c r="B160">
        <v>1</v>
      </c>
      <c r="C160" t="s">
        <v>2018</v>
      </c>
      <c r="D160" t="s">
        <v>13</v>
      </c>
      <c r="E160">
        <v>42</v>
      </c>
      <c r="F160">
        <v>0</v>
      </c>
      <c r="G160">
        <v>0</v>
      </c>
      <c r="H160" t="s">
        <v>2019</v>
      </c>
      <c r="I160">
        <v>26.55</v>
      </c>
      <c r="J160" t="s">
        <v>2020</v>
      </c>
      <c r="K160" t="s">
        <v>16</v>
      </c>
      <c r="O160">
        <f>IF(I160&lt;&gt;"",I160,訓練データ!$O$19)</f>
        <v>26.55</v>
      </c>
      <c r="P160">
        <f>IF(E160&lt;&gt;"",E160,訓練データ!$O$18)</f>
        <v>42</v>
      </c>
      <c r="R160">
        <f t="shared" si="11"/>
        <v>0</v>
      </c>
      <c r="S160">
        <f t="shared" si="12"/>
        <v>1</v>
      </c>
      <c r="T160">
        <f t="shared" si="12"/>
        <v>0</v>
      </c>
      <c r="U160">
        <f t="shared" si="12"/>
        <v>0</v>
      </c>
      <c r="V160">
        <f t="shared" si="13"/>
        <v>1</v>
      </c>
      <c r="W160">
        <f t="shared" si="13"/>
        <v>0</v>
      </c>
      <c r="X160">
        <f t="shared" si="13"/>
        <v>0</v>
      </c>
    </row>
    <row r="161" spans="1:24" x14ac:dyDescent="0.4">
      <c r="A161">
        <v>1051</v>
      </c>
      <c r="B161">
        <v>3</v>
      </c>
      <c r="C161" t="s">
        <v>2021</v>
      </c>
      <c r="D161" t="s">
        <v>18</v>
      </c>
      <c r="E161">
        <v>26</v>
      </c>
      <c r="F161">
        <v>0</v>
      </c>
      <c r="G161">
        <v>2</v>
      </c>
      <c r="H161" t="s">
        <v>2022</v>
      </c>
      <c r="I161">
        <v>13.775</v>
      </c>
      <c r="J161" t="s">
        <v>15</v>
      </c>
      <c r="K161" t="s">
        <v>16</v>
      </c>
      <c r="O161">
        <f>IF(I161&lt;&gt;"",I161,訓練データ!$O$19)</f>
        <v>13.775</v>
      </c>
      <c r="P161">
        <f>IF(E161&lt;&gt;"",E161,訓練データ!$O$18)</f>
        <v>26</v>
      </c>
      <c r="R161">
        <f t="shared" si="11"/>
        <v>1</v>
      </c>
      <c r="S161">
        <f t="shared" si="12"/>
        <v>0</v>
      </c>
      <c r="T161">
        <f t="shared" si="12"/>
        <v>0</v>
      </c>
      <c r="U161">
        <f t="shared" si="12"/>
        <v>1</v>
      </c>
      <c r="V161">
        <f t="shared" si="13"/>
        <v>1</v>
      </c>
      <c r="W161">
        <f t="shared" si="13"/>
        <v>0</v>
      </c>
      <c r="X161">
        <f t="shared" si="13"/>
        <v>0</v>
      </c>
    </row>
    <row r="162" spans="1:24" x14ac:dyDescent="0.4">
      <c r="A162">
        <v>1052</v>
      </c>
      <c r="B162">
        <v>3</v>
      </c>
      <c r="C162" t="s">
        <v>2023</v>
      </c>
      <c r="D162" t="s">
        <v>18</v>
      </c>
      <c r="F162">
        <v>0</v>
      </c>
      <c r="G162">
        <v>0</v>
      </c>
      <c r="H162" t="s">
        <v>2024</v>
      </c>
      <c r="I162">
        <v>7.7332999999999998</v>
      </c>
      <c r="J162" t="s">
        <v>15</v>
      </c>
      <c r="K162" t="s">
        <v>31</v>
      </c>
      <c r="O162">
        <f>IF(I162&lt;&gt;"",I162,訓練データ!$O$19)</f>
        <v>7.7332999999999998</v>
      </c>
      <c r="P162">
        <f>IF(E162&lt;&gt;"",E162,訓練データ!$O$18)</f>
        <v>28</v>
      </c>
      <c r="R162">
        <f t="shared" si="11"/>
        <v>1</v>
      </c>
      <c r="S162">
        <f t="shared" si="12"/>
        <v>0</v>
      </c>
      <c r="T162">
        <f t="shared" si="12"/>
        <v>0</v>
      </c>
      <c r="U162">
        <f t="shared" si="12"/>
        <v>1</v>
      </c>
      <c r="V162">
        <f t="shared" si="13"/>
        <v>0</v>
      </c>
      <c r="W162">
        <f t="shared" si="13"/>
        <v>1</v>
      </c>
      <c r="X162">
        <f t="shared" si="13"/>
        <v>0</v>
      </c>
    </row>
    <row r="163" spans="1:24" x14ac:dyDescent="0.4">
      <c r="A163">
        <v>1053</v>
      </c>
      <c r="B163">
        <v>3</v>
      </c>
      <c r="C163" t="s">
        <v>2025</v>
      </c>
      <c r="D163" t="s">
        <v>13</v>
      </c>
      <c r="E163">
        <v>7</v>
      </c>
      <c r="F163">
        <v>1</v>
      </c>
      <c r="G163">
        <v>1</v>
      </c>
      <c r="H163" t="s">
        <v>545</v>
      </c>
      <c r="I163">
        <v>15.245799999999999</v>
      </c>
      <c r="J163" t="s">
        <v>15</v>
      </c>
      <c r="K163" t="s">
        <v>21</v>
      </c>
      <c r="O163">
        <f>IF(I163&lt;&gt;"",I163,訓練データ!$O$19)</f>
        <v>15.245799999999999</v>
      </c>
      <c r="P163">
        <f>IF(E163&lt;&gt;"",E163,訓練データ!$O$18)</f>
        <v>7</v>
      </c>
      <c r="R163">
        <f t="shared" si="11"/>
        <v>0</v>
      </c>
      <c r="S163">
        <f t="shared" si="12"/>
        <v>0</v>
      </c>
      <c r="T163">
        <f t="shared" si="12"/>
        <v>0</v>
      </c>
      <c r="U163">
        <f t="shared" si="12"/>
        <v>1</v>
      </c>
      <c r="V163">
        <f t="shared" si="13"/>
        <v>0</v>
      </c>
      <c r="W163">
        <f t="shared" si="13"/>
        <v>0</v>
      </c>
      <c r="X163">
        <f t="shared" si="13"/>
        <v>1</v>
      </c>
    </row>
    <row r="164" spans="1:24" x14ac:dyDescent="0.4">
      <c r="A164">
        <v>1054</v>
      </c>
      <c r="B164">
        <v>2</v>
      </c>
      <c r="C164" t="s">
        <v>2026</v>
      </c>
      <c r="D164" t="s">
        <v>18</v>
      </c>
      <c r="E164">
        <v>26</v>
      </c>
      <c r="F164">
        <v>0</v>
      </c>
      <c r="G164">
        <v>0</v>
      </c>
      <c r="H164" t="s">
        <v>2027</v>
      </c>
      <c r="I164">
        <v>13.5</v>
      </c>
      <c r="J164" t="s">
        <v>15</v>
      </c>
      <c r="K164" t="s">
        <v>16</v>
      </c>
      <c r="O164">
        <f>IF(I164&lt;&gt;"",I164,訓練データ!$O$19)</f>
        <v>13.5</v>
      </c>
      <c r="P164">
        <f>IF(E164&lt;&gt;"",E164,訓練データ!$O$18)</f>
        <v>26</v>
      </c>
      <c r="R164">
        <f t="shared" si="11"/>
        <v>1</v>
      </c>
      <c r="S164">
        <f t="shared" si="12"/>
        <v>0</v>
      </c>
      <c r="T164">
        <f t="shared" si="12"/>
        <v>1</v>
      </c>
      <c r="U164">
        <f t="shared" si="12"/>
        <v>0</v>
      </c>
      <c r="V164">
        <f t="shared" si="13"/>
        <v>1</v>
      </c>
      <c r="W164">
        <f t="shared" si="13"/>
        <v>0</v>
      </c>
      <c r="X164">
        <f t="shared" si="13"/>
        <v>0</v>
      </c>
    </row>
    <row r="165" spans="1:24" x14ac:dyDescent="0.4">
      <c r="A165">
        <v>1055</v>
      </c>
      <c r="B165">
        <v>3</v>
      </c>
      <c r="C165" t="s">
        <v>2028</v>
      </c>
      <c r="D165" t="s">
        <v>13</v>
      </c>
      <c r="F165">
        <v>0</v>
      </c>
      <c r="G165">
        <v>0</v>
      </c>
      <c r="H165" t="s">
        <v>2029</v>
      </c>
      <c r="I165">
        <v>7</v>
      </c>
      <c r="J165" t="s">
        <v>15</v>
      </c>
      <c r="K165" t="s">
        <v>16</v>
      </c>
      <c r="O165">
        <f>IF(I165&lt;&gt;"",I165,訓練データ!$O$19)</f>
        <v>7</v>
      </c>
      <c r="P165">
        <f>IF(E165&lt;&gt;"",E165,訓練データ!$O$18)</f>
        <v>28</v>
      </c>
      <c r="R165">
        <f t="shared" si="11"/>
        <v>0</v>
      </c>
      <c r="S165">
        <f t="shared" si="12"/>
        <v>0</v>
      </c>
      <c r="T165">
        <f t="shared" si="12"/>
        <v>0</v>
      </c>
      <c r="U165">
        <f t="shared" si="12"/>
        <v>1</v>
      </c>
      <c r="V165">
        <f t="shared" si="13"/>
        <v>1</v>
      </c>
      <c r="W165">
        <f t="shared" si="13"/>
        <v>0</v>
      </c>
      <c r="X165">
        <f t="shared" si="13"/>
        <v>0</v>
      </c>
    </row>
    <row r="166" spans="1:24" x14ac:dyDescent="0.4">
      <c r="A166">
        <v>1056</v>
      </c>
      <c r="B166">
        <v>2</v>
      </c>
      <c r="C166" t="s">
        <v>2030</v>
      </c>
      <c r="D166" t="s">
        <v>13</v>
      </c>
      <c r="E166">
        <v>41</v>
      </c>
      <c r="F166">
        <v>0</v>
      </c>
      <c r="G166">
        <v>0</v>
      </c>
      <c r="H166" t="s">
        <v>2031</v>
      </c>
      <c r="I166">
        <v>13</v>
      </c>
      <c r="J166" t="s">
        <v>15</v>
      </c>
      <c r="K166" t="s">
        <v>16</v>
      </c>
      <c r="O166">
        <f>IF(I166&lt;&gt;"",I166,訓練データ!$O$19)</f>
        <v>13</v>
      </c>
      <c r="P166">
        <f>IF(E166&lt;&gt;"",E166,訓練データ!$O$18)</f>
        <v>41</v>
      </c>
      <c r="R166">
        <f t="shared" si="11"/>
        <v>0</v>
      </c>
      <c r="S166">
        <f t="shared" si="12"/>
        <v>0</v>
      </c>
      <c r="T166">
        <f t="shared" si="12"/>
        <v>1</v>
      </c>
      <c r="U166">
        <f t="shared" si="12"/>
        <v>0</v>
      </c>
      <c r="V166">
        <f t="shared" si="13"/>
        <v>1</v>
      </c>
      <c r="W166">
        <f t="shared" si="13"/>
        <v>0</v>
      </c>
      <c r="X166">
        <f t="shared" si="13"/>
        <v>0</v>
      </c>
    </row>
    <row r="167" spans="1:24" x14ac:dyDescent="0.4">
      <c r="A167">
        <v>1057</v>
      </c>
      <c r="B167">
        <v>3</v>
      </c>
      <c r="C167" t="s">
        <v>2032</v>
      </c>
      <c r="D167" t="s">
        <v>18</v>
      </c>
      <c r="E167">
        <v>26</v>
      </c>
      <c r="F167">
        <v>1</v>
      </c>
      <c r="G167">
        <v>1</v>
      </c>
      <c r="H167" t="s">
        <v>402</v>
      </c>
      <c r="I167">
        <v>22.024999999999999</v>
      </c>
      <c r="J167" t="s">
        <v>15</v>
      </c>
      <c r="K167" t="s">
        <v>16</v>
      </c>
      <c r="O167">
        <f>IF(I167&lt;&gt;"",I167,訓練データ!$O$19)</f>
        <v>22.024999999999999</v>
      </c>
      <c r="P167">
        <f>IF(E167&lt;&gt;"",E167,訓練データ!$O$18)</f>
        <v>26</v>
      </c>
      <c r="R167">
        <f t="shared" si="11"/>
        <v>1</v>
      </c>
      <c r="S167">
        <f t="shared" si="12"/>
        <v>0</v>
      </c>
      <c r="T167">
        <f t="shared" si="12"/>
        <v>0</v>
      </c>
      <c r="U167">
        <f t="shared" si="12"/>
        <v>1</v>
      </c>
      <c r="V167">
        <f t="shared" si="13"/>
        <v>1</v>
      </c>
      <c r="W167">
        <f t="shared" si="13"/>
        <v>0</v>
      </c>
      <c r="X167">
        <f t="shared" si="13"/>
        <v>0</v>
      </c>
    </row>
    <row r="168" spans="1:24" x14ac:dyDescent="0.4">
      <c r="A168">
        <v>1058</v>
      </c>
      <c r="B168">
        <v>1</v>
      </c>
      <c r="C168" t="s">
        <v>2033</v>
      </c>
      <c r="D168" t="s">
        <v>13</v>
      </c>
      <c r="E168">
        <v>48</v>
      </c>
      <c r="F168">
        <v>0</v>
      </c>
      <c r="G168">
        <v>0</v>
      </c>
      <c r="H168" t="s">
        <v>2034</v>
      </c>
      <c r="I168">
        <v>50.495800000000003</v>
      </c>
      <c r="J168" t="s">
        <v>2035</v>
      </c>
      <c r="K168" t="s">
        <v>21</v>
      </c>
      <c r="O168">
        <f>IF(I168&lt;&gt;"",I168,訓練データ!$O$19)</f>
        <v>50.495800000000003</v>
      </c>
      <c r="P168">
        <f>IF(E168&lt;&gt;"",E168,訓練データ!$O$18)</f>
        <v>48</v>
      </c>
      <c r="R168">
        <f t="shared" si="11"/>
        <v>0</v>
      </c>
      <c r="S168">
        <f t="shared" si="12"/>
        <v>1</v>
      </c>
      <c r="T168">
        <f t="shared" si="12"/>
        <v>0</v>
      </c>
      <c r="U168">
        <f t="shared" si="12"/>
        <v>0</v>
      </c>
      <c r="V168">
        <f t="shared" si="13"/>
        <v>0</v>
      </c>
      <c r="W168">
        <f t="shared" si="13"/>
        <v>0</v>
      </c>
      <c r="X168">
        <f t="shared" si="13"/>
        <v>1</v>
      </c>
    </row>
    <row r="169" spans="1:24" x14ac:dyDescent="0.4">
      <c r="A169">
        <v>1059</v>
      </c>
      <c r="B169">
        <v>3</v>
      </c>
      <c r="C169" t="s">
        <v>2036</v>
      </c>
      <c r="D169" t="s">
        <v>13</v>
      </c>
      <c r="E169">
        <v>18</v>
      </c>
      <c r="F169">
        <v>2</v>
      </c>
      <c r="G169">
        <v>2</v>
      </c>
      <c r="H169" t="s">
        <v>205</v>
      </c>
      <c r="I169">
        <v>34.375</v>
      </c>
      <c r="J169" t="s">
        <v>15</v>
      </c>
      <c r="K169" t="s">
        <v>16</v>
      </c>
      <c r="O169">
        <f>IF(I169&lt;&gt;"",I169,訓練データ!$O$19)</f>
        <v>34.375</v>
      </c>
      <c r="P169">
        <f>IF(E169&lt;&gt;"",E169,訓練データ!$O$18)</f>
        <v>18</v>
      </c>
      <c r="R169">
        <f t="shared" si="11"/>
        <v>0</v>
      </c>
      <c r="S169">
        <f t="shared" si="12"/>
        <v>0</v>
      </c>
      <c r="T169">
        <f t="shared" si="12"/>
        <v>0</v>
      </c>
      <c r="U169">
        <f t="shared" si="12"/>
        <v>1</v>
      </c>
      <c r="V169">
        <f t="shared" si="13"/>
        <v>1</v>
      </c>
      <c r="W169">
        <f t="shared" si="13"/>
        <v>0</v>
      </c>
      <c r="X169">
        <f t="shared" si="13"/>
        <v>0</v>
      </c>
    </row>
    <row r="170" spans="1:24" x14ac:dyDescent="0.4">
      <c r="A170">
        <v>1060</v>
      </c>
      <c r="B170">
        <v>1</v>
      </c>
      <c r="C170" t="s">
        <v>2037</v>
      </c>
      <c r="D170" t="s">
        <v>18</v>
      </c>
      <c r="F170">
        <v>0</v>
      </c>
      <c r="G170">
        <v>0</v>
      </c>
      <c r="H170" t="s">
        <v>2038</v>
      </c>
      <c r="I170">
        <v>27.720800000000001</v>
      </c>
      <c r="J170" t="s">
        <v>15</v>
      </c>
      <c r="K170" t="s">
        <v>21</v>
      </c>
      <c r="O170">
        <f>IF(I170&lt;&gt;"",I170,訓練データ!$O$19)</f>
        <v>27.720800000000001</v>
      </c>
      <c r="P170">
        <f>IF(E170&lt;&gt;"",E170,訓練データ!$O$18)</f>
        <v>28</v>
      </c>
      <c r="R170">
        <f t="shared" si="11"/>
        <v>1</v>
      </c>
      <c r="S170">
        <f t="shared" si="12"/>
        <v>1</v>
      </c>
      <c r="T170">
        <f t="shared" si="12"/>
        <v>0</v>
      </c>
      <c r="U170">
        <f t="shared" si="12"/>
        <v>0</v>
      </c>
      <c r="V170">
        <f t="shared" si="13"/>
        <v>0</v>
      </c>
      <c r="W170">
        <f t="shared" si="13"/>
        <v>0</v>
      </c>
      <c r="X170">
        <f t="shared" si="13"/>
        <v>1</v>
      </c>
    </row>
    <row r="171" spans="1:24" x14ac:dyDescent="0.4">
      <c r="A171">
        <v>1061</v>
      </c>
      <c r="B171">
        <v>3</v>
      </c>
      <c r="C171" t="s">
        <v>2039</v>
      </c>
      <c r="D171" t="s">
        <v>18</v>
      </c>
      <c r="E171">
        <v>22</v>
      </c>
      <c r="F171">
        <v>0</v>
      </c>
      <c r="G171">
        <v>0</v>
      </c>
      <c r="H171" t="s">
        <v>2040</v>
      </c>
      <c r="I171">
        <v>8.9625000000000004</v>
      </c>
      <c r="J171" t="s">
        <v>15</v>
      </c>
      <c r="K171" t="s">
        <v>16</v>
      </c>
      <c r="O171">
        <f>IF(I171&lt;&gt;"",I171,訓練データ!$O$19)</f>
        <v>8.9625000000000004</v>
      </c>
      <c r="P171">
        <f>IF(E171&lt;&gt;"",E171,訓練データ!$O$18)</f>
        <v>22</v>
      </c>
      <c r="R171">
        <f t="shared" si="11"/>
        <v>1</v>
      </c>
      <c r="S171">
        <f t="shared" si="12"/>
        <v>0</v>
      </c>
      <c r="T171">
        <f t="shared" si="12"/>
        <v>0</v>
      </c>
      <c r="U171">
        <f t="shared" si="12"/>
        <v>1</v>
      </c>
      <c r="V171">
        <f t="shared" si="13"/>
        <v>1</v>
      </c>
      <c r="W171">
        <f t="shared" si="13"/>
        <v>0</v>
      </c>
      <c r="X171">
        <f t="shared" si="13"/>
        <v>0</v>
      </c>
    </row>
    <row r="172" spans="1:24" x14ac:dyDescent="0.4">
      <c r="A172">
        <v>1062</v>
      </c>
      <c r="B172">
        <v>3</v>
      </c>
      <c r="C172" t="s">
        <v>2041</v>
      </c>
      <c r="D172" t="s">
        <v>13</v>
      </c>
      <c r="F172">
        <v>0</v>
      </c>
      <c r="G172">
        <v>0</v>
      </c>
      <c r="H172" t="s">
        <v>2042</v>
      </c>
      <c r="I172">
        <v>7.55</v>
      </c>
      <c r="J172" t="s">
        <v>15</v>
      </c>
      <c r="K172" t="s">
        <v>16</v>
      </c>
      <c r="O172">
        <f>IF(I172&lt;&gt;"",I172,訓練データ!$O$19)</f>
        <v>7.55</v>
      </c>
      <c r="P172">
        <f>IF(E172&lt;&gt;"",E172,訓練データ!$O$18)</f>
        <v>28</v>
      </c>
      <c r="R172">
        <f t="shared" si="11"/>
        <v>0</v>
      </c>
      <c r="S172">
        <f t="shared" si="12"/>
        <v>0</v>
      </c>
      <c r="T172">
        <f t="shared" si="12"/>
        <v>0</v>
      </c>
      <c r="U172">
        <f t="shared" si="12"/>
        <v>1</v>
      </c>
      <c r="V172">
        <f t="shared" si="13"/>
        <v>1</v>
      </c>
      <c r="W172">
        <f t="shared" si="13"/>
        <v>0</v>
      </c>
      <c r="X172">
        <f t="shared" si="13"/>
        <v>0</v>
      </c>
    </row>
    <row r="173" spans="1:24" x14ac:dyDescent="0.4">
      <c r="A173">
        <v>1063</v>
      </c>
      <c r="B173">
        <v>3</v>
      </c>
      <c r="C173" t="s">
        <v>2043</v>
      </c>
      <c r="D173" t="s">
        <v>13</v>
      </c>
      <c r="E173">
        <v>27</v>
      </c>
      <c r="F173">
        <v>0</v>
      </c>
      <c r="G173">
        <v>0</v>
      </c>
      <c r="H173" t="s">
        <v>2044</v>
      </c>
      <c r="I173">
        <v>7.2249999999999996</v>
      </c>
      <c r="J173" t="s">
        <v>15</v>
      </c>
      <c r="K173" t="s">
        <v>21</v>
      </c>
      <c r="O173">
        <f>IF(I173&lt;&gt;"",I173,訓練データ!$O$19)</f>
        <v>7.2249999999999996</v>
      </c>
      <c r="P173">
        <f>IF(E173&lt;&gt;"",E173,訓練データ!$O$18)</f>
        <v>27</v>
      </c>
      <c r="R173">
        <f t="shared" si="11"/>
        <v>0</v>
      </c>
      <c r="S173">
        <f t="shared" si="12"/>
        <v>0</v>
      </c>
      <c r="T173">
        <f t="shared" si="12"/>
        <v>0</v>
      </c>
      <c r="U173">
        <f t="shared" si="12"/>
        <v>1</v>
      </c>
      <c r="V173">
        <f t="shared" si="13"/>
        <v>0</v>
      </c>
      <c r="W173">
        <f t="shared" si="13"/>
        <v>0</v>
      </c>
      <c r="X173">
        <f t="shared" si="13"/>
        <v>1</v>
      </c>
    </row>
    <row r="174" spans="1:24" x14ac:dyDescent="0.4">
      <c r="A174">
        <v>1064</v>
      </c>
      <c r="B174">
        <v>3</v>
      </c>
      <c r="C174" t="s">
        <v>2045</v>
      </c>
      <c r="D174" t="s">
        <v>13</v>
      </c>
      <c r="E174">
        <v>23</v>
      </c>
      <c r="F174">
        <v>1</v>
      </c>
      <c r="G174">
        <v>0</v>
      </c>
      <c r="H174" t="s">
        <v>1901</v>
      </c>
      <c r="I174">
        <v>13.9</v>
      </c>
      <c r="J174" t="s">
        <v>15</v>
      </c>
      <c r="K174" t="s">
        <v>16</v>
      </c>
      <c r="O174">
        <f>IF(I174&lt;&gt;"",I174,訓練データ!$O$19)</f>
        <v>13.9</v>
      </c>
      <c r="P174">
        <f>IF(E174&lt;&gt;"",E174,訓練データ!$O$18)</f>
        <v>23</v>
      </c>
      <c r="R174">
        <f t="shared" si="11"/>
        <v>0</v>
      </c>
      <c r="S174">
        <f t="shared" si="12"/>
        <v>0</v>
      </c>
      <c r="T174">
        <f t="shared" si="12"/>
        <v>0</v>
      </c>
      <c r="U174">
        <f t="shared" si="12"/>
        <v>1</v>
      </c>
      <c r="V174">
        <f t="shared" si="13"/>
        <v>1</v>
      </c>
      <c r="W174">
        <f t="shared" si="13"/>
        <v>0</v>
      </c>
      <c r="X174">
        <f t="shared" si="13"/>
        <v>0</v>
      </c>
    </row>
    <row r="175" spans="1:24" x14ac:dyDescent="0.4">
      <c r="A175">
        <v>1065</v>
      </c>
      <c r="B175">
        <v>3</v>
      </c>
      <c r="C175" t="s">
        <v>2046</v>
      </c>
      <c r="D175" t="s">
        <v>13</v>
      </c>
      <c r="F175">
        <v>0</v>
      </c>
      <c r="G175">
        <v>0</v>
      </c>
      <c r="H175" t="s">
        <v>2047</v>
      </c>
      <c r="I175">
        <v>7.2291999999999996</v>
      </c>
      <c r="J175" t="s">
        <v>15</v>
      </c>
      <c r="K175" t="s">
        <v>21</v>
      </c>
      <c r="O175">
        <f>IF(I175&lt;&gt;"",I175,訓練データ!$O$19)</f>
        <v>7.2291999999999996</v>
      </c>
      <c r="P175">
        <f>IF(E175&lt;&gt;"",E175,訓練データ!$O$18)</f>
        <v>28</v>
      </c>
      <c r="R175">
        <f t="shared" si="11"/>
        <v>0</v>
      </c>
      <c r="S175">
        <f t="shared" si="12"/>
        <v>0</v>
      </c>
      <c r="T175">
        <f t="shared" si="12"/>
        <v>0</v>
      </c>
      <c r="U175">
        <f t="shared" si="12"/>
        <v>1</v>
      </c>
      <c r="V175">
        <f t="shared" si="13"/>
        <v>0</v>
      </c>
      <c r="W175">
        <f t="shared" si="13"/>
        <v>0</v>
      </c>
      <c r="X175">
        <f t="shared" si="13"/>
        <v>1</v>
      </c>
    </row>
    <row r="176" spans="1:24" x14ac:dyDescent="0.4">
      <c r="A176">
        <v>1066</v>
      </c>
      <c r="B176">
        <v>3</v>
      </c>
      <c r="C176" t="s">
        <v>2048</v>
      </c>
      <c r="D176" t="s">
        <v>13</v>
      </c>
      <c r="E176">
        <v>40</v>
      </c>
      <c r="F176">
        <v>1</v>
      </c>
      <c r="G176">
        <v>5</v>
      </c>
      <c r="H176" t="s">
        <v>75</v>
      </c>
      <c r="I176">
        <v>31.387499999999999</v>
      </c>
      <c r="J176" t="s">
        <v>15</v>
      </c>
      <c r="K176" t="s">
        <v>16</v>
      </c>
      <c r="O176">
        <f>IF(I176&lt;&gt;"",I176,訓練データ!$O$19)</f>
        <v>31.387499999999999</v>
      </c>
      <c r="P176">
        <f>IF(E176&lt;&gt;"",E176,訓練データ!$O$18)</f>
        <v>40</v>
      </c>
      <c r="R176">
        <f t="shared" si="11"/>
        <v>0</v>
      </c>
      <c r="S176">
        <f t="shared" si="12"/>
        <v>0</v>
      </c>
      <c r="T176">
        <f t="shared" si="12"/>
        <v>0</v>
      </c>
      <c r="U176">
        <f t="shared" si="12"/>
        <v>1</v>
      </c>
      <c r="V176">
        <f t="shared" si="13"/>
        <v>1</v>
      </c>
      <c r="W176">
        <f t="shared" si="13"/>
        <v>0</v>
      </c>
      <c r="X176">
        <f t="shared" si="13"/>
        <v>0</v>
      </c>
    </row>
    <row r="177" spans="1:24" x14ac:dyDescent="0.4">
      <c r="A177">
        <v>1067</v>
      </c>
      <c r="B177">
        <v>2</v>
      </c>
      <c r="C177" t="s">
        <v>2049</v>
      </c>
      <c r="D177" t="s">
        <v>18</v>
      </c>
      <c r="E177">
        <v>15</v>
      </c>
      <c r="F177">
        <v>0</v>
      </c>
      <c r="G177">
        <v>2</v>
      </c>
      <c r="H177" t="s">
        <v>1340</v>
      </c>
      <c r="I177">
        <v>39</v>
      </c>
      <c r="J177" t="s">
        <v>15</v>
      </c>
      <c r="K177" t="s">
        <v>16</v>
      </c>
      <c r="O177">
        <f>IF(I177&lt;&gt;"",I177,訓練データ!$O$19)</f>
        <v>39</v>
      </c>
      <c r="P177">
        <f>IF(E177&lt;&gt;"",E177,訓練データ!$O$18)</f>
        <v>15</v>
      </c>
      <c r="R177">
        <f t="shared" si="11"/>
        <v>1</v>
      </c>
      <c r="S177">
        <f t="shared" si="12"/>
        <v>0</v>
      </c>
      <c r="T177">
        <f t="shared" si="12"/>
        <v>1</v>
      </c>
      <c r="U177">
        <f t="shared" si="12"/>
        <v>0</v>
      </c>
      <c r="V177">
        <f t="shared" si="13"/>
        <v>1</v>
      </c>
      <c r="W177">
        <f t="shared" si="13"/>
        <v>0</v>
      </c>
      <c r="X177">
        <f t="shared" si="13"/>
        <v>0</v>
      </c>
    </row>
    <row r="178" spans="1:24" x14ac:dyDescent="0.4">
      <c r="A178">
        <v>1068</v>
      </c>
      <c r="B178">
        <v>2</v>
      </c>
      <c r="C178" t="s">
        <v>2050</v>
      </c>
      <c r="D178" t="s">
        <v>18</v>
      </c>
      <c r="E178">
        <v>20</v>
      </c>
      <c r="F178">
        <v>0</v>
      </c>
      <c r="G178">
        <v>0</v>
      </c>
      <c r="H178" t="s">
        <v>325</v>
      </c>
      <c r="I178">
        <v>36.75</v>
      </c>
      <c r="J178" t="s">
        <v>15</v>
      </c>
      <c r="K178" t="s">
        <v>16</v>
      </c>
      <c r="O178">
        <f>IF(I178&lt;&gt;"",I178,訓練データ!$O$19)</f>
        <v>36.75</v>
      </c>
      <c r="P178">
        <f>IF(E178&lt;&gt;"",E178,訓練データ!$O$18)</f>
        <v>20</v>
      </c>
      <c r="R178">
        <f t="shared" si="11"/>
        <v>1</v>
      </c>
      <c r="S178">
        <f t="shared" si="12"/>
        <v>0</v>
      </c>
      <c r="T178">
        <f t="shared" si="12"/>
        <v>1</v>
      </c>
      <c r="U178">
        <f t="shared" si="12"/>
        <v>0</v>
      </c>
      <c r="V178">
        <f t="shared" si="13"/>
        <v>1</v>
      </c>
      <c r="W178">
        <f t="shared" si="13"/>
        <v>0</v>
      </c>
      <c r="X178">
        <f t="shared" si="13"/>
        <v>0</v>
      </c>
    </row>
    <row r="179" spans="1:24" x14ac:dyDescent="0.4">
      <c r="A179">
        <v>1069</v>
      </c>
      <c r="B179">
        <v>1</v>
      </c>
      <c r="C179" t="s">
        <v>2051</v>
      </c>
      <c r="D179" t="s">
        <v>13</v>
      </c>
      <c r="E179">
        <v>54</v>
      </c>
      <c r="F179">
        <v>1</v>
      </c>
      <c r="G179">
        <v>0</v>
      </c>
      <c r="H179" t="s">
        <v>1919</v>
      </c>
      <c r="I179">
        <v>55.441699999999997</v>
      </c>
      <c r="J179" t="s">
        <v>1920</v>
      </c>
      <c r="K179" t="s">
        <v>21</v>
      </c>
      <c r="O179">
        <f>IF(I179&lt;&gt;"",I179,訓練データ!$O$19)</f>
        <v>55.441699999999997</v>
      </c>
      <c r="P179">
        <f>IF(E179&lt;&gt;"",E179,訓練データ!$O$18)</f>
        <v>54</v>
      </c>
      <c r="R179">
        <f t="shared" si="11"/>
        <v>0</v>
      </c>
      <c r="S179">
        <f t="shared" si="12"/>
        <v>1</v>
      </c>
      <c r="T179">
        <f t="shared" si="12"/>
        <v>0</v>
      </c>
      <c r="U179">
        <f t="shared" si="12"/>
        <v>0</v>
      </c>
      <c r="V179">
        <f t="shared" si="13"/>
        <v>0</v>
      </c>
      <c r="W179">
        <f t="shared" si="13"/>
        <v>0</v>
      </c>
      <c r="X179">
        <f t="shared" si="13"/>
        <v>1</v>
      </c>
    </row>
    <row r="180" spans="1:24" x14ac:dyDescent="0.4">
      <c r="A180">
        <v>1070</v>
      </c>
      <c r="B180">
        <v>2</v>
      </c>
      <c r="C180" t="s">
        <v>2052</v>
      </c>
      <c r="D180" t="s">
        <v>18</v>
      </c>
      <c r="E180">
        <v>36</v>
      </c>
      <c r="F180">
        <v>0</v>
      </c>
      <c r="G180">
        <v>3</v>
      </c>
      <c r="H180" t="s">
        <v>399</v>
      </c>
      <c r="I180">
        <v>39</v>
      </c>
      <c r="J180" t="s">
        <v>400</v>
      </c>
      <c r="K180" t="s">
        <v>16</v>
      </c>
      <c r="O180">
        <f>IF(I180&lt;&gt;"",I180,訓練データ!$O$19)</f>
        <v>39</v>
      </c>
      <c r="P180">
        <f>IF(E180&lt;&gt;"",E180,訓練データ!$O$18)</f>
        <v>36</v>
      </c>
      <c r="R180">
        <f t="shared" si="11"/>
        <v>1</v>
      </c>
      <c r="S180">
        <f t="shared" si="12"/>
        <v>0</v>
      </c>
      <c r="T180">
        <f t="shared" si="12"/>
        <v>1</v>
      </c>
      <c r="U180">
        <f t="shared" si="12"/>
        <v>0</v>
      </c>
      <c r="V180">
        <f t="shared" si="13"/>
        <v>1</v>
      </c>
      <c r="W180">
        <f t="shared" si="13"/>
        <v>0</v>
      </c>
      <c r="X180">
        <f t="shared" si="13"/>
        <v>0</v>
      </c>
    </row>
    <row r="181" spans="1:24" x14ac:dyDescent="0.4">
      <c r="A181">
        <v>1071</v>
      </c>
      <c r="B181">
        <v>1</v>
      </c>
      <c r="C181" t="s">
        <v>2053</v>
      </c>
      <c r="D181" t="s">
        <v>18</v>
      </c>
      <c r="E181">
        <v>64</v>
      </c>
      <c r="F181">
        <v>0</v>
      </c>
      <c r="G181">
        <v>2</v>
      </c>
      <c r="H181" t="s">
        <v>1638</v>
      </c>
      <c r="I181">
        <v>83.158299999999997</v>
      </c>
      <c r="J181" t="s">
        <v>2054</v>
      </c>
      <c r="K181" t="s">
        <v>21</v>
      </c>
      <c r="O181">
        <f>IF(I181&lt;&gt;"",I181,訓練データ!$O$19)</f>
        <v>83.158299999999997</v>
      </c>
      <c r="P181">
        <f>IF(E181&lt;&gt;"",E181,訓練データ!$O$18)</f>
        <v>64</v>
      </c>
      <c r="R181">
        <f t="shared" si="11"/>
        <v>1</v>
      </c>
      <c r="S181">
        <f t="shared" si="12"/>
        <v>1</v>
      </c>
      <c r="T181">
        <f t="shared" si="12"/>
        <v>0</v>
      </c>
      <c r="U181">
        <f t="shared" si="12"/>
        <v>0</v>
      </c>
      <c r="V181">
        <f t="shared" si="13"/>
        <v>0</v>
      </c>
      <c r="W181">
        <f t="shared" si="13"/>
        <v>0</v>
      </c>
      <c r="X181">
        <f t="shared" si="13"/>
        <v>1</v>
      </c>
    </row>
    <row r="182" spans="1:24" x14ac:dyDescent="0.4">
      <c r="A182">
        <v>1072</v>
      </c>
      <c r="B182">
        <v>2</v>
      </c>
      <c r="C182" t="s">
        <v>2055</v>
      </c>
      <c r="D182" t="s">
        <v>13</v>
      </c>
      <c r="E182">
        <v>30</v>
      </c>
      <c r="F182">
        <v>0</v>
      </c>
      <c r="G182">
        <v>0</v>
      </c>
      <c r="H182" t="s">
        <v>2056</v>
      </c>
      <c r="I182">
        <v>13</v>
      </c>
      <c r="J182" t="s">
        <v>15</v>
      </c>
      <c r="K182" t="s">
        <v>16</v>
      </c>
      <c r="O182">
        <f>IF(I182&lt;&gt;"",I182,訓練データ!$O$19)</f>
        <v>13</v>
      </c>
      <c r="P182">
        <f>IF(E182&lt;&gt;"",E182,訓練データ!$O$18)</f>
        <v>30</v>
      </c>
      <c r="R182">
        <f t="shared" si="11"/>
        <v>0</v>
      </c>
      <c r="S182">
        <f t="shared" si="12"/>
        <v>0</v>
      </c>
      <c r="T182">
        <f t="shared" si="12"/>
        <v>1</v>
      </c>
      <c r="U182">
        <f t="shared" si="12"/>
        <v>0</v>
      </c>
      <c r="V182">
        <f t="shared" si="13"/>
        <v>1</v>
      </c>
      <c r="W182">
        <f t="shared" si="13"/>
        <v>0</v>
      </c>
      <c r="X182">
        <f t="shared" si="13"/>
        <v>0</v>
      </c>
    </row>
    <row r="183" spans="1:24" x14ac:dyDescent="0.4">
      <c r="A183">
        <v>1073</v>
      </c>
      <c r="B183">
        <v>1</v>
      </c>
      <c r="C183" t="s">
        <v>2057</v>
      </c>
      <c r="D183" t="s">
        <v>13</v>
      </c>
      <c r="E183">
        <v>37</v>
      </c>
      <c r="F183">
        <v>1</v>
      </c>
      <c r="G183">
        <v>1</v>
      </c>
      <c r="H183" t="s">
        <v>1638</v>
      </c>
      <c r="I183">
        <v>83.158299999999997</v>
      </c>
      <c r="J183" t="s">
        <v>2058</v>
      </c>
      <c r="K183" t="s">
        <v>21</v>
      </c>
      <c r="O183">
        <f>IF(I183&lt;&gt;"",I183,訓練データ!$O$19)</f>
        <v>83.158299999999997</v>
      </c>
      <c r="P183">
        <f>IF(E183&lt;&gt;"",E183,訓練データ!$O$18)</f>
        <v>37</v>
      </c>
      <c r="R183">
        <f t="shared" si="11"/>
        <v>0</v>
      </c>
      <c r="S183">
        <f t="shared" si="12"/>
        <v>1</v>
      </c>
      <c r="T183">
        <f t="shared" si="12"/>
        <v>0</v>
      </c>
      <c r="U183">
        <f t="shared" si="12"/>
        <v>0</v>
      </c>
      <c r="V183">
        <f t="shared" si="13"/>
        <v>0</v>
      </c>
      <c r="W183">
        <f t="shared" si="13"/>
        <v>0</v>
      </c>
      <c r="X183">
        <f t="shared" si="13"/>
        <v>1</v>
      </c>
    </row>
    <row r="184" spans="1:24" x14ac:dyDescent="0.4">
      <c r="A184">
        <v>1074</v>
      </c>
      <c r="B184">
        <v>1</v>
      </c>
      <c r="C184" t="s">
        <v>2059</v>
      </c>
      <c r="D184" t="s">
        <v>18</v>
      </c>
      <c r="E184">
        <v>18</v>
      </c>
      <c r="F184">
        <v>1</v>
      </c>
      <c r="G184">
        <v>0</v>
      </c>
      <c r="H184" t="s">
        <v>1483</v>
      </c>
      <c r="I184">
        <v>53.1</v>
      </c>
      <c r="J184" t="s">
        <v>1484</v>
      </c>
      <c r="K184" t="s">
        <v>16</v>
      </c>
      <c r="O184">
        <f>IF(I184&lt;&gt;"",I184,訓練データ!$O$19)</f>
        <v>53.1</v>
      </c>
      <c r="P184">
        <f>IF(E184&lt;&gt;"",E184,訓練データ!$O$18)</f>
        <v>18</v>
      </c>
      <c r="R184">
        <f t="shared" si="11"/>
        <v>1</v>
      </c>
      <c r="S184">
        <f t="shared" si="12"/>
        <v>1</v>
      </c>
      <c r="T184">
        <f t="shared" si="12"/>
        <v>0</v>
      </c>
      <c r="U184">
        <f t="shared" si="12"/>
        <v>0</v>
      </c>
      <c r="V184">
        <f t="shared" si="13"/>
        <v>1</v>
      </c>
      <c r="W184">
        <f t="shared" si="13"/>
        <v>0</v>
      </c>
      <c r="X184">
        <f t="shared" si="13"/>
        <v>0</v>
      </c>
    </row>
    <row r="185" spans="1:24" x14ac:dyDescent="0.4">
      <c r="A185">
        <v>1075</v>
      </c>
      <c r="B185">
        <v>3</v>
      </c>
      <c r="C185" t="s">
        <v>2060</v>
      </c>
      <c r="D185" t="s">
        <v>13</v>
      </c>
      <c r="F185">
        <v>0</v>
      </c>
      <c r="G185">
        <v>0</v>
      </c>
      <c r="H185" t="s">
        <v>2061</v>
      </c>
      <c r="I185">
        <v>7.75</v>
      </c>
      <c r="J185" t="s">
        <v>15</v>
      </c>
      <c r="K185" t="s">
        <v>31</v>
      </c>
      <c r="O185">
        <f>IF(I185&lt;&gt;"",I185,訓練データ!$O$19)</f>
        <v>7.75</v>
      </c>
      <c r="P185">
        <f>IF(E185&lt;&gt;"",E185,訓練データ!$O$18)</f>
        <v>28</v>
      </c>
      <c r="R185">
        <f t="shared" si="11"/>
        <v>0</v>
      </c>
      <c r="S185">
        <f t="shared" si="12"/>
        <v>0</v>
      </c>
      <c r="T185">
        <f t="shared" si="12"/>
        <v>0</v>
      </c>
      <c r="U185">
        <f t="shared" si="12"/>
        <v>1</v>
      </c>
      <c r="V185">
        <f t="shared" si="13"/>
        <v>0</v>
      </c>
      <c r="W185">
        <f t="shared" si="13"/>
        <v>1</v>
      </c>
      <c r="X185">
        <f t="shared" si="13"/>
        <v>0</v>
      </c>
    </row>
    <row r="186" spans="1:24" x14ac:dyDescent="0.4">
      <c r="A186">
        <v>1076</v>
      </c>
      <c r="B186">
        <v>1</v>
      </c>
      <c r="C186" t="s">
        <v>2062</v>
      </c>
      <c r="D186" t="s">
        <v>18</v>
      </c>
      <c r="E186">
        <v>27</v>
      </c>
      <c r="F186">
        <v>1</v>
      </c>
      <c r="G186">
        <v>1</v>
      </c>
      <c r="H186" t="s">
        <v>272</v>
      </c>
      <c r="I186">
        <v>247.52080000000001</v>
      </c>
      <c r="J186" t="s">
        <v>273</v>
      </c>
      <c r="K186" t="s">
        <v>21</v>
      </c>
      <c r="O186">
        <f>IF(I186&lt;&gt;"",I186,訓練データ!$O$19)</f>
        <v>247.52080000000001</v>
      </c>
      <c r="P186">
        <f>IF(E186&lt;&gt;"",E186,訓練データ!$O$18)</f>
        <v>27</v>
      </c>
      <c r="R186">
        <f t="shared" si="11"/>
        <v>1</v>
      </c>
      <c r="S186">
        <f t="shared" si="12"/>
        <v>1</v>
      </c>
      <c r="T186">
        <f t="shared" si="12"/>
        <v>0</v>
      </c>
      <c r="U186">
        <f t="shared" si="12"/>
        <v>0</v>
      </c>
      <c r="V186">
        <f t="shared" si="13"/>
        <v>0</v>
      </c>
      <c r="W186">
        <f t="shared" si="13"/>
        <v>0</v>
      </c>
      <c r="X186">
        <f t="shared" si="13"/>
        <v>1</v>
      </c>
    </row>
    <row r="187" spans="1:24" x14ac:dyDescent="0.4">
      <c r="A187">
        <v>1077</v>
      </c>
      <c r="B187">
        <v>2</v>
      </c>
      <c r="C187" t="s">
        <v>2063</v>
      </c>
      <c r="D187" t="s">
        <v>13</v>
      </c>
      <c r="E187">
        <v>40</v>
      </c>
      <c r="F187">
        <v>0</v>
      </c>
      <c r="G187">
        <v>0</v>
      </c>
      <c r="H187" t="s">
        <v>2064</v>
      </c>
      <c r="I187">
        <v>16</v>
      </c>
      <c r="J187" t="s">
        <v>15</v>
      </c>
      <c r="K187" t="s">
        <v>16</v>
      </c>
      <c r="O187">
        <f>IF(I187&lt;&gt;"",I187,訓練データ!$O$19)</f>
        <v>16</v>
      </c>
      <c r="P187">
        <f>IF(E187&lt;&gt;"",E187,訓練データ!$O$18)</f>
        <v>40</v>
      </c>
      <c r="R187">
        <f t="shared" si="11"/>
        <v>0</v>
      </c>
      <c r="S187">
        <f t="shared" si="12"/>
        <v>0</v>
      </c>
      <c r="T187">
        <f t="shared" si="12"/>
        <v>1</v>
      </c>
      <c r="U187">
        <f t="shared" si="12"/>
        <v>0</v>
      </c>
      <c r="V187">
        <f t="shared" si="13"/>
        <v>1</v>
      </c>
      <c r="W187">
        <f t="shared" si="13"/>
        <v>0</v>
      </c>
      <c r="X187">
        <f t="shared" si="13"/>
        <v>0</v>
      </c>
    </row>
    <row r="188" spans="1:24" x14ac:dyDescent="0.4">
      <c r="A188">
        <v>1078</v>
      </c>
      <c r="B188">
        <v>2</v>
      </c>
      <c r="C188" t="s">
        <v>2065</v>
      </c>
      <c r="D188" t="s">
        <v>18</v>
      </c>
      <c r="E188">
        <v>21</v>
      </c>
      <c r="F188">
        <v>0</v>
      </c>
      <c r="G188">
        <v>1</v>
      </c>
      <c r="H188" t="s">
        <v>2066</v>
      </c>
      <c r="I188">
        <v>21</v>
      </c>
      <c r="J188" t="s">
        <v>15</v>
      </c>
      <c r="K188" t="s">
        <v>16</v>
      </c>
      <c r="O188">
        <f>IF(I188&lt;&gt;"",I188,訓練データ!$O$19)</f>
        <v>21</v>
      </c>
      <c r="P188">
        <f>IF(E188&lt;&gt;"",E188,訓練データ!$O$18)</f>
        <v>21</v>
      </c>
      <c r="R188">
        <f t="shared" si="11"/>
        <v>1</v>
      </c>
      <c r="S188">
        <f t="shared" si="12"/>
        <v>0</v>
      </c>
      <c r="T188">
        <f t="shared" si="12"/>
        <v>1</v>
      </c>
      <c r="U188">
        <f t="shared" si="12"/>
        <v>0</v>
      </c>
      <c r="V188">
        <f t="shared" si="13"/>
        <v>1</v>
      </c>
      <c r="W188">
        <f t="shared" si="13"/>
        <v>0</v>
      </c>
      <c r="X188">
        <f t="shared" si="13"/>
        <v>0</v>
      </c>
    </row>
    <row r="189" spans="1:24" x14ac:dyDescent="0.4">
      <c r="A189">
        <v>1079</v>
      </c>
      <c r="B189">
        <v>3</v>
      </c>
      <c r="C189" t="s">
        <v>2067</v>
      </c>
      <c r="D189" t="s">
        <v>13</v>
      </c>
      <c r="E189">
        <v>17</v>
      </c>
      <c r="F189">
        <v>2</v>
      </c>
      <c r="G189">
        <v>0</v>
      </c>
      <c r="H189" t="s">
        <v>2068</v>
      </c>
      <c r="I189">
        <v>8.0500000000000007</v>
      </c>
      <c r="J189" t="s">
        <v>15</v>
      </c>
      <c r="K189" t="s">
        <v>16</v>
      </c>
      <c r="O189">
        <f>IF(I189&lt;&gt;"",I189,訓練データ!$O$19)</f>
        <v>8.0500000000000007</v>
      </c>
      <c r="P189">
        <f>IF(E189&lt;&gt;"",E189,訓練データ!$O$18)</f>
        <v>17</v>
      </c>
      <c r="R189">
        <f t="shared" si="11"/>
        <v>0</v>
      </c>
      <c r="S189">
        <f t="shared" si="12"/>
        <v>0</v>
      </c>
      <c r="T189">
        <f t="shared" si="12"/>
        <v>0</v>
      </c>
      <c r="U189">
        <f t="shared" si="12"/>
        <v>1</v>
      </c>
      <c r="V189">
        <f t="shared" si="13"/>
        <v>1</v>
      </c>
      <c r="W189">
        <f t="shared" si="13"/>
        <v>0</v>
      </c>
      <c r="X189">
        <f t="shared" si="13"/>
        <v>0</v>
      </c>
    </row>
    <row r="190" spans="1:24" x14ac:dyDescent="0.4">
      <c r="A190">
        <v>1080</v>
      </c>
      <c r="B190">
        <v>3</v>
      </c>
      <c r="C190" t="s">
        <v>2069</v>
      </c>
      <c r="D190" t="s">
        <v>18</v>
      </c>
      <c r="F190">
        <v>8</v>
      </c>
      <c r="G190">
        <v>2</v>
      </c>
      <c r="H190" t="s">
        <v>354</v>
      </c>
      <c r="I190">
        <v>69.55</v>
      </c>
      <c r="J190" t="s">
        <v>15</v>
      </c>
      <c r="K190" t="s">
        <v>16</v>
      </c>
      <c r="O190">
        <f>IF(I190&lt;&gt;"",I190,訓練データ!$O$19)</f>
        <v>69.55</v>
      </c>
      <c r="P190">
        <f>IF(E190&lt;&gt;"",E190,訓練データ!$O$18)</f>
        <v>28</v>
      </c>
      <c r="R190">
        <f t="shared" si="11"/>
        <v>1</v>
      </c>
      <c r="S190">
        <f t="shared" si="12"/>
        <v>0</v>
      </c>
      <c r="T190">
        <f t="shared" si="12"/>
        <v>0</v>
      </c>
      <c r="U190">
        <f t="shared" si="12"/>
        <v>1</v>
      </c>
      <c r="V190">
        <f t="shared" si="13"/>
        <v>1</v>
      </c>
      <c r="W190">
        <f t="shared" si="13"/>
        <v>0</v>
      </c>
      <c r="X190">
        <f t="shared" si="13"/>
        <v>0</v>
      </c>
    </row>
    <row r="191" spans="1:24" x14ac:dyDescent="0.4">
      <c r="A191">
        <v>1081</v>
      </c>
      <c r="B191">
        <v>2</v>
      </c>
      <c r="C191" t="s">
        <v>2070</v>
      </c>
      <c r="D191" t="s">
        <v>13</v>
      </c>
      <c r="E191">
        <v>40</v>
      </c>
      <c r="F191">
        <v>0</v>
      </c>
      <c r="G191">
        <v>0</v>
      </c>
      <c r="H191" t="s">
        <v>2071</v>
      </c>
      <c r="I191">
        <v>13</v>
      </c>
      <c r="J191" t="s">
        <v>15</v>
      </c>
      <c r="K191" t="s">
        <v>16</v>
      </c>
      <c r="O191">
        <f>IF(I191&lt;&gt;"",I191,訓練データ!$O$19)</f>
        <v>13</v>
      </c>
      <c r="P191">
        <f>IF(E191&lt;&gt;"",E191,訓練データ!$O$18)</f>
        <v>40</v>
      </c>
      <c r="R191">
        <f t="shared" si="11"/>
        <v>0</v>
      </c>
      <c r="S191">
        <f t="shared" si="12"/>
        <v>0</v>
      </c>
      <c r="T191">
        <f t="shared" si="12"/>
        <v>1</v>
      </c>
      <c r="U191">
        <f t="shared" si="12"/>
        <v>0</v>
      </c>
      <c r="V191">
        <f t="shared" si="13"/>
        <v>1</v>
      </c>
      <c r="W191">
        <f t="shared" si="13"/>
        <v>0</v>
      </c>
      <c r="X191">
        <f t="shared" si="13"/>
        <v>0</v>
      </c>
    </row>
    <row r="192" spans="1:24" x14ac:dyDescent="0.4">
      <c r="A192">
        <v>1082</v>
      </c>
      <c r="B192">
        <v>2</v>
      </c>
      <c r="C192" t="s">
        <v>2072</v>
      </c>
      <c r="D192" t="s">
        <v>13</v>
      </c>
      <c r="E192">
        <v>34</v>
      </c>
      <c r="F192">
        <v>1</v>
      </c>
      <c r="G192">
        <v>0</v>
      </c>
      <c r="H192" t="s">
        <v>1060</v>
      </c>
      <c r="I192">
        <v>26</v>
      </c>
      <c r="J192" t="s">
        <v>15</v>
      </c>
      <c r="K192" t="s">
        <v>16</v>
      </c>
      <c r="O192">
        <f>IF(I192&lt;&gt;"",I192,訓練データ!$O$19)</f>
        <v>26</v>
      </c>
      <c r="P192">
        <f>IF(E192&lt;&gt;"",E192,訓練データ!$O$18)</f>
        <v>34</v>
      </c>
      <c r="R192">
        <f t="shared" si="11"/>
        <v>0</v>
      </c>
      <c r="S192">
        <f t="shared" si="12"/>
        <v>0</v>
      </c>
      <c r="T192">
        <f t="shared" si="12"/>
        <v>1</v>
      </c>
      <c r="U192">
        <f t="shared" si="12"/>
        <v>0</v>
      </c>
      <c r="V192">
        <f t="shared" si="13"/>
        <v>1</v>
      </c>
      <c r="W192">
        <f t="shared" si="13"/>
        <v>0</v>
      </c>
      <c r="X192">
        <f t="shared" si="13"/>
        <v>0</v>
      </c>
    </row>
    <row r="193" spans="1:24" x14ac:dyDescent="0.4">
      <c r="A193">
        <v>1083</v>
      </c>
      <c r="B193">
        <v>1</v>
      </c>
      <c r="C193" t="s">
        <v>2073</v>
      </c>
      <c r="D193" t="s">
        <v>13</v>
      </c>
      <c r="F193">
        <v>0</v>
      </c>
      <c r="G193">
        <v>0</v>
      </c>
      <c r="H193" t="s">
        <v>2074</v>
      </c>
      <c r="I193">
        <v>26</v>
      </c>
      <c r="J193" t="s">
        <v>15</v>
      </c>
      <c r="K193" t="s">
        <v>16</v>
      </c>
      <c r="O193">
        <f>IF(I193&lt;&gt;"",I193,訓練データ!$O$19)</f>
        <v>26</v>
      </c>
      <c r="P193">
        <f>IF(E193&lt;&gt;"",E193,訓練データ!$O$18)</f>
        <v>28</v>
      </c>
      <c r="R193">
        <f t="shared" si="11"/>
        <v>0</v>
      </c>
      <c r="S193">
        <f t="shared" si="12"/>
        <v>1</v>
      </c>
      <c r="T193">
        <f t="shared" si="12"/>
        <v>0</v>
      </c>
      <c r="U193">
        <f t="shared" si="12"/>
        <v>0</v>
      </c>
      <c r="V193">
        <f t="shared" si="13"/>
        <v>1</v>
      </c>
      <c r="W193">
        <f t="shared" si="13"/>
        <v>0</v>
      </c>
      <c r="X193">
        <f t="shared" si="13"/>
        <v>0</v>
      </c>
    </row>
    <row r="194" spans="1:24" x14ac:dyDescent="0.4">
      <c r="A194">
        <v>1084</v>
      </c>
      <c r="B194">
        <v>3</v>
      </c>
      <c r="C194" t="s">
        <v>2075</v>
      </c>
      <c r="D194" t="s">
        <v>13</v>
      </c>
      <c r="E194">
        <v>11.5</v>
      </c>
      <c r="F194">
        <v>1</v>
      </c>
      <c r="G194">
        <v>1</v>
      </c>
      <c r="H194" t="s">
        <v>342</v>
      </c>
      <c r="I194">
        <v>14.5</v>
      </c>
      <c r="J194" t="s">
        <v>15</v>
      </c>
      <c r="K194" t="s">
        <v>16</v>
      </c>
      <c r="O194">
        <f>IF(I194&lt;&gt;"",I194,訓練データ!$O$19)</f>
        <v>14.5</v>
      </c>
      <c r="P194">
        <f>IF(E194&lt;&gt;"",E194,訓練データ!$O$18)</f>
        <v>11.5</v>
      </c>
      <c r="R194">
        <f t="shared" ref="R194:R257" si="14">IF(D194="male",0,1)</f>
        <v>0</v>
      </c>
      <c r="S194">
        <f t="shared" si="12"/>
        <v>0</v>
      </c>
      <c r="T194">
        <f t="shared" si="12"/>
        <v>0</v>
      </c>
      <c r="U194">
        <f t="shared" si="12"/>
        <v>1</v>
      </c>
      <c r="V194">
        <f t="shared" si="13"/>
        <v>1</v>
      </c>
      <c r="W194">
        <f t="shared" si="13"/>
        <v>0</v>
      </c>
      <c r="X194">
        <f t="shared" si="13"/>
        <v>0</v>
      </c>
    </row>
    <row r="195" spans="1:24" x14ac:dyDescent="0.4">
      <c r="A195">
        <v>1085</v>
      </c>
      <c r="B195">
        <v>2</v>
      </c>
      <c r="C195" t="s">
        <v>2076</v>
      </c>
      <c r="D195" t="s">
        <v>13</v>
      </c>
      <c r="E195">
        <v>61</v>
      </c>
      <c r="F195">
        <v>0</v>
      </c>
      <c r="G195">
        <v>0</v>
      </c>
      <c r="H195" t="s">
        <v>2077</v>
      </c>
      <c r="I195">
        <v>12.35</v>
      </c>
      <c r="J195" t="s">
        <v>15</v>
      </c>
      <c r="K195" t="s">
        <v>31</v>
      </c>
      <c r="O195">
        <f>IF(I195&lt;&gt;"",I195,訓練データ!$O$19)</f>
        <v>12.35</v>
      </c>
      <c r="P195">
        <f>IF(E195&lt;&gt;"",E195,訓練データ!$O$18)</f>
        <v>61</v>
      </c>
      <c r="R195">
        <f t="shared" si="14"/>
        <v>0</v>
      </c>
      <c r="S195">
        <f t="shared" ref="S195:U258" si="15">IF("Pclass_"&amp;$B195=S$1,1,0)</f>
        <v>0</v>
      </c>
      <c r="T195">
        <f t="shared" si="15"/>
        <v>1</v>
      </c>
      <c r="U195">
        <f t="shared" si="15"/>
        <v>0</v>
      </c>
      <c r="V195">
        <f t="shared" ref="V195:X258" si="16">IF($K195=RIGHT(V$1,1),1,0)</f>
        <v>0</v>
      </c>
      <c r="W195">
        <f t="shared" si="16"/>
        <v>1</v>
      </c>
      <c r="X195">
        <f t="shared" si="16"/>
        <v>0</v>
      </c>
    </row>
    <row r="196" spans="1:24" x14ac:dyDescent="0.4">
      <c r="A196">
        <v>1086</v>
      </c>
      <c r="B196">
        <v>2</v>
      </c>
      <c r="C196" t="s">
        <v>2078</v>
      </c>
      <c r="D196" t="s">
        <v>13</v>
      </c>
      <c r="E196">
        <v>8</v>
      </c>
      <c r="F196">
        <v>0</v>
      </c>
      <c r="G196">
        <v>2</v>
      </c>
      <c r="H196" t="s">
        <v>862</v>
      </c>
      <c r="I196">
        <v>32.5</v>
      </c>
      <c r="J196" t="s">
        <v>15</v>
      </c>
      <c r="K196" t="s">
        <v>16</v>
      </c>
      <c r="O196">
        <f>IF(I196&lt;&gt;"",I196,訓練データ!$O$19)</f>
        <v>32.5</v>
      </c>
      <c r="P196">
        <f>IF(E196&lt;&gt;"",E196,訓練データ!$O$18)</f>
        <v>8</v>
      </c>
      <c r="R196">
        <f t="shared" si="14"/>
        <v>0</v>
      </c>
      <c r="S196">
        <f t="shared" si="15"/>
        <v>0</v>
      </c>
      <c r="T196">
        <f t="shared" si="15"/>
        <v>1</v>
      </c>
      <c r="U196">
        <f t="shared" si="15"/>
        <v>0</v>
      </c>
      <c r="V196">
        <f t="shared" si="16"/>
        <v>1</v>
      </c>
      <c r="W196">
        <f t="shared" si="16"/>
        <v>0</v>
      </c>
      <c r="X196">
        <f t="shared" si="16"/>
        <v>0</v>
      </c>
    </row>
    <row r="197" spans="1:24" x14ac:dyDescent="0.4">
      <c r="A197">
        <v>1087</v>
      </c>
      <c r="B197">
        <v>3</v>
      </c>
      <c r="C197" t="s">
        <v>2079</v>
      </c>
      <c r="D197" t="s">
        <v>13</v>
      </c>
      <c r="E197">
        <v>33</v>
      </c>
      <c r="F197">
        <v>0</v>
      </c>
      <c r="G197">
        <v>0</v>
      </c>
      <c r="H197" t="s">
        <v>2080</v>
      </c>
      <c r="I197">
        <v>7.8541999999999996</v>
      </c>
      <c r="J197" t="s">
        <v>15</v>
      </c>
      <c r="K197" t="s">
        <v>16</v>
      </c>
      <c r="O197">
        <f>IF(I197&lt;&gt;"",I197,訓練データ!$O$19)</f>
        <v>7.8541999999999996</v>
      </c>
      <c r="P197">
        <f>IF(E197&lt;&gt;"",E197,訓練データ!$O$18)</f>
        <v>33</v>
      </c>
      <c r="R197">
        <f t="shared" si="14"/>
        <v>0</v>
      </c>
      <c r="S197">
        <f t="shared" si="15"/>
        <v>0</v>
      </c>
      <c r="T197">
        <f t="shared" si="15"/>
        <v>0</v>
      </c>
      <c r="U197">
        <f t="shared" si="15"/>
        <v>1</v>
      </c>
      <c r="V197">
        <f t="shared" si="16"/>
        <v>1</v>
      </c>
      <c r="W197">
        <f t="shared" si="16"/>
        <v>0</v>
      </c>
      <c r="X197">
        <f t="shared" si="16"/>
        <v>0</v>
      </c>
    </row>
    <row r="198" spans="1:24" x14ac:dyDescent="0.4">
      <c r="A198">
        <v>1088</v>
      </c>
      <c r="B198">
        <v>1</v>
      </c>
      <c r="C198" t="s">
        <v>2081</v>
      </c>
      <c r="D198" t="s">
        <v>13</v>
      </c>
      <c r="E198">
        <v>6</v>
      </c>
      <c r="F198">
        <v>0</v>
      </c>
      <c r="G198">
        <v>2</v>
      </c>
      <c r="H198" t="s">
        <v>682</v>
      </c>
      <c r="I198">
        <v>134.5</v>
      </c>
      <c r="J198" t="s">
        <v>683</v>
      </c>
      <c r="K198" t="s">
        <v>21</v>
      </c>
      <c r="O198">
        <f>IF(I198&lt;&gt;"",I198,訓練データ!$O$19)</f>
        <v>134.5</v>
      </c>
      <c r="P198">
        <f>IF(E198&lt;&gt;"",E198,訓練データ!$O$18)</f>
        <v>6</v>
      </c>
      <c r="R198">
        <f t="shared" si="14"/>
        <v>0</v>
      </c>
      <c r="S198">
        <f t="shared" si="15"/>
        <v>1</v>
      </c>
      <c r="T198">
        <f t="shared" si="15"/>
        <v>0</v>
      </c>
      <c r="U198">
        <f t="shared" si="15"/>
        <v>0</v>
      </c>
      <c r="V198">
        <f t="shared" si="16"/>
        <v>0</v>
      </c>
      <c r="W198">
        <f t="shared" si="16"/>
        <v>0</v>
      </c>
      <c r="X198">
        <f t="shared" si="16"/>
        <v>1</v>
      </c>
    </row>
    <row r="199" spans="1:24" x14ac:dyDescent="0.4">
      <c r="A199">
        <v>1089</v>
      </c>
      <c r="B199">
        <v>3</v>
      </c>
      <c r="C199" t="s">
        <v>2082</v>
      </c>
      <c r="D199" t="s">
        <v>18</v>
      </c>
      <c r="E199">
        <v>18</v>
      </c>
      <c r="F199">
        <v>0</v>
      </c>
      <c r="G199">
        <v>0</v>
      </c>
      <c r="H199" t="s">
        <v>2083</v>
      </c>
      <c r="I199">
        <v>7.7750000000000004</v>
      </c>
      <c r="J199" t="s">
        <v>15</v>
      </c>
      <c r="K199" t="s">
        <v>16</v>
      </c>
      <c r="O199">
        <f>IF(I199&lt;&gt;"",I199,訓練データ!$O$19)</f>
        <v>7.7750000000000004</v>
      </c>
      <c r="P199">
        <f>IF(E199&lt;&gt;"",E199,訓練データ!$O$18)</f>
        <v>18</v>
      </c>
      <c r="R199">
        <f t="shared" si="14"/>
        <v>1</v>
      </c>
      <c r="S199">
        <f t="shared" si="15"/>
        <v>0</v>
      </c>
      <c r="T199">
        <f t="shared" si="15"/>
        <v>0</v>
      </c>
      <c r="U199">
        <f t="shared" si="15"/>
        <v>1</v>
      </c>
      <c r="V199">
        <f t="shared" si="16"/>
        <v>1</v>
      </c>
      <c r="W199">
        <f t="shared" si="16"/>
        <v>0</v>
      </c>
      <c r="X199">
        <f t="shared" si="16"/>
        <v>0</v>
      </c>
    </row>
    <row r="200" spans="1:24" x14ac:dyDescent="0.4">
      <c r="A200">
        <v>1090</v>
      </c>
      <c r="B200">
        <v>2</v>
      </c>
      <c r="C200" t="s">
        <v>2084</v>
      </c>
      <c r="D200" t="s">
        <v>13</v>
      </c>
      <c r="E200">
        <v>23</v>
      </c>
      <c r="F200">
        <v>0</v>
      </c>
      <c r="G200">
        <v>0</v>
      </c>
      <c r="H200" t="s">
        <v>2085</v>
      </c>
      <c r="I200">
        <v>10.5</v>
      </c>
      <c r="J200" t="s">
        <v>15</v>
      </c>
      <c r="K200" t="s">
        <v>16</v>
      </c>
      <c r="O200">
        <f>IF(I200&lt;&gt;"",I200,訓練データ!$O$19)</f>
        <v>10.5</v>
      </c>
      <c r="P200">
        <f>IF(E200&lt;&gt;"",E200,訓練データ!$O$18)</f>
        <v>23</v>
      </c>
      <c r="R200">
        <f t="shared" si="14"/>
        <v>0</v>
      </c>
      <c r="S200">
        <f t="shared" si="15"/>
        <v>0</v>
      </c>
      <c r="T200">
        <f t="shared" si="15"/>
        <v>1</v>
      </c>
      <c r="U200">
        <f t="shared" si="15"/>
        <v>0</v>
      </c>
      <c r="V200">
        <f t="shared" si="16"/>
        <v>1</v>
      </c>
      <c r="W200">
        <f t="shared" si="16"/>
        <v>0</v>
      </c>
      <c r="X200">
        <f t="shared" si="16"/>
        <v>0</v>
      </c>
    </row>
    <row r="201" spans="1:24" x14ac:dyDescent="0.4">
      <c r="A201">
        <v>1091</v>
      </c>
      <c r="B201">
        <v>3</v>
      </c>
      <c r="C201" t="s">
        <v>2086</v>
      </c>
      <c r="D201" t="s">
        <v>18</v>
      </c>
      <c r="F201">
        <v>0</v>
      </c>
      <c r="G201">
        <v>0</v>
      </c>
      <c r="H201" t="s">
        <v>2087</v>
      </c>
      <c r="I201">
        <v>8.1125000000000007</v>
      </c>
      <c r="J201" t="s">
        <v>15</v>
      </c>
      <c r="K201" t="s">
        <v>16</v>
      </c>
      <c r="O201">
        <f>IF(I201&lt;&gt;"",I201,訓練データ!$O$19)</f>
        <v>8.1125000000000007</v>
      </c>
      <c r="P201">
        <f>IF(E201&lt;&gt;"",E201,訓練データ!$O$18)</f>
        <v>28</v>
      </c>
      <c r="R201">
        <f t="shared" si="14"/>
        <v>1</v>
      </c>
      <c r="S201">
        <f t="shared" si="15"/>
        <v>0</v>
      </c>
      <c r="T201">
        <f t="shared" si="15"/>
        <v>0</v>
      </c>
      <c r="U201">
        <f t="shared" si="15"/>
        <v>1</v>
      </c>
      <c r="V201">
        <f t="shared" si="16"/>
        <v>1</v>
      </c>
      <c r="W201">
        <f t="shared" si="16"/>
        <v>0</v>
      </c>
      <c r="X201">
        <f t="shared" si="16"/>
        <v>0</v>
      </c>
    </row>
    <row r="202" spans="1:24" x14ac:dyDescent="0.4">
      <c r="A202">
        <v>1092</v>
      </c>
      <c r="B202">
        <v>3</v>
      </c>
      <c r="C202" t="s">
        <v>2088</v>
      </c>
      <c r="D202" t="s">
        <v>18</v>
      </c>
      <c r="F202">
        <v>0</v>
      </c>
      <c r="G202">
        <v>0</v>
      </c>
      <c r="H202" t="s">
        <v>1430</v>
      </c>
      <c r="I202">
        <v>15.5</v>
      </c>
      <c r="J202" t="s">
        <v>15</v>
      </c>
      <c r="K202" t="s">
        <v>31</v>
      </c>
      <c r="O202">
        <f>IF(I202&lt;&gt;"",I202,訓練データ!$O$19)</f>
        <v>15.5</v>
      </c>
      <c r="P202">
        <f>IF(E202&lt;&gt;"",E202,訓練データ!$O$18)</f>
        <v>28</v>
      </c>
      <c r="R202">
        <f t="shared" si="14"/>
        <v>1</v>
      </c>
      <c r="S202">
        <f t="shared" si="15"/>
        <v>0</v>
      </c>
      <c r="T202">
        <f t="shared" si="15"/>
        <v>0</v>
      </c>
      <c r="U202">
        <f t="shared" si="15"/>
        <v>1</v>
      </c>
      <c r="V202">
        <f t="shared" si="16"/>
        <v>0</v>
      </c>
      <c r="W202">
        <f t="shared" si="16"/>
        <v>1</v>
      </c>
      <c r="X202">
        <f t="shared" si="16"/>
        <v>0</v>
      </c>
    </row>
    <row r="203" spans="1:24" x14ac:dyDescent="0.4">
      <c r="A203">
        <v>1093</v>
      </c>
      <c r="B203">
        <v>3</v>
      </c>
      <c r="C203" t="s">
        <v>2089</v>
      </c>
      <c r="D203" t="s">
        <v>13</v>
      </c>
      <c r="E203">
        <v>0.33</v>
      </c>
      <c r="F203">
        <v>0</v>
      </c>
      <c r="G203">
        <v>2</v>
      </c>
      <c r="H203" t="s">
        <v>876</v>
      </c>
      <c r="I203">
        <v>14.4</v>
      </c>
      <c r="J203" t="s">
        <v>15</v>
      </c>
      <c r="K203" t="s">
        <v>16</v>
      </c>
      <c r="O203">
        <f>IF(I203&lt;&gt;"",I203,訓練データ!$O$19)</f>
        <v>14.4</v>
      </c>
      <c r="P203">
        <f>IF(E203&lt;&gt;"",E203,訓練データ!$O$18)</f>
        <v>0.33</v>
      </c>
      <c r="R203">
        <f t="shared" si="14"/>
        <v>0</v>
      </c>
      <c r="S203">
        <f t="shared" si="15"/>
        <v>0</v>
      </c>
      <c r="T203">
        <f t="shared" si="15"/>
        <v>0</v>
      </c>
      <c r="U203">
        <f t="shared" si="15"/>
        <v>1</v>
      </c>
      <c r="V203">
        <f t="shared" si="16"/>
        <v>1</v>
      </c>
      <c r="W203">
        <f t="shared" si="16"/>
        <v>0</v>
      </c>
      <c r="X203">
        <f t="shared" si="16"/>
        <v>0</v>
      </c>
    </row>
    <row r="204" spans="1:24" x14ac:dyDescent="0.4">
      <c r="A204">
        <v>1094</v>
      </c>
      <c r="B204">
        <v>1</v>
      </c>
      <c r="C204" t="s">
        <v>2090</v>
      </c>
      <c r="D204" t="s">
        <v>13</v>
      </c>
      <c r="E204">
        <v>47</v>
      </c>
      <c r="F204">
        <v>1</v>
      </c>
      <c r="G204">
        <v>0</v>
      </c>
      <c r="H204" t="s">
        <v>798</v>
      </c>
      <c r="I204">
        <v>227.52500000000001</v>
      </c>
      <c r="J204" t="s">
        <v>1397</v>
      </c>
      <c r="K204" t="s">
        <v>21</v>
      </c>
      <c r="O204">
        <f>IF(I204&lt;&gt;"",I204,訓練データ!$O$19)</f>
        <v>227.52500000000001</v>
      </c>
      <c r="P204">
        <f>IF(E204&lt;&gt;"",E204,訓練データ!$O$18)</f>
        <v>47</v>
      </c>
      <c r="R204">
        <f t="shared" si="14"/>
        <v>0</v>
      </c>
      <c r="S204">
        <f t="shared" si="15"/>
        <v>1</v>
      </c>
      <c r="T204">
        <f t="shared" si="15"/>
        <v>0</v>
      </c>
      <c r="U204">
        <f t="shared" si="15"/>
        <v>0</v>
      </c>
      <c r="V204">
        <f t="shared" si="16"/>
        <v>0</v>
      </c>
      <c r="W204">
        <f t="shared" si="16"/>
        <v>0</v>
      </c>
      <c r="X204">
        <f t="shared" si="16"/>
        <v>1</v>
      </c>
    </row>
    <row r="205" spans="1:24" x14ac:dyDescent="0.4">
      <c r="A205">
        <v>1095</v>
      </c>
      <c r="B205">
        <v>2</v>
      </c>
      <c r="C205" t="s">
        <v>2091</v>
      </c>
      <c r="D205" t="s">
        <v>18</v>
      </c>
      <c r="E205">
        <v>8</v>
      </c>
      <c r="F205">
        <v>1</v>
      </c>
      <c r="G205">
        <v>1</v>
      </c>
      <c r="H205" t="s">
        <v>1036</v>
      </c>
      <c r="I205">
        <v>26</v>
      </c>
      <c r="J205" t="s">
        <v>15</v>
      </c>
      <c r="K205" t="s">
        <v>16</v>
      </c>
      <c r="O205">
        <f>IF(I205&lt;&gt;"",I205,訓練データ!$O$19)</f>
        <v>26</v>
      </c>
      <c r="P205">
        <f>IF(E205&lt;&gt;"",E205,訓練データ!$O$18)</f>
        <v>8</v>
      </c>
      <c r="R205">
        <f t="shared" si="14"/>
        <v>1</v>
      </c>
      <c r="S205">
        <f t="shared" si="15"/>
        <v>0</v>
      </c>
      <c r="T205">
        <f t="shared" si="15"/>
        <v>1</v>
      </c>
      <c r="U205">
        <f t="shared" si="15"/>
        <v>0</v>
      </c>
      <c r="V205">
        <f t="shared" si="16"/>
        <v>1</v>
      </c>
      <c r="W205">
        <f t="shared" si="16"/>
        <v>0</v>
      </c>
      <c r="X205">
        <f t="shared" si="16"/>
        <v>0</v>
      </c>
    </row>
    <row r="206" spans="1:24" x14ac:dyDescent="0.4">
      <c r="A206">
        <v>1096</v>
      </c>
      <c r="B206">
        <v>2</v>
      </c>
      <c r="C206" t="s">
        <v>2092</v>
      </c>
      <c r="D206" t="s">
        <v>13</v>
      </c>
      <c r="E206">
        <v>25</v>
      </c>
      <c r="F206">
        <v>0</v>
      </c>
      <c r="G206">
        <v>0</v>
      </c>
      <c r="H206" t="s">
        <v>2093</v>
      </c>
      <c r="I206">
        <v>10.5</v>
      </c>
      <c r="J206" t="s">
        <v>15</v>
      </c>
      <c r="K206" t="s">
        <v>16</v>
      </c>
      <c r="O206">
        <f>IF(I206&lt;&gt;"",I206,訓練データ!$O$19)</f>
        <v>10.5</v>
      </c>
      <c r="P206">
        <f>IF(E206&lt;&gt;"",E206,訓練データ!$O$18)</f>
        <v>25</v>
      </c>
      <c r="R206">
        <f t="shared" si="14"/>
        <v>0</v>
      </c>
      <c r="S206">
        <f t="shared" si="15"/>
        <v>0</v>
      </c>
      <c r="T206">
        <f t="shared" si="15"/>
        <v>1</v>
      </c>
      <c r="U206">
        <f t="shared" si="15"/>
        <v>0</v>
      </c>
      <c r="V206">
        <f t="shared" si="16"/>
        <v>1</v>
      </c>
      <c r="W206">
        <f t="shared" si="16"/>
        <v>0</v>
      </c>
      <c r="X206">
        <f t="shared" si="16"/>
        <v>0</v>
      </c>
    </row>
    <row r="207" spans="1:24" x14ac:dyDescent="0.4">
      <c r="A207">
        <v>1097</v>
      </c>
      <c r="B207">
        <v>1</v>
      </c>
      <c r="C207" t="s">
        <v>2094</v>
      </c>
      <c r="D207" t="s">
        <v>13</v>
      </c>
      <c r="F207">
        <v>0</v>
      </c>
      <c r="G207">
        <v>0</v>
      </c>
      <c r="H207" t="s">
        <v>2095</v>
      </c>
      <c r="I207">
        <v>25.741700000000002</v>
      </c>
      <c r="J207" t="s">
        <v>15</v>
      </c>
      <c r="K207" t="s">
        <v>21</v>
      </c>
      <c r="O207">
        <f>IF(I207&lt;&gt;"",I207,訓練データ!$O$19)</f>
        <v>25.741700000000002</v>
      </c>
      <c r="P207">
        <f>IF(E207&lt;&gt;"",E207,訓練データ!$O$18)</f>
        <v>28</v>
      </c>
      <c r="R207">
        <f t="shared" si="14"/>
        <v>0</v>
      </c>
      <c r="S207">
        <f t="shared" si="15"/>
        <v>1</v>
      </c>
      <c r="T207">
        <f t="shared" si="15"/>
        <v>0</v>
      </c>
      <c r="U207">
        <f t="shared" si="15"/>
        <v>0</v>
      </c>
      <c r="V207">
        <f t="shared" si="16"/>
        <v>0</v>
      </c>
      <c r="W207">
        <f t="shared" si="16"/>
        <v>0</v>
      </c>
      <c r="X207">
        <f t="shared" si="16"/>
        <v>1</v>
      </c>
    </row>
    <row r="208" spans="1:24" x14ac:dyDescent="0.4">
      <c r="A208">
        <v>1098</v>
      </c>
      <c r="B208">
        <v>3</v>
      </c>
      <c r="C208" t="s">
        <v>2096</v>
      </c>
      <c r="D208" t="s">
        <v>18</v>
      </c>
      <c r="E208">
        <v>35</v>
      </c>
      <c r="F208">
        <v>0</v>
      </c>
      <c r="G208">
        <v>0</v>
      </c>
      <c r="H208" t="s">
        <v>2097</v>
      </c>
      <c r="I208">
        <v>7.75</v>
      </c>
      <c r="J208" t="s">
        <v>15</v>
      </c>
      <c r="K208" t="s">
        <v>31</v>
      </c>
      <c r="O208">
        <f>IF(I208&lt;&gt;"",I208,訓練データ!$O$19)</f>
        <v>7.75</v>
      </c>
      <c r="P208">
        <f>IF(E208&lt;&gt;"",E208,訓練データ!$O$18)</f>
        <v>35</v>
      </c>
      <c r="R208">
        <f t="shared" si="14"/>
        <v>1</v>
      </c>
      <c r="S208">
        <f t="shared" si="15"/>
        <v>0</v>
      </c>
      <c r="T208">
        <f t="shared" si="15"/>
        <v>0</v>
      </c>
      <c r="U208">
        <f t="shared" si="15"/>
        <v>1</v>
      </c>
      <c r="V208">
        <f t="shared" si="16"/>
        <v>0</v>
      </c>
      <c r="W208">
        <f t="shared" si="16"/>
        <v>1</v>
      </c>
      <c r="X208">
        <f t="shared" si="16"/>
        <v>0</v>
      </c>
    </row>
    <row r="209" spans="1:24" x14ac:dyDescent="0.4">
      <c r="A209">
        <v>1099</v>
      </c>
      <c r="B209">
        <v>2</v>
      </c>
      <c r="C209" t="s">
        <v>2098</v>
      </c>
      <c r="D209" t="s">
        <v>13</v>
      </c>
      <c r="E209">
        <v>24</v>
      </c>
      <c r="F209">
        <v>0</v>
      </c>
      <c r="G209">
        <v>0</v>
      </c>
      <c r="H209" t="s">
        <v>2099</v>
      </c>
      <c r="I209">
        <v>10.5</v>
      </c>
      <c r="J209" t="s">
        <v>15</v>
      </c>
      <c r="K209" t="s">
        <v>16</v>
      </c>
      <c r="O209">
        <f>IF(I209&lt;&gt;"",I209,訓練データ!$O$19)</f>
        <v>10.5</v>
      </c>
      <c r="P209">
        <f>IF(E209&lt;&gt;"",E209,訓練データ!$O$18)</f>
        <v>24</v>
      </c>
      <c r="R209">
        <f t="shared" si="14"/>
        <v>0</v>
      </c>
      <c r="S209">
        <f t="shared" si="15"/>
        <v>0</v>
      </c>
      <c r="T209">
        <f t="shared" si="15"/>
        <v>1</v>
      </c>
      <c r="U209">
        <f t="shared" si="15"/>
        <v>0</v>
      </c>
      <c r="V209">
        <f t="shared" si="16"/>
        <v>1</v>
      </c>
      <c r="W209">
        <f t="shared" si="16"/>
        <v>0</v>
      </c>
      <c r="X209">
        <f t="shared" si="16"/>
        <v>0</v>
      </c>
    </row>
    <row r="210" spans="1:24" x14ac:dyDescent="0.4">
      <c r="A210">
        <v>1100</v>
      </c>
      <c r="B210">
        <v>1</v>
      </c>
      <c r="C210" t="s">
        <v>2100</v>
      </c>
      <c r="D210" t="s">
        <v>18</v>
      </c>
      <c r="E210">
        <v>33</v>
      </c>
      <c r="F210">
        <v>0</v>
      </c>
      <c r="G210">
        <v>0</v>
      </c>
      <c r="H210" t="s">
        <v>2101</v>
      </c>
      <c r="I210">
        <v>27.720800000000001</v>
      </c>
      <c r="J210" t="s">
        <v>2102</v>
      </c>
      <c r="K210" t="s">
        <v>21</v>
      </c>
      <c r="O210">
        <f>IF(I210&lt;&gt;"",I210,訓練データ!$O$19)</f>
        <v>27.720800000000001</v>
      </c>
      <c r="P210">
        <f>IF(E210&lt;&gt;"",E210,訓練データ!$O$18)</f>
        <v>33</v>
      </c>
      <c r="R210">
        <f t="shared" si="14"/>
        <v>1</v>
      </c>
      <c r="S210">
        <f t="shared" si="15"/>
        <v>1</v>
      </c>
      <c r="T210">
        <f t="shared" si="15"/>
        <v>0</v>
      </c>
      <c r="U210">
        <f t="shared" si="15"/>
        <v>0</v>
      </c>
      <c r="V210">
        <f t="shared" si="16"/>
        <v>0</v>
      </c>
      <c r="W210">
        <f t="shared" si="16"/>
        <v>0</v>
      </c>
      <c r="X210">
        <f t="shared" si="16"/>
        <v>1</v>
      </c>
    </row>
    <row r="211" spans="1:24" x14ac:dyDescent="0.4">
      <c r="A211">
        <v>1101</v>
      </c>
      <c r="B211">
        <v>3</v>
      </c>
      <c r="C211" t="s">
        <v>2103</v>
      </c>
      <c r="D211" t="s">
        <v>13</v>
      </c>
      <c r="E211">
        <v>25</v>
      </c>
      <c r="F211">
        <v>0</v>
      </c>
      <c r="G211">
        <v>0</v>
      </c>
      <c r="H211" t="s">
        <v>2104</v>
      </c>
      <c r="I211">
        <v>7.8958000000000004</v>
      </c>
      <c r="J211" t="s">
        <v>15</v>
      </c>
      <c r="K211" t="s">
        <v>16</v>
      </c>
      <c r="O211">
        <f>IF(I211&lt;&gt;"",I211,訓練データ!$O$19)</f>
        <v>7.8958000000000004</v>
      </c>
      <c r="P211">
        <f>IF(E211&lt;&gt;"",E211,訓練データ!$O$18)</f>
        <v>25</v>
      </c>
      <c r="R211">
        <f t="shared" si="14"/>
        <v>0</v>
      </c>
      <c r="S211">
        <f t="shared" si="15"/>
        <v>0</v>
      </c>
      <c r="T211">
        <f t="shared" si="15"/>
        <v>0</v>
      </c>
      <c r="U211">
        <f t="shared" si="15"/>
        <v>1</v>
      </c>
      <c r="V211">
        <f t="shared" si="16"/>
        <v>1</v>
      </c>
      <c r="W211">
        <f t="shared" si="16"/>
        <v>0</v>
      </c>
      <c r="X211">
        <f t="shared" si="16"/>
        <v>0</v>
      </c>
    </row>
    <row r="212" spans="1:24" x14ac:dyDescent="0.4">
      <c r="A212">
        <v>1102</v>
      </c>
      <c r="B212">
        <v>3</v>
      </c>
      <c r="C212" t="s">
        <v>2105</v>
      </c>
      <c r="D212" t="s">
        <v>13</v>
      </c>
      <c r="E212">
        <v>32</v>
      </c>
      <c r="F212">
        <v>0</v>
      </c>
      <c r="G212">
        <v>0</v>
      </c>
      <c r="H212" t="s">
        <v>1040</v>
      </c>
      <c r="I212">
        <v>22.524999999999999</v>
      </c>
      <c r="J212" t="s">
        <v>15</v>
      </c>
      <c r="K212" t="s">
        <v>16</v>
      </c>
      <c r="O212">
        <f>IF(I212&lt;&gt;"",I212,訓練データ!$O$19)</f>
        <v>22.524999999999999</v>
      </c>
      <c r="P212">
        <f>IF(E212&lt;&gt;"",E212,訓練データ!$O$18)</f>
        <v>32</v>
      </c>
      <c r="R212">
        <f t="shared" si="14"/>
        <v>0</v>
      </c>
      <c r="S212">
        <f t="shared" si="15"/>
        <v>0</v>
      </c>
      <c r="T212">
        <f t="shared" si="15"/>
        <v>0</v>
      </c>
      <c r="U212">
        <f t="shared" si="15"/>
        <v>1</v>
      </c>
      <c r="V212">
        <f t="shared" si="16"/>
        <v>1</v>
      </c>
      <c r="W212">
        <f t="shared" si="16"/>
        <v>0</v>
      </c>
      <c r="X212">
        <f t="shared" si="16"/>
        <v>0</v>
      </c>
    </row>
    <row r="213" spans="1:24" x14ac:dyDescent="0.4">
      <c r="A213">
        <v>1103</v>
      </c>
      <c r="B213">
        <v>3</v>
      </c>
      <c r="C213" t="s">
        <v>2106</v>
      </c>
      <c r="D213" t="s">
        <v>13</v>
      </c>
      <c r="F213">
        <v>0</v>
      </c>
      <c r="G213">
        <v>0</v>
      </c>
      <c r="H213" t="s">
        <v>2107</v>
      </c>
      <c r="I213">
        <v>7.05</v>
      </c>
      <c r="J213" t="s">
        <v>15</v>
      </c>
      <c r="K213" t="s">
        <v>16</v>
      </c>
      <c r="O213">
        <f>IF(I213&lt;&gt;"",I213,訓練データ!$O$19)</f>
        <v>7.05</v>
      </c>
      <c r="P213">
        <f>IF(E213&lt;&gt;"",E213,訓練データ!$O$18)</f>
        <v>28</v>
      </c>
      <c r="R213">
        <f t="shared" si="14"/>
        <v>0</v>
      </c>
      <c r="S213">
        <f t="shared" si="15"/>
        <v>0</v>
      </c>
      <c r="T213">
        <f t="shared" si="15"/>
        <v>0</v>
      </c>
      <c r="U213">
        <f t="shared" si="15"/>
        <v>1</v>
      </c>
      <c r="V213">
        <f t="shared" si="16"/>
        <v>1</v>
      </c>
      <c r="W213">
        <f t="shared" si="16"/>
        <v>0</v>
      </c>
      <c r="X213">
        <f t="shared" si="16"/>
        <v>0</v>
      </c>
    </row>
    <row r="214" spans="1:24" x14ac:dyDescent="0.4">
      <c r="A214">
        <v>1104</v>
      </c>
      <c r="B214">
        <v>2</v>
      </c>
      <c r="C214" t="s">
        <v>2108</v>
      </c>
      <c r="D214" t="s">
        <v>13</v>
      </c>
      <c r="E214">
        <v>17</v>
      </c>
      <c r="F214">
        <v>0</v>
      </c>
      <c r="G214">
        <v>0</v>
      </c>
      <c r="H214" t="s">
        <v>176</v>
      </c>
      <c r="I214">
        <v>73.5</v>
      </c>
      <c r="J214" t="s">
        <v>15</v>
      </c>
      <c r="K214" t="s">
        <v>16</v>
      </c>
      <c r="O214">
        <f>IF(I214&lt;&gt;"",I214,訓練データ!$O$19)</f>
        <v>73.5</v>
      </c>
      <c r="P214">
        <f>IF(E214&lt;&gt;"",E214,訓練データ!$O$18)</f>
        <v>17</v>
      </c>
      <c r="R214">
        <f t="shared" si="14"/>
        <v>0</v>
      </c>
      <c r="S214">
        <f t="shared" si="15"/>
        <v>0</v>
      </c>
      <c r="T214">
        <f t="shared" si="15"/>
        <v>1</v>
      </c>
      <c r="U214">
        <f t="shared" si="15"/>
        <v>0</v>
      </c>
      <c r="V214">
        <f t="shared" si="16"/>
        <v>1</v>
      </c>
      <c r="W214">
        <f t="shared" si="16"/>
        <v>0</v>
      </c>
      <c r="X214">
        <f t="shared" si="16"/>
        <v>0</v>
      </c>
    </row>
    <row r="215" spans="1:24" x14ac:dyDescent="0.4">
      <c r="A215">
        <v>1105</v>
      </c>
      <c r="B215">
        <v>2</v>
      </c>
      <c r="C215" t="s">
        <v>2109</v>
      </c>
      <c r="D215" t="s">
        <v>18</v>
      </c>
      <c r="E215">
        <v>60</v>
      </c>
      <c r="F215">
        <v>1</v>
      </c>
      <c r="G215">
        <v>0</v>
      </c>
      <c r="H215" t="s">
        <v>1765</v>
      </c>
      <c r="I215">
        <v>26</v>
      </c>
      <c r="J215" t="s">
        <v>15</v>
      </c>
      <c r="K215" t="s">
        <v>16</v>
      </c>
      <c r="O215">
        <f>IF(I215&lt;&gt;"",I215,訓練データ!$O$19)</f>
        <v>26</v>
      </c>
      <c r="P215">
        <f>IF(E215&lt;&gt;"",E215,訓練データ!$O$18)</f>
        <v>60</v>
      </c>
      <c r="R215">
        <f t="shared" si="14"/>
        <v>1</v>
      </c>
      <c r="S215">
        <f t="shared" si="15"/>
        <v>0</v>
      </c>
      <c r="T215">
        <f t="shared" si="15"/>
        <v>1</v>
      </c>
      <c r="U215">
        <f t="shared" si="15"/>
        <v>0</v>
      </c>
      <c r="V215">
        <f t="shared" si="16"/>
        <v>1</v>
      </c>
      <c r="W215">
        <f t="shared" si="16"/>
        <v>0</v>
      </c>
      <c r="X215">
        <f t="shared" si="16"/>
        <v>0</v>
      </c>
    </row>
    <row r="216" spans="1:24" x14ac:dyDescent="0.4">
      <c r="A216">
        <v>1106</v>
      </c>
      <c r="B216">
        <v>3</v>
      </c>
      <c r="C216" t="s">
        <v>2110</v>
      </c>
      <c r="D216" t="s">
        <v>18</v>
      </c>
      <c r="E216">
        <v>38</v>
      </c>
      <c r="F216">
        <v>4</v>
      </c>
      <c r="G216">
        <v>2</v>
      </c>
      <c r="H216" t="s">
        <v>2111</v>
      </c>
      <c r="I216">
        <v>7.7750000000000004</v>
      </c>
      <c r="J216" t="s">
        <v>15</v>
      </c>
      <c r="K216" t="s">
        <v>16</v>
      </c>
      <c r="O216">
        <f>IF(I216&lt;&gt;"",I216,訓練データ!$O$19)</f>
        <v>7.7750000000000004</v>
      </c>
      <c r="P216">
        <f>IF(E216&lt;&gt;"",E216,訓練データ!$O$18)</f>
        <v>38</v>
      </c>
      <c r="R216">
        <f t="shared" si="14"/>
        <v>1</v>
      </c>
      <c r="S216">
        <f t="shared" si="15"/>
        <v>0</v>
      </c>
      <c r="T216">
        <f t="shared" si="15"/>
        <v>0</v>
      </c>
      <c r="U216">
        <f t="shared" si="15"/>
        <v>1</v>
      </c>
      <c r="V216">
        <f t="shared" si="16"/>
        <v>1</v>
      </c>
      <c r="W216">
        <f t="shared" si="16"/>
        <v>0</v>
      </c>
      <c r="X216">
        <f t="shared" si="16"/>
        <v>0</v>
      </c>
    </row>
    <row r="217" spans="1:24" x14ac:dyDescent="0.4">
      <c r="A217">
        <v>1107</v>
      </c>
      <c r="B217">
        <v>1</v>
      </c>
      <c r="C217" t="s">
        <v>2112</v>
      </c>
      <c r="D217" t="s">
        <v>13</v>
      </c>
      <c r="E217">
        <v>42</v>
      </c>
      <c r="F217">
        <v>0</v>
      </c>
      <c r="G217">
        <v>0</v>
      </c>
      <c r="H217" t="s">
        <v>2113</v>
      </c>
      <c r="I217">
        <v>42.5</v>
      </c>
      <c r="J217" t="s">
        <v>2114</v>
      </c>
      <c r="K217" t="s">
        <v>16</v>
      </c>
      <c r="O217">
        <f>IF(I217&lt;&gt;"",I217,訓練データ!$O$19)</f>
        <v>42.5</v>
      </c>
      <c r="P217">
        <f>IF(E217&lt;&gt;"",E217,訓練データ!$O$18)</f>
        <v>42</v>
      </c>
      <c r="R217">
        <f t="shared" si="14"/>
        <v>0</v>
      </c>
      <c r="S217">
        <f t="shared" si="15"/>
        <v>1</v>
      </c>
      <c r="T217">
        <f t="shared" si="15"/>
        <v>0</v>
      </c>
      <c r="U217">
        <f t="shared" si="15"/>
        <v>0</v>
      </c>
      <c r="V217">
        <f t="shared" si="16"/>
        <v>1</v>
      </c>
      <c r="W217">
        <f t="shared" si="16"/>
        <v>0</v>
      </c>
      <c r="X217">
        <f t="shared" si="16"/>
        <v>0</v>
      </c>
    </row>
    <row r="218" spans="1:24" x14ac:dyDescent="0.4">
      <c r="A218">
        <v>1108</v>
      </c>
      <c r="B218">
        <v>3</v>
      </c>
      <c r="C218" t="s">
        <v>2115</v>
      </c>
      <c r="D218" t="s">
        <v>18</v>
      </c>
      <c r="F218">
        <v>0</v>
      </c>
      <c r="G218">
        <v>0</v>
      </c>
      <c r="H218" t="s">
        <v>2116</v>
      </c>
      <c r="I218">
        <v>7.8792</v>
      </c>
      <c r="J218" t="s">
        <v>15</v>
      </c>
      <c r="K218" t="s">
        <v>31</v>
      </c>
      <c r="O218">
        <f>IF(I218&lt;&gt;"",I218,訓練データ!$O$19)</f>
        <v>7.8792</v>
      </c>
      <c r="P218">
        <f>IF(E218&lt;&gt;"",E218,訓練データ!$O$18)</f>
        <v>28</v>
      </c>
      <c r="R218">
        <f t="shared" si="14"/>
        <v>1</v>
      </c>
      <c r="S218">
        <f t="shared" si="15"/>
        <v>0</v>
      </c>
      <c r="T218">
        <f t="shared" si="15"/>
        <v>0</v>
      </c>
      <c r="U218">
        <f t="shared" si="15"/>
        <v>1</v>
      </c>
      <c r="V218">
        <f t="shared" si="16"/>
        <v>0</v>
      </c>
      <c r="W218">
        <f t="shared" si="16"/>
        <v>1</v>
      </c>
      <c r="X218">
        <f t="shared" si="16"/>
        <v>0</v>
      </c>
    </row>
    <row r="219" spans="1:24" x14ac:dyDescent="0.4">
      <c r="A219">
        <v>1109</v>
      </c>
      <c r="B219">
        <v>1</v>
      </c>
      <c r="C219" t="s">
        <v>2117</v>
      </c>
      <c r="D219" t="s">
        <v>13</v>
      </c>
      <c r="E219">
        <v>57</v>
      </c>
      <c r="F219">
        <v>1</v>
      </c>
      <c r="G219">
        <v>1</v>
      </c>
      <c r="H219" t="s">
        <v>679</v>
      </c>
      <c r="I219">
        <v>164.86670000000001</v>
      </c>
      <c r="J219" t="s">
        <v>15</v>
      </c>
      <c r="K219" t="s">
        <v>16</v>
      </c>
      <c r="O219">
        <f>IF(I219&lt;&gt;"",I219,訓練データ!$O$19)</f>
        <v>164.86670000000001</v>
      </c>
      <c r="P219">
        <f>IF(E219&lt;&gt;"",E219,訓練データ!$O$18)</f>
        <v>57</v>
      </c>
      <c r="R219">
        <f t="shared" si="14"/>
        <v>0</v>
      </c>
      <c r="S219">
        <f t="shared" si="15"/>
        <v>1</v>
      </c>
      <c r="T219">
        <f t="shared" si="15"/>
        <v>0</v>
      </c>
      <c r="U219">
        <f t="shared" si="15"/>
        <v>0</v>
      </c>
      <c r="V219">
        <f t="shared" si="16"/>
        <v>1</v>
      </c>
      <c r="W219">
        <f t="shared" si="16"/>
        <v>0</v>
      </c>
      <c r="X219">
        <f t="shared" si="16"/>
        <v>0</v>
      </c>
    </row>
    <row r="220" spans="1:24" x14ac:dyDescent="0.4">
      <c r="A220">
        <v>1110</v>
      </c>
      <c r="B220">
        <v>1</v>
      </c>
      <c r="C220" t="s">
        <v>2118</v>
      </c>
      <c r="D220" t="s">
        <v>18</v>
      </c>
      <c r="E220">
        <v>50</v>
      </c>
      <c r="F220">
        <v>1</v>
      </c>
      <c r="G220">
        <v>1</v>
      </c>
      <c r="H220" t="s">
        <v>791</v>
      </c>
      <c r="I220">
        <v>211.5</v>
      </c>
      <c r="J220" t="s">
        <v>2119</v>
      </c>
      <c r="K220" t="s">
        <v>21</v>
      </c>
      <c r="O220">
        <f>IF(I220&lt;&gt;"",I220,訓練データ!$O$19)</f>
        <v>211.5</v>
      </c>
      <c r="P220">
        <f>IF(E220&lt;&gt;"",E220,訓練データ!$O$18)</f>
        <v>50</v>
      </c>
      <c r="R220">
        <f t="shared" si="14"/>
        <v>1</v>
      </c>
      <c r="S220">
        <f t="shared" si="15"/>
        <v>1</v>
      </c>
      <c r="T220">
        <f t="shared" si="15"/>
        <v>0</v>
      </c>
      <c r="U220">
        <f t="shared" si="15"/>
        <v>0</v>
      </c>
      <c r="V220">
        <f t="shared" si="16"/>
        <v>0</v>
      </c>
      <c r="W220">
        <f t="shared" si="16"/>
        <v>0</v>
      </c>
      <c r="X220">
        <f t="shared" si="16"/>
        <v>1</v>
      </c>
    </row>
    <row r="221" spans="1:24" x14ac:dyDescent="0.4">
      <c r="A221">
        <v>1111</v>
      </c>
      <c r="B221">
        <v>3</v>
      </c>
      <c r="C221" t="s">
        <v>2120</v>
      </c>
      <c r="D221" t="s">
        <v>13</v>
      </c>
      <c r="F221">
        <v>0</v>
      </c>
      <c r="G221">
        <v>0</v>
      </c>
      <c r="H221" t="s">
        <v>2121</v>
      </c>
      <c r="I221">
        <v>8.0500000000000007</v>
      </c>
      <c r="J221" t="s">
        <v>15</v>
      </c>
      <c r="K221" t="s">
        <v>16</v>
      </c>
      <c r="O221">
        <f>IF(I221&lt;&gt;"",I221,訓練データ!$O$19)</f>
        <v>8.0500000000000007</v>
      </c>
      <c r="P221">
        <f>IF(E221&lt;&gt;"",E221,訓練データ!$O$18)</f>
        <v>28</v>
      </c>
      <c r="R221">
        <f t="shared" si="14"/>
        <v>0</v>
      </c>
      <c r="S221">
        <f t="shared" si="15"/>
        <v>0</v>
      </c>
      <c r="T221">
        <f t="shared" si="15"/>
        <v>0</v>
      </c>
      <c r="U221">
        <f t="shared" si="15"/>
        <v>1</v>
      </c>
      <c r="V221">
        <f t="shared" si="16"/>
        <v>1</v>
      </c>
      <c r="W221">
        <f t="shared" si="16"/>
        <v>0</v>
      </c>
      <c r="X221">
        <f t="shared" si="16"/>
        <v>0</v>
      </c>
    </row>
    <row r="222" spans="1:24" x14ac:dyDescent="0.4">
      <c r="A222">
        <v>1112</v>
      </c>
      <c r="B222">
        <v>2</v>
      </c>
      <c r="C222" t="s">
        <v>2122</v>
      </c>
      <c r="D222" t="s">
        <v>18</v>
      </c>
      <c r="E222">
        <v>30</v>
      </c>
      <c r="F222">
        <v>1</v>
      </c>
      <c r="G222">
        <v>0</v>
      </c>
      <c r="H222" t="s">
        <v>2123</v>
      </c>
      <c r="I222">
        <v>13.8583</v>
      </c>
      <c r="J222" t="s">
        <v>15</v>
      </c>
      <c r="K222" t="s">
        <v>21</v>
      </c>
      <c r="O222">
        <f>IF(I222&lt;&gt;"",I222,訓練データ!$O$19)</f>
        <v>13.8583</v>
      </c>
      <c r="P222">
        <f>IF(E222&lt;&gt;"",E222,訓練データ!$O$18)</f>
        <v>30</v>
      </c>
      <c r="R222">
        <f t="shared" si="14"/>
        <v>1</v>
      </c>
      <c r="S222">
        <f t="shared" si="15"/>
        <v>0</v>
      </c>
      <c r="T222">
        <f t="shared" si="15"/>
        <v>1</v>
      </c>
      <c r="U222">
        <f t="shared" si="15"/>
        <v>0</v>
      </c>
      <c r="V222">
        <f t="shared" si="16"/>
        <v>0</v>
      </c>
      <c r="W222">
        <f t="shared" si="16"/>
        <v>0</v>
      </c>
      <c r="X222">
        <f t="shared" si="16"/>
        <v>1</v>
      </c>
    </row>
    <row r="223" spans="1:24" x14ac:dyDescent="0.4">
      <c r="A223">
        <v>1113</v>
      </c>
      <c r="B223">
        <v>3</v>
      </c>
      <c r="C223" t="s">
        <v>2124</v>
      </c>
      <c r="D223" t="s">
        <v>13</v>
      </c>
      <c r="E223">
        <v>21</v>
      </c>
      <c r="F223">
        <v>0</v>
      </c>
      <c r="G223">
        <v>0</v>
      </c>
      <c r="H223" t="s">
        <v>2125</v>
      </c>
      <c r="I223">
        <v>8.0500000000000007</v>
      </c>
      <c r="J223" t="s">
        <v>15</v>
      </c>
      <c r="K223" t="s">
        <v>16</v>
      </c>
      <c r="O223">
        <f>IF(I223&lt;&gt;"",I223,訓練データ!$O$19)</f>
        <v>8.0500000000000007</v>
      </c>
      <c r="P223">
        <f>IF(E223&lt;&gt;"",E223,訓練データ!$O$18)</f>
        <v>21</v>
      </c>
      <c r="R223">
        <f t="shared" si="14"/>
        <v>0</v>
      </c>
      <c r="S223">
        <f t="shared" si="15"/>
        <v>0</v>
      </c>
      <c r="T223">
        <f t="shared" si="15"/>
        <v>0</v>
      </c>
      <c r="U223">
        <f t="shared" si="15"/>
        <v>1</v>
      </c>
      <c r="V223">
        <f t="shared" si="16"/>
        <v>1</v>
      </c>
      <c r="W223">
        <f t="shared" si="16"/>
        <v>0</v>
      </c>
      <c r="X223">
        <f t="shared" si="16"/>
        <v>0</v>
      </c>
    </row>
    <row r="224" spans="1:24" x14ac:dyDescent="0.4">
      <c r="A224">
        <v>1114</v>
      </c>
      <c r="B224">
        <v>2</v>
      </c>
      <c r="C224" t="s">
        <v>2126</v>
      </c>
      <c r="D224" t="s">
        <v>18</v>
      </c>
      <c r="E224">
        <v>22</v>
      </c>
      <c r="F224">
        <v>0</v>
      </c>
      <c r="G224">
        <v>0</v>
      </c>
      <c r="H224" t="s">
        <v>2127</v>
      </c>
      <c r="I224">
        <v>10.5</v>
      </c>
      <c r="J224" t="s">
        <v>165</v>
      </c>
      <c r="K224" t="s">
        <v>16</v>
      </c>
      <c r="O224">
        <f>IF(I224&lt;&gt;"",I224,訓練データ!$O$19)</f>
        <v>10.5</v>
      </c>
      <c r="P224">
        <f>IF(E224&lt;&gt;"",E224,訓練データ!$O$18)</f>
        <v>22</v>
      </c>
      <c r="R224">
        <f t="shared" si="14"/>
        <v>1</v>
      </c>
      <c r="S224">
        <f t="shared" si="15"/>
        <v>0</v>
      </c>
      <c r="T224">
        <f t="shared" si="15"/>
        <v>1</v>
      </c>
      <c r="U224">
        <f t="shared" si="15"/>
        <v>0</v>
      </c>
      <c r="V224">
        <f t="shared" si="16"/>
        <v>1</v>
      </c>
      <c r="W224">
        <f t="shared" si="16"/>
        <v>0</v>
      </c>
      <c r="X224">
        <f t="shared" si="16"/>
        <v>0</v>
      </c>
    </row>
    <row r="225" spans="1:24" x14ac:dyDescent="0.4">
      <c r="A225">
        <v>1115</v>
      </c>
      <c r="B225">
        <v>3</v>
      </c>
      <c r="C225" t="s">
        <v>2128</v>
      </c>
      <c r="D225" t="s">
        <v>13</v>
      </c>
      <c r="E225">
        <v>21</v>
      </c>
      <c r="F225">
        <v>0</v>
      </c>
      <c r="G225">
        <v>0</v>
      </c>
      <c r="H225" t="s">
        <v>2129</v>
      </c>
      <c r="I225">
        <v>7.7957999999999998</v>
      </c>
      <c r="J225" t="s">
        <v>15</v>
      </c>
      <c r="K225" t="s">
        <v>16</v>
      </c>
      <c r="O225">
        <f>IF(I225&lt;&gt;"",I225,訓練データ!$O$19)</f>
        <v>7.7957999999999998</v>
      </c>
      <c r="P225">
        <f>IF(E225&lt;&gt;"",E225,訓練データ!$O$18)</f>
        <v>21</v>
      </c>
      <c r="R225">
        <f t="shared" si="14"/>
        <v>0</v>
      </c>
      <c r="S225">
        <f t="shared" si="15"/>
        <v>0</v>
      </c>
      <c r="T225">
        <f t="shared" si="15"/>
        <v>0</v>
      </c>
      <c r="U225">
        <f t="shared" si="15"/>
        <v>1</v>
      </c>
      <c r="V225">
        <f t="shared" si="16"/>
        <v>1</v>
      </c>
      <c r="W225">
        <f t="shared" si="16"/>
        <v>0</v>
      </c>
      <c r="X225">
        <f t="shared" si="16"/>
        <v>0</v>
      </c>
    </row>
    <row r="226" spans="1:24" x14ac:dyDescent="0.4">
      <c r="A226">
        <v>1116</v>
      </c>
      <c r="B226">
        <v>1</v>
      </c>
      <c r="C226" t="s">
        <v>2130</v>
      </c>
      <c r="D226" t="s">
        <v>18</v>
      </c>
      <c r="E226">
        <v>53</v>
      </c>
      <c r="F226">
        <v>0</v>
      </c>
      <c r="G226">
        <v>0</v>
      </c>
      <c r="H226" t="s">
        <v>2131</v>
      </c>
      <c r="I226">
        <v>27.445799999999998</v>
      </c>
      <c r="J226" t="s">
        <v>15</v>
      </c>
      <c r="K226" t="s">
        <v>21</v>
      </c>
      <c r="O226">
        <f>IF(I226&lt;&gt;"",I226,訓練データ!$O$19)</f>
        <v>27.445799999999998</v>
      </c>
      <c r="P226">
        <f>IF(E226&lt;&gt;"",E226,訓練データ!$O$18)</f>
        <v>53</v>
      </c>
      <c r="R226">
        <f t="shared" si="14"/>
        <v>1</v>
      </c>
      <c r="S226">
        <f t="shared" si="15"/>
        <v>1</v>
      </c>
      <c r="T226">
        <f t="shared" si="15"/>
        <v>0</v>
      </c>
      <c r="U226">
        <f t="shared" si="15"/>
        <v>0</v>
      </c>
      <c r="V226">
        <f t="shared" si="16"/>
        <v>0</v>
      </c>
      <c r="W226">
        <f t="shared" si="16"/>
        <v>0</v>
      </c>
      <c r="X226">
        <f t="shared" si="16"/>
        <v>1</v>
      </c>
    </row>
    <row r="227" spans="1:24" x14ac:dyDescent="0.4">
      <c r="A227">
        <v>1117</v>
      </c>
      <c r="B227">
        <v>3</v>
      </c>
      <c r="C227" t="s">
        <v>2132</v>
      </c>
      <c r="D227" t="s">
        <v>18</v>
      </c>
      <c r="F227">
        <v>0</v>
      </c>
      <c r="G227">
        <v>2</v>
      </c>
      <c r="H227" t="s">
        <v>162</v>
      </c>
      <c r="I227">
        <v>15.245799999999999</v>
      </c>
      <c r="J227" t="s">
        <v>15</v>
      </c>
      <c r="K227" t="s">
        <v>21</v>
      </c>
      <c r="O227">
        <f>IF(I227&lt;&gt;"",I227,訓練データ!$O$19)</f>
        <v>15.245799999999999</v>
      </c>
      <c r="P227">
        <f>IF(E227&lt;&gt;"",E227,訓練データ!$O$18)</f>
        <v>28</v>
      </c>
      <c r="R227">
        <f t="shared" si="14"/>
        <v>1</v>
      </c>
      <c r="S227">
        <f t="shared" si="15"/>
        <v>0</v>
      </c>
      <c r="T227">
        <f t="shared" si="15"/>
        <v>0</v>
      </c>
      <c r="U227">
        <f t="shared" si="15"/>
        <v>1</v>
      </c>
      <c r="V227">
        <f t="shared" si="16"/>
        <v>0</v>
      </c>
      <c r="W227">
        <f t="shared" si="16"/>
        <v>0</v>
      </c>
      <c r="X227">
        <f t="shared" si="16"/>
        <v>1</v>
      </c>
    </row>
    <row r="228" spans="1:24" x14ac:dyDescent="0.4">
      <c r="A228">
        <v>1118</v>
      </c>
      <c r="B228">
        <v>3</v>
      </c>
      <c r="C228" t="s">
        <v>2133</v>
      </c>
      <c r="D228" t="s">
        <v>13</v>
      </c>
      <c r="E228">
        <v>23</v>
      </c>
      <c r="F228">
        <v>0</v>
      </c>
      <c r="G228">
        <v>0</v>
      </c>
      <c r="H228" t="s">
        <v>2134</v>
      </c>
      <c r="I228">
        <v>7.7957999999999998</v>
      </c>
      <c r="J228" t="s">
        <v>15</v>
      </c>
      <c r="K228" t="s">
        <v>16</v>
      </c>
      <c r="O228">
        <f>IF(I228&lt;&gt;"",I228,訓練データ!$O$19)</f>
        <v>7.7957999999999998</v>
      </c>
      <c r="P228">
        <f>IF(E228&lt;&gt;"",E228,訓練データ!$O$18)</f>
        <v>23</v>
      </c>
      <c r="R228">
        <f t="shared" si="14"/>
        <v>0</v>
      </c>
      <c r="S228">
        <f t="shared" si="15"/>
        <v>0</v>
      </c>
      <c r="T228">
        <f t="shared" si="15"/>
        <v>0</v>
      </c>
      <c r="U228">
        <f t="shared" si="15"/>
        <v>1</v>
      </c>
      <c r="V228">
        <f t="shared" si="16"/>
        <v>1</v>
      </c>
      <c r="W228">
        <f t="shared" si="16"/>
        <v>0</v>
      </c>
      <c r="X228">
        <f t="shared" si="16"/>
        <v>0</v>
      </c>
    </row>
    <row r="229" spans="1:24" x14ac:dyDescent="0.4">
      <c r="A229">
        <v>1119</v>
      </c>
      <c r="B229">
        <v>3</v>
      </c>
      <c r="C229" t="s">
        <v>2135</v>
      </c>
      <c r="D229" t="s">
        <v>18</v>
      </c>
      <c r="F229">
        <v>0</v>
      </c>
      <c r="G229">
        <v>0</v>
      </c>
      <c r="H229" t="s">
        <v>2136</v>
      </c>
      <c r="I229">
        <v>7.75</v>
      </c>
      <c r="J229" t="s">
        <v>15</v>
      </c>
      <c r="K229" t="s">
        <v>31</v>
      </c>
      <c r="O229">
        <f>IF(I229&lt;&gt;"",I229,訓練データ!$O$19)</f>
        <v>7.75</v>
      </c>
      <c r="P229">
        <f>IF(E229&lt;&gt;"",E229,訓練データ!$O$18)</f>
        <v>28</v>
      </c>
      <c r="R229">
        <f t="shared" si="14"/>
        <v>1</v>
      </c>
      <c r="S229">
        <f t="shared" si="15"/>
        <v>0</v>
      </c>
      <c r="T229">
        <f t="shared" si="15"/>
        <v>0</v>
      </c>
      <c r="U229">
        <f t="shared" si="15"/>
        <v>1</v>
      </c>
      <c r="V229">
        <f t="shared" si="16"/>
        <v>0</v>
      </c>
      <c r="W229">
        <f t="shared" si="16"/>
        <v>1</v>
      </c>
      <c r="X229">
        <f t="shared" si="16"/>
        <v>0</v>
      </c>
    </row>
    <row r="230" spans="1:24" x14ac:dyDescent="0.4">
      <c r="A230">
        <v>1120</v>
      </c>
      <c r="B230">
        <v>3</v>
      </c>
      <c r="C230" t="s">
        <v>2137</v>
      </c>
      <c r="D230" t="s">
        <v>13</v>
      </c>
      <c r="E230">
        <v>40.5</v>
      </c>
      <c r="F230">
        <v>0</v>
      </c>
      <c r="G230">
        <v>0</v>
      </c>
      <c r="H230" t="s">
        <v>1020</v>
      </c>
      <c r="I230">
        <v>15.1</v>
      </c>
      <c r="J230" t="s">
        <v>15</v>
      </c>
      <c r="K230" t="s">
        <v>16</v>
      </c>
      <c r="O230">
        <f>IF(I230&lt;&gt;"",I230,訓練データ!$O$19)</f>
        <v>15.1</v>
      </c>
      <c r="P230">
        <f>IF(E230&lt;&gt;"",E230,訓練データ!$O$18)</f>
        <v>40.5</v>
      </c>
      <c r="R230">
        <f t="shared" si="14"/>
        <v>0</v>
      </c>
      <c r="S230">
        <f t="shared" si="15"/>
        <v>0</v>
      </c>
      <c r="T230">
        <f t="shared" si="15"/>
        <v>0</v>
      </c>
      <c r="U230">
        <f t="shared" si="15"/>
        <v>1</v>
      </c>
      <c r="V230">
        <f t="shared" si="16"/>
        <v>1</v>
      </c>
      <c r="W230">
        <f t="shared" si="16"/>
        <v>0</v>
      </c>
      <c r="X230">
        <f t="shared" si="16"/>
        <v>0</v>
      </c>
    </row>
    <row r="231" spans="1:24" x14ac:dyDescent="0.4">
      <c r="A231">
        <v>1121</v>
      </c>
      <c r="B231">
        <v>2</v>
      </c>
      <c r="C231" t="s">
        <v>2138</v>
      </c>
      <c r="D231" t="s">
        <v>13</v>
      </c>
      <c r="E231">
        <v>36</v>
      </c>
      <c r="F231">
        <v>0</v>
      </c>
      <c r="G231">
        <v>0</v>
      </c>
      <c r="H231" t="s">
        <v>2139</v>
      </c>
      <c r="I231">
        <v>13</v>
      </c>
      <c r="J231" t="s">
        <v>15</v>
      </c>
      <c r="K231" t="s">
        <v>16</v>
      </c>
      <c r="O231">
        <f>IF(I231&lt;&gt;"",I231,訓練データ!$O$19)</f>
        <v>13</v>
      </c>
      <c r="P231">
        <f>IF(E231&lt;&gt;"",E231,訓練データ!$O$18)</f>
        <v>36</v>
      </c>
      <c r="R231">
        <f t="shared" si="14"/>
        <v>0</v>
      </c>
      <c r="S231">
        <f t="shared" si="15"/>
        <v>0</v>
      </c>
      <c r="T231">
        <f t="shared" si="15"/>
        <v>1</v>
      </c>
      <c r="U231">
        <f t="shared" si="15"/>
        <v>0</v>
      </c>
      <c r="V231">
        <f t="shared" si="16"/>
        <v>1</v>
      </c>
      <c r="W231">
        <f t="shared" si="16"/>
        <v>0</v>
      </c>
      <c r="X231">
        <f t="shared" si="16"/>
        <v>0</v>
      </c>
    </row>
    <row r="232" spans="1:24" x14ac:dyDescent="0.4">
      <c r="A232">
        <v>1122</v>
      </c>
      <c r="B232">
        <v>2</v>
      </c>
      <c r="C232" t="s">
        <v>2140</v>
      </c>
      <c r="D232" t="s">
        <v>13</v>
      </c>
      <c r="E232">
        <v>14</v>
      </c>
      <c r="F232">
        <v>0</v>
      </c>
      <c r="G232">
        <v>0</v>
      </c>
      <c r="H232" t="s">
        <v>1241</v>
      </c>
      <c r="I232">
        <v>65</v>
      </c>
      <c r="J232" t="s">
        <v>15</v>
      </c>
      <c r="K232" t="s">
        <v>16</v>
      </c>
      <c r="O232">
        <f>IF(I232&lt;&gt;"",I232,訓練データ!$O$19)</f>
        <v>65</v>
      </c>
      <c r="P232">
        <f>IF(E232&lt;&gt;"",E232,訓練データ!$O$18)</f>
        <v>14</v>
      </c>
      <c r="R232">
        <f t="shared" si="14"/>
        <v>0</v>
      </c>
      <c r="S232">
        <f t="shared" si="15"/>
        <v>0</v>
      </c>
      <c r="T232">
        <f t="shared" si="15"/>
        <v>1</v>
      </c>
      <c r="U232">
        <f t="shared" si="15"/>
        <v>0</v>
      </c>
      <c r="V232">
        <f t="shared" si="16"/>
        <v>1</v>
      </c>
      <c r="W232">
        <f t="shared" si="16"/>
        <v>0</v>
      </c>
      <c r="X232">
        <f t="shared" si="16"/>
        <v>0</v>
      </c>
    </row>
    <row r="233" spans="1:24" x14ac:dyDescent="0.4">
      <c r="A233">
        <v>1123</v>
      </c>
      <c r="B233">
        <v>1</v>
      </c>
      <c r="C233" t="s">
        <v>2141</v>
      </c>
      <c r="D233" t="s">
        <v>18</v>
      </c>
      <c r="E233">
        <v>21</v>
      </c>
      <c r="F233">
        <v>0</v>
      </c>
      <c r="G233">
        <v>0</v>
      </c>
      <c r="H233" t="s">
        <v>2142</v>
      </c>
      <c r="I233">
        <v>26.55</v>
      </c>
      <c r="J233" t="s">
        <v>15</v>
      </c>
      <c r="K233" t="s">
        <v>16</v>
      </c>
      <c r="O233">
        <f>IF(I233&lt;&gt;"",I233,訓練データ!$O$19)</f>
        <v>26.55</v>
      </c>
      <c r="P233">
        <f>IF(E233&lt;&gt;"",E233,訓練データ!$O$18)</f>
        <v>21</v>
      </c>
      <c r="R233">
        <f t="shared" si="14"/>
        <v>1</v>
      </c>
      <c r="S233">
        <f t="shared" si="15"/>
        <v>1</v>
      </c>
      <c r="T233">
        <f t="shared" si="15"/>
        <v>0</v>
      </c>
      <c r="U233">
        <f t="shared" si="15"/>
        <v>0</v>
      </c>
      <c r="V233">
        <f t="shared" si="16"/>
        <v>1</v>
      </c>
      <c r="W233">
        <f t="shared" si="16"/>
        <v>0</v>
      </c>
      <c r="X233">
        <f t="shared" si="16"/>
        <v>0</v>
      </c>
    </row>
    <row r="234" spans="1:24" x14ac:dyDescent="0.4">
      <c r="A234">
        <v>1124</v>
      </c>
      <c r="B234">
        <v>3</v>
      </c>
      <c r="C234" t="s">
        <v>2143</v>
      </c>
      <c r="D234" t="s">
        <v>13</v>
      </c>
      <c r="E234">
        <v>21</v>
      </c>
      <c r="F234">
        <v>1</v>
      </c>
      <c r="G234">
        <v>0</v>
      </c>
      <c r="H234" t="s">
        <v>2144</v>
      </c>
      <c r="I234">
        <v>6.4958</v>
      </c>
      <c r="J234" t="s">
        <v>15</v>
      </c>
      <c r="K234" t="s">
        <v>16</v>
      </c>
      <c r="O234">
        <f>IF(I234&lt;&gt;"",I234,訓練データ!$O$19)</f>
        <v>6.4958</v>
      </c>
      <c r="P234">
        <f>IF(E234&lt;&gt;"",E234,訓練データ!$O$18)</f>
        <v>21</v>
      </c>
      <c r="R234">
        <f t="shared" si="14"/>
        <v>0</v>
      </c>
      <c r="S234">
        <f t="shared" si="15"/>
        <v>0</v>
      </c>
      <c r="T234">
        <f t="shared" si="15"/>
        <v>0</v>
      </c>
      <c r="U234">
        <f t="shared" si="15"/>
        <v>1</v>
      </c>
      <c r="V234">
        <f t="shared" si="16"/>
        <v>1</v>
      </c>
      <c r="W234">
        <f t="shared" si="16"/>
        <v>0</v>
      </c>
      <c r="X234">
        <f t="shared" si="16"/>
        <v>0</v>
      </c>
    </row>
    <row r="235" spans="1:24" x14ac:dyDescent="0.4">
      <c r="A235">
        <v>1125</v>
      </c>
      <c r="B235">
        <v>3</v>
      </c>
      <c r="C235" t="s">
        <v>2145</v>
      </c>
      <c r="D235" t="s">
        <v>13</v>
      </c>
      <c r="F235">
        <v>0</v>
      </c>
      <c r="G235">
        <v>0</v>
      </c>
      <c r="H235" t="s">
        <v>2146</v>
      </c>
      <c r="I235">
        <v>7.8792</v>
      </c>
      <c r="J235" t="s">
        <v>15</v>
      </c>
      <c r="K235" t="s">
        <v>31</v>
      </c>
      <c r="O235">
        <f>IF(I235&lt;&gt;"",I235,訓練データ!$O$19)</f>
        <v>7.8792</v>
      </c>
      <c r="P235">
        <f>IF(E235&lt;&gt;"",E235,訓練データ!$O$18)</f>
        <v>28</v>
      </c>
      <c r="R235">
        <f t="shared" si="14"/>
        <v>0</v>
      </c>
      <c r="S235">
        <f t="shared" si="15"/>
        <v>0</v>
      </c>
      <c r="T235">
        <f t="shared" si="15"/>
        <v>0</v>
      </c>
      <c r="U235">
        <f t="shared" si="15"/>
        <v>1</v>
      </c>
      <c r="V235">
        <f t="shared" si="16"/>
        <v>0</v>
      </c>
      <c r="W235">
        <f t="shared" si="16"/>
        <v>1</v>
      </c>
      <c r="X235">
        <f t="shared" si="16"/>
        <v>0</v>
      </c>
    </row>
    <row r="236" spans="1:24" x14ac:dyDescent="0.4">
      <c r="A236">
        <v>1126</v>
      </c>
      <c r="B236">
        <v>1</v>
      </c>
      <c r="C236" t="s">
        <v>2147</v>
      </c>
      <c r="D236" t="s">
        <v>13</v>
      </c>
      <c r="E236">
        <v>39</v>
      </c>
      <c r="F236">
        <v>1</v>
      </c>
      <c r="G236">
        <v>0</v>
      </c>
      <c r="H236" t="s">
        <v>19</v>
      </c>
      <c r="I236">
        <v>71.283299999999997</v>
      </c>
      <c r="J236" t="s">
        <v>20</v>
      </c>
      <c r="K236" t="s">
        <v>21</v>
      </c>
      <c r="O236">
        <f>IF(I236&lt;&gt;"",I236,訓練データ!$O$19)</f>
        <v>71.283299999999997</v>
      </c>
      <c r="P236">
        <f>IF(E236&lt;&gt;"",E236,訓練データ!$O$18)</f>
        <v>39</v>
      </c>
      <c r="R236">
        <f t="shared" si="14"/>
        <v>0</v>
      </c>
      <c r="S236">
        <f t="shared" si="15"/>
        <v>1</v>
      </c>
      <c r="T236">
        <f t="shared" si="15"/>
        <v>0</v>
      </c>
      <c r="U236">
        <f t="shared" si="15"/>
        <v>0</v>
      </c>
      <c r="V236">
        <f t="shared" si="16"/>
        <v>0</v>
      </c>
      <c r="W236">
        <f t="shared" si="16"/>
        <v>0</v>
      </c>
      <c r="X236">
        <f t="shared" si="16"/>
        <v>1</v>
      </c>
    </row>
    <row r="237" spans="1:24" x14ac:dyDescent="0.4">
      <c r="A237">
        <v>1127</v>
      </c>
      <c r="B237">
        <v>3</v>
      </c>
      <c r="C237" t="s">
        <v>2148</v>
      </c>
      <c r="D237" t="s">
        <v>13</v>
      </c>
      <c r="E237">
        <v>20</v>
      </c>
      <c r="F237">
        <v>0</v>
      </c>
      <c r="G237">
        <v>0</v>
      </c>
      <c r="H237" t="s">
        <v>2149</v>
      </c>
      <c r="I237">
        <v>7.8541999999999996</v>
      </c>
      <c r="J237" t="s">
        <v>15</v>
      </c>
      <c r="K237" t="s">
        <v>16</v>
      </c>
      <c r="O237">
        <f>IF(I237&lt;&gt;"",I237,訓練データ!$O$19)</f>
        <v>7.8541999999999996</v>
      </c>
      <c r="P237">
        <f>IF(E237&lt;&gt;"",E237,訓練データ!$O$18)</f>
        <v>20</v>
      </c>
      <c r="R237">
        <f t="shared" si="14"/>
        <v>0</v>
      </c>
      <c r="S237">
        <f t="shared" si="15"/>
        <v>0</v>
      </c>
      <c r="T237">
        <f t="shared" si="15"/>
        <v>0</v>
      </c>
      <c r="U237">
        <f t="shared" si="15"/>
        <v>1</v>
      </c>
      <c r="V237">
        <f t="shared" si="16"/>
        <v>1</v>
      </c>
      <c r="W237">
        <f t="shared" si="16"/>
        <v>0</v>
      </c>
      <c r="X237">
        <f t="shared" si="16"/>
        <v>0</v>
      </c>
    </row>
    <row r="238" spans="1:24" x14ac:dyDescent="0.4">
      <c r="A238">
        <v>1128</v>
      </c>
      <c r="B238">
        <v>1</v>
      </c>
      <c r="C238" t="s">
        <v>2150</v>
      </c>
      <c r="D238" t="s">
        <v>13</v>
      </c>
      <c r="E238">
        <v>64</v>
      </c>
      <c r="F238">
        <v>1</v>
      </c>
      <c r="G238">
        <v>0</v>
      </c>
      <c r="H238" t="s">
        <v>769</v>
      </c>
      <c r="I238">
        <v>75.25</v>
      </c>
      <c r="J238" t="s">
        <v>770</v>
      </c>
      <c r="K238" t="s">
        <v>21</v>
      </c>
      <c r="O238">
        <f>IF(I238&lt;&gt;"",I238,訓練データ!$O$19)</f>
        <v>75.25</v>
      </c>
      <c r="P238">
        <f>IF(E238&lt;&gt;"",E238,訓練データ!$O$18)</f>
        <v>64</v>
      </c>
      <c r="R238">
        <f t="shared" si="14"/>
        <v>0</v>
      </c>
      <c r="S238">
        <f t="shared" si="15"/>
        <v>1</v>
      </c>
      <c r="T238">
        <f t="shared" si="15"/>
        <v>0</v>
      </c>
      <c r="U238">
        <f t="shared" si="15"/>
        <v>0</v>
      </c>
      <c r="V238">
        <f t="shared" si="16"/>
        <v>0</v>
      </c>
      <c r="W238">
        <f t="shared" si="16"/>
        <v>0</v>
      </c>
      <c r="X238">
        <f t="shared" si="16"/>
        <v>1</v>
      </c>
    </row>
    <row r="239" spans="1:24" x14ac:dyDescent="0.4">
      <c r="A239">
        <v>1129</v>
      </c>
      <c r="B239">
        <v>3</v>
      </c>
      <c r="C239" t="s">
        <v>2151</v>
      </c>
      <c r="D239" t="s">
        <v>13</v>
      </c>
      <c r="E239">
        <v>20</v>
      </c>
      <c r="F239">
        <v>0</v>
      </c>
      <c r="G239">
        <v>0</v>
      </c>
      <c r="H239" t="s">
        <v>2152</v>
      </c>
      <c r="I239">
        <v>7.2249999999999996</v>
      </c>
      <c r="J239" t="s">
        <v>15</v>
      </c>
      <c r="K239" t="s">
        <v>21</v>
      </c>
      <c r="O239">
        <f>IF(I239&lt;&gt;"",I239,訓練データ!$O$19)</f>
        <v>7.2249999999999996</v>
      </c>
      <c r="P239">
        <f>IF(E239&lt;&gt;"",E239,訓練データ!$O$18)</f>
        <v>20</v>
      </c>
      <c r="R239">
        <f t="shared" si="14"/>
        <v>0</v>
      </c>
      <c r="S239">
        <f t="shared" si="15"/>
        <v>0</v>
      </c>
      <c r="T239">
        <f t="shared" si="15"/>
        <v>0</v>
      </c>
      <c r="U239">
        <f t="shared" si="15"/>
        <v>1</v>
      </c>
      <c r="V239">
        <f t="shared" si="16"/>
        <v>0</v>
      </c>
      <c r="W239">
        <f t="shared" si="16"/>
        <v>0</v>
      </c>
      <c r="X239">
        <f t="shared" si="16"/>
        <v>1</v>
      </c>
    </row>
    <row r="240" spans="1:24" x14ac:dyDescent="0.4">
      <c r="A240">
        <v>1130</v>
      </c>
      <c r="B240">
        <v>2</v>
      </c>
      <c r="C240" t="s">
        <v>2153</v>
      </c>
      <c r="D240" t="s">
        <v>18</v>
      </c>
      <c r="E240">
        <v>18</v>
      </c>
      <c r="F240">
        <v>1</v>
      </c>
      <c r="G240">
        <v>1</v>
      </c>
      <c r="H240" t="s">
        <v>2154</v>
      </c>
      <c r="I240">
        <v>13</v>
      </c>
      <c r="J240" t="s">
        <v>15</v>
      </c>
      <c r="K240" t="s">
        <v>16</v>
      </c>
      <c r="O240">
        <f>IF(I240&lt;&gt;"",I240,訓練データ!$O$19)</f>
        <v>13</v>
      </c>
      <c r="P240">
        <f>IF(E240&lt;&gt;"",E240,訓練データ!$O$18)</f>
        <v>18</v>
      </c>
      <c r="R240">
        <f t="shared" si="14"/>
        <v>1</v>
      </c>
      <c r="S240">
        <f t="shared" si="15"/>
        <v>0</v>
      </c>
      <c r="T240">
        <f t="shared" si="15"/>
        <v>1</v>
      </c>
      <c r="U240">
        <f t="shared" si="15"/>
        <v>0</v>
      </c>
      <c r="V240">
        <f t="shared" si="16"/>
        <v>1</v>
      </c>
      <c r="W240">
        <f t="shared" si="16"/>
        <v>0</v>
      </c>
      <c r="X240">
        <f t="shared" si="16"/>
        <v>0</v>
      </c>
    </row>
    <row r="241" spans="1:24" x14ac:dyDescent="0.4">
      <c r="A241">
        <v>1131</v>
      </c>
      <c r="B241">
        <v>1</v>
      </c>
      <c r="C241" t="s">
        <v>2155</v>
      </c>
      <c r="D241" t="s">
        <v>18</v>
      </c>
      <c r="E241">
        <v>48</v>
      </c>
      <c r="F241">
        <v>1</v>
      </c>
      <c r="G241">
        <v>0</v>
      </c>
      <c r="H241" t="s">
        <v>1097</v>
      </c>
      <c r="I241">
        <v>106.425</v>
      </c>
      <c r="J241" t="s">
        <v>1111</v>
      </c>
      <c r="K241" t="s">
        <v>21</v>
      </c>
      <c r="O241">
        <f>IF(I241&lt;&gt;"",I241,訓練データ!$O$19)</f>
        <v>106.425</v>
      </c>
      <c r="P241">
        <f>IF(E241&lt;&gt;"",E241,訓練データ!$O$18)</f>
        <v>48</v>
      </c>
      <c r="R241">
        <f t="shared" si="14"/>
        <v>1</v>
      </c>
      <c r="S241">
        <f t="shared" si="15"/>
        <v>1</v>
      </c>
      <c r="T241">
        <f t="shared" si="15"/>
        <v>0</v>
      </c>
      <c r="U241">
        <f t="shared" si="15"/>
        <v>0</v>
      </c>
      <c r="V241">
        <f t="shared" si="16"/>
        <v>0</v>
      </c>
      <c r="W241">
        <f t="shared" si="16"/>
        <v>0</v>
      </c>
      <c r="X241">
        <f t="shared" si="16"/>
        <v>1</v>
      </c>
    </row>
    <row r="242" spans="1:24" x14ac:dyDescent="0.4">
      <c r="A242">
        <v>1132</v>
      </c>
      <c r="B242">
        <v>1</v>
      </c>
      <c r="C242" t="s">
        <v>2156</v>
      </c>
      <c r="D242" t="s">
        <v>18</v>
      </c>
      <c r="E242">
        <v>55</v>
      </c>
      <c r="F242">
        <v>0</v>
      </c>
      <c r="G242">
        <v>0</v>
      </c>
      <c r="H242" t="s">
        <v>2157</v>
      </c>
      <c r="I242">
        <v>27.720800000000001</v>
      </c>
      <c r="J242" t="s">
        <v>15</v>
      </c>
      <c r="K242" t="s">
        <v>21</v>
      </c>
      <c r="O242">
        <f>IF(I242&lt;&gt;"",I242,訓練データ!$O$19)</f>
        <v>27.720800000000001</v>
      </c>
      <c r="P242">
        <f>IF(E242&lt;&gt;"",E242,訓練データ!$O$18)</f>
        <v>55</v>
      </c>
      <c r="R242">
        <f t="shared" si="14"/>
        <v>1</v>
      </c>
      <c r="S242">
        <f t="shared" si="15"/>
        <v>1</v>
      </c>
      <c r="T242">
        <f t="shared" si="15"/>
        <v>0</v>
      </c>
      <c r="U242">
        <f t="shared" si="15"/>
        <v>0</v>
      </c>
      <c r="V242">
        <f t="shared" si="16"/>
        <v>0</v>
      </c>
      <c r="W242">
        <f t="shared" si="16"/>
        <v>0</v>
      </c>
      <c r="X242">
        <f t="shared" si="16"/>
        <v>1</v>
      </c>
    </row>
    <row r="243" spans="1:24" x14ac:dyDescent="0.4">
      <c r="A243">
        <v>1133</v>
      </c>
      <c r="B243">
        <v>2</v>
      </c>
      <c r="C243" t="s">
        <v>2158</v>
      </c>
      <c r="D243" t="s">
        <v>18</v>
      </c>
      <c r="E243">
        <v>45</v>
      </c>
      <c r="F243">
        <v>0</v>
      </c>
      <c r="G243">
        <v>2</v>
      </c>
      <c r="H243" t="s">
        <v>1178</v>
      </c>
      <c r="I243">
        <v>30</v>
      </c>
      <c r="J243" t="s">
        <v>15</v>
      </c>
      <c r="K243" t="s">
        <v>16</v>
      </c>
      <c r="O243">
        <f>IF(I243&lt;&gt;"",I243,訓練データ!$O$19)</f>
        <v>30</v>
      </c>
      <c r="P243">
        <f>IF(E243&lt;&gt;"",E243,訓練データ!$O$18)</f>
        <v>45</v>
      </c>
      <c r="R243">
        <f t="shared" si="14"/>
        <v>1</v>
      </c>
      <c r="S243">
        <f t="shared" si="15"/>
        <v>0</v>
      </c>
      <c r="T243">
        <f t="shared" si="15"/>
        <v>1</v>
      </c>
      <c r="U243">
        <f t="shared" si="15"/>
        <v>0</v>
      </c>
      <c r="V243">
        <f t="shared" si="16"/>
        <v>1</v>
      </c>
      <c r="W243">
        <f t="shared" si="16"/>
        <v>0</v>
      </c>
      <c r="X243">
        <f t="shared" si="16"/>
        <v>0</v>
      </c>
    </row>
    <row r="244" spans="1:24" x14ac:dyDescent="0.4">
      <c r="A244">
        <v>1134</v>
      </c>
      <c r="B244">
        <v>1</v>
      </c>
      <c r="C244" t="s">
        <v>2159</v>
      </c>
      <c r="D244" t="s">
        <v>13</v>
      </c>
      <c r="E244">
        <v>45</v>
      </c>
      <c r="F244">
        <v>1</v>
      </c>
      <c r="G244">
        <v>1</v>
      </c>
      <c r="H244" t="s">
        <v>682</v>
      </c>
      <c r="I244">
        <v>134.5</v>
      </c>
      <c r="J244" t="s">
        <v>683</v>
      </c>
      <c r="K244" t="s">
        <v>21</v>
      </c>
      <c r="O244">
        <f>IF(I244&lt;&gt;"",I244,訓練データ!$O$19)</f>
        <v>134.5</v>
      </c>
      <c r="P244">
        <f>IF(E244&lt;&gt;"",E244,訓練データ!$O$18)</f>
        <v>45</v>
      </c>
      <c r="R244">
        <f t="shared" si="14"/>
        <v>0</v>
      </c>
      <c r="S244">
        <f t="shared" si="15"/>
        <v>1</v>
      </c>
      <c r="T244">
        <f t="shared" si="15"/>
        <v>0</v>
      </c>
      <c r="U244">
        <f t="shared" si="15"/>
        <v>0</v>
      </c>
      <c r="V244">
        <f t="shared" si="16"/>
        <v>0</v>
      </c>
      <c r="W244">
        <f t="shared" si="16"/>
        <v>0</v>
      </c>
      <c r="X244">
        <f t="shared" si="16"/>
        <v>1</v>
      </c>
    </row>
    <row r="245" spans="1:24" x14ac:dyDescent="0.4">
      <c r="A245">
        <v>1135</v>
      </c>
      <c r="B245">
        <v>3</v>
      </c>
      <c r="C245" t="s">
        <v>2160</v>
      </c>
      <c r="D245" t="s">
        <v>13</v>
      </c>
      <c r="F245">
        <v>0</v>
      </c>
      <c r="G245">
        <v>0</v>
      </c>
      <c r="H245" t="s">
        <v>2161</v>
      </c>
      <c r="I245">
        <v>7.8875000000000002</v>
      </c>
      <c r="J245" t="s">
        <v>15</v>
      </c>
      <c r="K245" t="s">
        <v>16</v>
      </c>
      <c r="O245">
        <f>IF(I245&lt;&gt;"",I245,訓練データ!$O$19)</f>
        <v>7.8875000000000002</v>
      </c>
      <c r="P245">
        <f>IF(E245&lt;&gt;"",E245,訓練データ!$O$18)</f>
        <v>28</v>
      </c>
      <c r="R245">
        <f t="shared" si="14"/>
        <v>0</v>
      </c>
      <c r="S245">
        <f t="shared" si="15"/>
        <v>0</v>
      </c>
      <c r="T245">
        <f t="shared" si="15"/>
        <v>0</v>
      </c>
      <c r="U245">
        <f t="shared" si="15"/>
        <v>1</v>
      </c>
      <c r="V245">
        <f t="shared" si="16"/>
        <v>1</v>
      </c>
      <c r="W245">
        <f t="shared" si="16"/>
        <v>0</v>
      </c>
      <c r="X245">
        <f t="shared" si="16"/>
        <v>0</v>
      </c>
    </row>
    <row r="246" spans="1:24" x14ac:dyDescent="0.4">
      <c r="A246">
        <v>1136</v>
      </c>
      <c r="B246">
        <v>3</v>
      </c>
      <c r="C246" t="s">
        <v>2162</v>
      </c>
      <c r="D246" t="s">
        <v>13</v>
      </c>
      <c r="F246">
        <v>1</v>
      </c>
      <c r="G246">
        <v>2</v>
      </c>
      <c r="H246" t="s">
        <v>1550</v>
      </c>
      <c r="I246">
        <v>23.45</v>
      </c>
      <c r="J246" t="s">
        <v>15</v>
      </c>
      <c r="K246" t="s">
        <v>16</v>
      </c>
      <c r="O246">
        <f>IF(I246&lt;&gt;"",I246,訓練データ!$O$19)</f>
        <v>23.45</v>
      </c>
      <c r="P246">
        <f>IF(E246&lt;&gt;"",E246,訓練データ!$O$18)</f>
        <v>28</v>
      </c>
      <c r="R246">
        <f t="shared" si="14"/>
        <v>0</v>
      </c>
      <c r="S246">
        <f t="shared" si="15"/>
        <v>0</v>
      </c>
      <c r="T246">
        <f t="shared" si="15"/>
        <v>0</v>
      </c>
      <c r="U246">
        <f t="shared" si="15"/>
        <v>1</v>
      </c>
      <c r="V246">
        <f t="shared" si="16"/>
        <v>1</v>
      </c>
      <c r="W246">
        <f t="shared" si="16"/>
        <v>0</v>
      </c>
      <c r="X246">
        <f t="shared" si="16"/>
        <v>0</v>
      </c>
    </row>
    <row r="247" spans="1:24" x14ac:dyDescent="0.4">
      <c r="A247">
        <v>1137</v>
      </c>
      <c r="B247">
        <v>1</v>
      </c>
      <c r="C247" t="s">
        <v>2163</v>
      </c>
      <c r="D247" t="s">
        <v>13</v>
      </c>
      <c r="E247">
        <v>41</v>
      </c>
      <c r="F247">
        <v>1</v>
      </c>
      <c r="G247">
        <v>0</v>
      </c>
      <c r="H247" t="s">
        <v>943</v>
      </c>
      <c r="I247">
        <v>51.862499999999997</v>
      </c>
      <c r="J247" t="s">
        <v>944</v>
      </c>
      <c r="K247" t="s">
        <v>16</v>
      </c>
      <c r="O247">
        <f>IF(I247&lt;&gt;"",I247,訓練データ!$O$19)</f>
        <v>51.862499999999997</v>
      </c>
      <c r="P247">
        <f>IF(E247&lt;&gt;"",E247,訓練データ!$O$18)</f>
        <v>41</v>
      </c>
      <c r="R247">
        <f t="shared" si="14"/>
        <v>0</v>
      </c>
      <c r="S247">
        <f t="shared" si="15"/>
        <v>1</v>
      </c>
      <c r="T247">
        <f t="shared" si="15"/>
        <v>0</v>
      </c>
      <c r="U247">
        <f t="shared" si="15"/>
        <v>0</v>
      </c>
      <c r="V247">
        <f t="shared" si="16"/>
        <v>1</v>
      </c>
      <c r="W247">
        <f t="shared" si="16"/>
        <v>0</v>
      </c>
      <c r="X247">
        <f t="shared" si="16"/>
        <v>0</v>
      </c>
    </row>
    <row r="248" spans="1:24" x14ac:dyDescent="0.4">
      <c r="A248">
        <v>1138</v>
      </c>
      <c r="B248">
        <v>2</v>
      </c>
      <c r="C248" t="s">
        <v>2164</v>
      </c>
      <c r="D248" t="s">
        <v>18</v>
      </c>
      <c r="E248">
        <v>22</v>
      </c>
      <c r="F248">
        <v>0</v>
      </c>
      <c r="G248">
        <v>0</v>
      </c>
      <c r="H248" t="s">
        <v>1853</v>
      </c>
      <c r="I248">
        <v>21</v>
      </c>
      <c r="J248" t="s">
        <v>15</v>
      </c>
      <c r="K248" t="s">
        <v>16</v>
      </c>
      <c r="O248">
        <f>IF(I248&lt;&gt;"",I248,訓練データ!$O$19)</f>
        <v>21</v>
      </c>
      <c r="P248">
        <f>IF(E248&lt;&gt;"",E248,訓練データ!$O$18)</f>
        <v>22</v>
      </c>
      <c r="R248">
        <f t="shared" si="14"/>
        <v>1</v>
      </c>
      <c r="S248">
        <f t="shared" si="15"/>
        <v>0</v>
      </c>
      <c r="T248">
        <f t="shared" si="15"/>
        <v>1</v>
      </c>
      <c r="U248">
        <f t="shared" si="15"/>
        <v>0</v>
      </c>
      <c r="V248">
        <f t="shared" si="16"/>
        <v>1</v>
      </c>
      <c r="W248">
        <f t="shared" si="16"/>
        <v>0</v>
      </c>
      <c r="X248">
        <f t="shared" si="16"/>
        <v>0</v>
      </c>
    </row>
    <row r="249" spans="1:24" x14ac:dyDescent="0.4">
      <c r="A249">
        <v>1139</v>
      </c>
      <c r="B249">
        <v>2</v>
      </c>
      <c r="C249" t="s">
        <v>2165</v>
      </c>
      <c r="D249" t="s">
        <v>13</v>
      </c>
      <c r="E249">
        <v>42</v>
      </c>
      <c r="F249">
        <v>1</v>
      </c>
      <c r="G249">
        <v>1</v>
      </c>
      <c r="H249" t="s">
        <v>862</v>
      </c>
      <c r="I249">
        <v>32.5</v>
      </c>
      <c r="J249" t="s">
        <v>15</v>
      </c>
      <c r="K249" t="s">
        <v>16</v>
      </c>
      <c r="O249">
        <f>IF(I249&lt;&gt;"",I249,訓練データ!$O$19)</f>
        <v>32.5</v>
      </c>
      <c r="P249">
        <f>IF(E249&lt;&gt;"",E249,訓練データ!$O$18)</f>
        <v>42</v>
      </c>
      <c r="R249">
        <f t="shared" si="14"/>
        <v>0</v>
      </c>
      <c r="S249">
        <f t="shared" si="15"/>
        <v>0</v>
      </c>
      <c r="T249">
        <f t="shared" si="15"/>
        <v>1</v>
      </c>
      <c r="U249">
        <f t="shared" si="15"/>
        <v>0</v>
      </c>
      <c r="V249">
        <f t="shared" si="16"/>
        <v>1</v>
      </c>
      <c r="W249">
        <f t="shared" si="16"/>
        <v>0</v>
      </c>
      <c r="X249">
        <f t="shared" si="16"/>
        <v>0</v>
      </c>
    </row>
    <row r="250" spans="1:24" x14ac:dyDescent="0.4">
      <c r="A250">
        <v>1140</v>
      </c>
      <c r="B250">
        <v>2</v>
      </c>
      <c r="C250" t="s">
        <v>2166</v>
      </c>
      <c r="D250" t="s">
        <v>18</v>
      </c>
      <c r="E250">
        <v>29</v>
      </c>
      <c r="F250">
        <v>1</v>
      </c>
      <c r="G250">
        <v>0</v>
      </c>
      <c r="H250" t="s">
        <v>506</v>
      </c>
      <c r="I250">
        <v>26</v>
      </c>
      <c r="J250" t="s">
        <v>15</v>
      </c>
      <c r="K250" t="s">
        <v>16</v>
      </c>
      <c r="O250">
        <f>IF(I250&lt;&gt;"",I250,訓練データ!$O$19)</f>
        <v>26</v>
      </c>
      <c r="P250">
        <f>IF(E250&lt;&gt;"",E250,訓練データ!$O$18)</f>
        <v>29</v>
      </c>
      <c r="R250">
        <f t="shared" si="14"/>
        <v>1</v>
      </c>
      <c r="S250">
        <f t="shared" si="15"/>
        <v>0</v>
      </c>
      <c r="T250">
        <f t="shared" si="15"/>
        <v>1</v>
      </c>
      <c r="U250">
        <f t="shared" si="15"/>
        <v>0</v>
      </c>
      <c r="V250">
        <f t="shared" si="16"/>
        <v>1</v>
      </c>
      <c r="W250">
        <f t="shared" si="16"/>
        <v>0</v>
      </c>
      <c r="X250">
        <f t="shared" si="16"/>
        <v>0</v>
      </c>
    </row>
    <row r="251" spans="1:24" x14ac:dyDescent="0.4">
      <c r="A251">
        <v>1141</v>
      </c>
      <c r="B251">
        <v>3</v>
      </c>
      <c r="C251" t="s">
        <v>2167</v>
      </c>
      <c r="D251" t="s">
        <v>18</v>
      </c>
      <c r="F251">
        <v>1</v>
      </c>
      <c r="G251">
        <v>0</v>
      </c>
      <c r="H251" t="s">
        <v>1892</v>
      </c>
      <c r="I251">
        <v>14.4542</v>
      </c>
      <c r="J251" t="s">
        <v>15</v>
      </c>
      <c r="K251" t="s">
        <v>21</v>
      </c>
      <c r="O251">
        <f>IF(I251&lt;&gt;"",I251,訓練データ!$O$19)</f>
        <v>14.4542</v>
      </c>
      <c r="P251">
        <f>IF(E251&lt;&gt;"",E251,訓練データ!$O$18)</f>
        <v>28</v>
      </c>
      <c r="R251">
        <f t="shared" si="14"/>
        <v>1</v>
      </c>
      <c r="S251">
        <f t="shared" si="15"/>
        <v>0</v>
      </c>
      <c r="T251">
        <f t="shared" si="15"/>
        <v>0</v>
      </c>
      <c r="U251">
        <f t="shared" si="15"/>
        <v>1</v>
      </c>
      <c r="V251">
        <f t="shared" si="16"/>
        <v>0</v>
      </c>
      <c r="W251">
        <f t="shared" si="16"/>
        <v>0</v>
      </c>
      <c r="X251">
        <f t="shared" si="16"/>
        <v>1</v>
      </c>
    </row>
    <row r="252" spans="1:24" x14ac:dyDescent="0.4">
      <c r="A252">
        <v>1142</v>
      </c>
      <c r="B252">
        <v>2</v>
      </c>
      <c r="C252" t="s">
        <v>2168</v>
      </c>
      <c r="D252" t="s">
        <v>18</v>
      </c>
      <c r="E252">
        <v>0.92</v>
      </c>
      <c r="F252">
        <v>1</v>
      </c>
      <c r="G252">
        <v>2</v>
      </c>
      <c r="H252" t="s">
        <v>146</v>
      </c>
      <c r="I252">
        <v>27.75</v>
      </c>
      <c r="J252" t="s">
        <v>15</v>
      </c>
      <c r="K252" t="s">
        <v>16</v>
      </c>
      <c r="O252">
        <f>IF(I252&lt;&gt;"",I252,訓練データ!$O$19)</f>
        <v>27.75</v>
      </c>
      <c r="P252">
        <f>IF(E252&lt;&gt;"",E252,訓練データ!$O$18)</f>
        <v>0.92</v>
      </c>
      <c r="R252">
        <f t="shared" si="14"/>
        <v>1</v>
      </c>
      <c r="S252">
        <f t="shared" si="15"/>
        <v>0</v>
      </c>
      <c r="T252">
        <f t="shared" si="15"/>
        <v>1</v>
      </c>
      <c r="U252">
        <f t="shared" si="15"/>
        <v>0</v>
      </c>
      <c r="V252">
        <f t="shared" si="16"/>
        <v>1</v>
      </c>
      <c r="W252">
        <f t="shared" si="16"/>
        <v>0</v>
      </c>
      <c r="X252">
        <f t="shared" si="16"/>
        <v>0</v>
      </c>
    </row>
    <row r="253" spans="1:24" x14ac:dyDescent="0.4">
      <c r="A253">
        <v>1143</v>
      </c>
      <c r="B253">
        <v>3</v>
      </c>
      <c r="C253" t="s">
        <v>2169</v>
      </c>
      <c r="D253" t="s">
        <v>13</v>
      </c>
      <c r="E253">
        <v>20</v>
      </c>
      <c r="F253">
        <v>0</v>
      </c>
      <c r="G253">
        <v>0</v>
      </c>
      <c r="H253" t="s">
        <v>2170</v>
      </c>
      <c r="I253">
        <v>7.9249999999999998</v>
      </c>
      <c r="J253" t="s">
        <v>15</v>
      </c>
      <c r="K253" t="s">
        <v>16</v>
      </c>
      <c r="O253">
        <f>IF(I253&lt;&gt;"",I253,訓練データ!$O$19)</f>
        <v>7.9249999999999998</v>
      </c>
      <c r="P253">
        <f>IF(E253&lt;&gt;"",E253,訓練データ!$O$18)</f>
        <v>20</v>
      </c>
      <c r="R253">
        <f t="shared" si="14"/>
        <v>0</v>
      </c>
      <c r="S253">
        <f t="shared" si="15"/>
        <v>0</v>
      </c>
      <c r="T253">
        <f t="shared" si="15"/>
        <v>0</v>
      </c>
      <c r="U253">
        <f t="shared" si="15"/>
        <v>1</v>
      </c>
      <c r="V253">
        <f t="shared" si="16"/>
        <v>1</v>
      </c>
      <c r="W253">
        <f t="shared" si="16"/>
        <v>0</v>
      </c>
      <c r="X253">
        <f t="shared" si="16"/>
        <v>0</v>
      </c>
    </row>
    <row r="254" spans="1:24" x14ac:dyDescent="0.4">
      <c r="A254">
        <v>1144</v>
      </c>
      <c r="B254">
        <v>1</v>
      </c>
      <c r="C254" t="s">
        <v>2171</v>
      </c>
      <c r="D254" t="s">
        <v>13</v>
      </c>
      <c r="E254">
        <v>27</v>
      </c>
      <c r="F254">
        <v>1</v>
      </c>
      <c r="G254">
        <v>0</v>
      </c>
      <c r="H254" t="s">
        <v>2172</v>
      </c>
      <c r="I254">
        <v>136.7792</v>
      </c>
      <c r="J254" t="s">
        <v>2173</v>
      </c>
      <c r="K254" t="s">
        <v>21</v>
      </c>
      <c r="O254">
        <f>IF(I254&lt;&gt;"",I254,訓練データ!$O$19)</f>
        <v>136.7792</v>
      </c>
      <c r="P254">
        <f>IF(E254&lt;&gt;"",E254,訓練データ!$O$18)</f>
        <v>27</v>
      </c>
      <c r="R254">
        <f t="shared" si="14"/>
        <v>0</v>
      </c>
      <c r="S254">
        <f t="shared" si="15"/>
        <v>1</v>
      </c>
      <c r="T254">
        <f t="shared" si="15"/>
        <v>0</v>
      </c>
      <c r="U254">
        <f t="shared" si="15"/>
        <v>0</v>
      </c>
      <c r="V254">
        <f t="shared" si="16"/>
        <v>0</v>
      </c>
      <c r="W254">
        <f t="shared" si="16"/>
        <v>0</v>
      </c>
      <c r="X254">
        <f t="shared" si="16"/>
        <v>1</v>
      </c>
    </row>
    <row r="255" spans="1:24" x14ac:dyDescent="0.4">
      <c r="A255">
        <v>1145</v>
      </c>
      <c r="B255">
        <v>3</v>
      </c>
      <c r="C255" t="s">
        <v>2174</v>
      </c>
      <c r="D255" t="s">
        <v>13</v>
      </c>
      <c r="E255">
        <v>24</v>
      </c>
      <c r="F255">
        <v>0</v>
      </c>
      <c r="G255">
        <v>0</v>
      </c>
      <c r="H255" t="s">
        <v>2175</v>
      </c>
      <c r="I255">
        <v>9.3249999999999993</v>
      </c>
      <c r="J255" t="s">
        <v>15</v>
      </c>
      <c r="K255" t="s">
        <v>16</v>
      </c>
      <c r="O255">
        <f>IF(I255&lt;&gt;"",I255,訓練データ!$O$19)</f>
        <v>9.3249999999999993</v>
      </c>
      <c r="P255">
        <f>IF(E255&lt;&gt;"",E255,訓練データ!$O$18)</f>
        <v>24</v>
      </c>
      <c r="R255">
        <f t="shared" si="14"/>
        <v>0</v>
      </c>
      <c r="S255">
        <f t="shared" si="15"/>
        <v>0</v>
      </c>
      <c r="T255">
        <f t="shared" si="15"/>
        <v>0</v>
      </c>
      <c r="U255">
        <f t="shared" si="15"/>
        <v>1</v>
      </c>
      <c r="V255">
        <f t="shared" si="16"/>
        <v>1</v>
      </c>
      <c r="W255">
        <f t="shared" si="16"/>
        <v>0</v>
      </c>
      <c r="X255">
        <f t="shared" si="16"/>
        <v>0</v>
      </c>
    </row>
    <row r="256" spans="1:24" x14ac:dyDescent="0.4">
      <c r="A256">
        <v>1146</v>
      </c>
      <c r="B256">
        <v>3</v>
      </c>
      <c r="C256" t="s">
        <v>2176</v>
      </c>
      <c r="D256" t="s">
        <v>13</v>
      </c>
      <c r="E256">
        <v>32.5</v>
      </c>
      <c r="F256">
        <v>0</v>
      </c>
      <c r="G256">
        <v>0</v>
      </c>
      <c r="H256" t="s">
        <v>2177</v>
      </c>
      <c r="I256">
        <v>9.5</v>
      </c>
      <c r="J256" t="s">
        <v>15</v>
      </c>
      <c r="K256" t="s">
        <v>16</v>
      </c>
      <c r="O256">
        <f>IF(I256&lt;&gt;"",I256,訓練データ!$O$19)</f>
        <v>9.5</v>
      </c>
      <c r="P256">
        <f>IF(E256&lt;&gt;"",E256,訓練データ!$O$18)</f>
        <v>32.5</v>
      </c>
      <c r="R256">
        <f t="shared" si="14"/>
        <v>0</v>
      </c>
      <c r="S256">
        <f t="shared" si="15"/>
        <v>0</v>
      </c>
      <c r="T256">
        <f t="shared" si="15"/>
        <v>0</v>
      </c>
      <c r="U256">
        <f t="shared" si="15"/>
        <v>1</v>
      </c>
      <c r="V256">
        <f t="shared" si="16"/>
        <v>1</v>
      </c>
      <c r="W256">
        <f t="shared" si="16"/>
        <v>0</v>
      </c>
      <c r="X256">
        <f t="shared" si="16"/>
        <v>0</v>
      </c>
    </row>
    <row r="257" spans="1:24" x14ac:dyDescent="0.4">
      <c r="A257">
        <v>1147</v>
      </c>
      <c r="B257">
        <v>3</v>
      </c>
      <c r="C257" t="s">
        <v>2178</v>
      </c>
      <c r="D257" t="s">
        <v>13</v>
      </c>
      <c r="F257">
        <v>0</v>
      </c>
      <c r="G257">
        <v>0</v>
      </c>
      <c r="H257" t="s">
        <v>2179</v>
      </c>
      <c r="I257">
        <v>7.55</v>
      </c>
      <c r="J257" t="s">
        <v>15</v>
      </c>
      <c r="K257" t="s">
        <v>16</v>
      </c>
      <c r="O257">
        <f>IF(I257&lt;&gt;"",I257,訓練データ!$O$19)</f>
        <v>7.55</v>
      </c>
      <c r="P257">
        <f>IF(E257&lt;&gt;"",E257,訓練データ!$O$18)</f>
        <v>28</v>
      </c>
      <c r="R257">
        <f t="shared" si="14"/>
        <v>0</v>
      </c>
      <c r="S257">
        <f t="shared" si="15"/>
        <v>0</v>
      </c>
      <c r="T257">
        <f t="shared" si="15"/>
        <v>0</v>
      </c>
      <c r="U257">
        <f t="shared" si="15"/>
        <v>1</v>
      </c>
      <c r="V257">
        <f t="shared" si="16"/>
        <v>1</v>
      </c>
      <c r="W257">
        <f t="shared" si="16"/>
        <v>0</v>
      </c>
      <c r="X257">
        <f t="shared" si="16"/>
        <v>0</v>
      </c>
    </row>
    <row r="258" spans="1:24" x14ac:dyDescent="0.4">
      <c r="A258">
        <v>1148</v>
      </c>
      <c r="B258">
        <v>3</v>
      </c>
      <c r="C258" t="s">
        <v>2180</v>
      </c>
      <c r="D258" t="s">
        <v>13</v>
      </c>
      <c r="F258">
        <v>0</v>
      </c>
      <c r="G258">
        <v>0</v>
      </c>
      <c r="H258" t="s">
        <v>2181</v>
      </c>
      <c r="I258">
        <v>7.75</v>
      </c>
      <c r="J258" t="s">
        <v>15</v>
      </c>
      <c r="K258" t="s">
        <v>31</v>
      </c>
      <c r="O258">
        <f>IF(I258&lt;&gt;"",I258,訓練データ!$O$19)</f>
        <v>7.75</v>
      </c>
      <c r="P258">
        <f>IF(E258&lt;&gt;"",E258,訓練データ!$O$18)</f>
        <v>28</v>
      </c>
      <c r="R258">
        <f t="shared" ref="R258:R321" si="17">IF(D258="male",0,1)</f>
        <v>0</v>
      </c>
      <c r="S258">
        <f t="shared" si="15"/>
        <v>0</v>
      </c>
      <c r="T258">
        <f t="shared" si="15"/>
        <v>0</v>
      </c>
      <c r="U258">
        <f t="shared" si="15"/>
        <v>1</v>
      </c>
      <c r="V258">
        <f t="shared" si="16"/>
        <v>0</v>
      </c>
      <c r="W258">
        <f t="shared" si="16"/>
        <v>1</v>
      </c>
      <c r="X258">
        <f t="shared" si="16"/>
        <v>0</v>
      </c>
    </row>
    <row r="259" spans="1:24" x14ac:dyDescent="0.4">
      <c r="A259">
        <v>1149</v>
      </c>
      <c r="B259">
        <v>3</v>
      </c>
      <c r="C259" t="s">
        <v>2182</v>
      </c>
      <c r="D259" t="s">
        <v>13</v>
      </c>
      <c r="E259">
        <v>28</v>
      </c>
      <c r="F259">
        <v>0</v>
      </c>
      <c r="G259">
        <v>0</v>
      </c>
      <c r="H259" t="s">
        <v>2183</v>
      </c>
      <c r="I259">
        <v>8.0500000000000007</v>
      </c>
      <c r="J259" t="s">
        <v>15</v>
      </c>
      <c r="K259" t="s">
        <v>16</v>
      </c>
      <c r="O259">
        <f>IF(I259&lt;&gt;"",I259,訓練データ!$O$19)</f>
        <v>8.0500000000000007</v>
      </c>
      <c r="P259">
        <f>IF(E259&lt;&gt;"",E259,訓練データ!$O$18)</f>
        <v>28</v>
      </c>
      <c r="R259">
        <f t="shared" si="17"/>
        <v>0</v>
      </c>
      <c r="S259">
        <f t="shared" ref="S259:U322" si="18">IF("Pclass_"&amp;$B259=S$1,1,0)</f>
        <v>0</v>
      </c>
      <c r="T259">
        <f t="shared" si="18"/>
        <v>0</v>
      </c>
      <c r="U259">
        <f t="shared" si="18"/>
        <v>1</v>
      </c>
      <c r="V259">
        <f t="shared" ref="V259:X322" si="19">IF($K259=RIGHT(V$1,1),1,0)</f>
        <v>1</v>
      </c>
      <c r="W259">
        <f t="shared" si="19"/>
        <v>0</v>
      </c>
      <c r="X259">
        <f t="shared" si="19"/>
        <v>0</v>
      </c>
    </row>
    <row r="260" spans="1:24" x14ac:dyDescent="0.4">
      <c r="A260">
        <v>1150</v>
      </c>
      <c r="B260">
        <v>2</v>
      </c>
      <c r="C260" t="s">
        <v>2184</v>
      </c>
      <c r="D260" t="s">
        <v>18</v>
      </c>
      <c r="E260">
        <v>19</v>
      </c>
      <c r="F260">
        <v>0</v>
      </c>
      <c r="G260">
        <v>0</v>
      </c>
      <c r="H260" t="s">
        <v>2185</v>
      </c>
      <c r="I260">
        <v>13</v>
      </c>
      <c r="J260" t="s">
        <v>15</v>
      </c>
      <c r="K260" t="s">
        <v>16</v>
      </c>
      <c r="O260">
        <f>IF(I260&lt;&gt;"",I260,訓練データ!$O$19)</f>
        <v>13</v>
      </c>
      <c r="P260">
        <f>IF(E260&lt;&gt;"",E260,訓練データ!$O$18)</f>
        <v>19</v>
      </c>
      <c r="R260">
        <f t="shared" si="17"/>
        <v>1</v>
      </c>
      <c r="S260">
        <f t="shared" si="18"/>
        <v>0</v>
      </c>
      <c r="T260">
        <f t="shared" si="18"/>
        <v>1</v>
      </c>
      <c r="U260">
        <f t="shared" si="18"/>
        <v>0</v>
      </c>
      <c r="V260">
        <f t="shared" si="19"/>
        <v>1</v>
      </c>
      <c r="W260">
        <f t="shared" si="19"/>
        <v>0</v>
      </c>
      <c r="X260">
        <f t="shared" si="19"/>
        <v>0</v>
      </c>
    </row>
    <row r="261" spans="1:24" x14ac:dyDescent="0.4">
      <c r="A261">
        <v>1151</v>
      </c>
      <c r="B261">
        <v>3</v>
      </c>
      <c r="C261" t="s">
        <v>2186</v>
      </c>
      <c r="D261" t="s">
        <v>13</v>
      </c>
      <c r="E261">
        <v>21</v>
      </c>
      <c r="F261">
        <v>0</v>
      </c>
      <c r="G261">
        <v>0</v>
      </c>
      <c r="H261" t="s">
        <v>2187</v>
      </c>
      <c r="I261">
        <v>7.7750000000000004</v>
      </c>
      <c r="J261" t="s">
        <v>15</v>
      </c>
      <c r="K261" t="s">
        <v>16</v>
      </c>
      <c r="O261">
        <f>IF(I261&lt;&gt;"",I261,訓練データ!$O$19)</f>
        <v>7.7750000000000004</v>
      </c>
      <c r="P261">
        <f>IF(E261&lt;&gt;"",E261,訓練データ!$O$18)</f>
        <v>21</v>
      </c>
      <c r="R261">
        <f t="shared" si="17"/>
        <v>0</v>
      </c>
      <c r="S261">
        <f t="shared" si="18"/>
        <v>0</v>
      </c>
      <c r="T261">
        <f t="shared" si="18"/>
        <v>0</v>
      </c>
      <c r="U261">
        <f t="shared" si="18"/>
        <v>1</v>
      </c>
      <c r="V261">
        <f t="shared" si="19"/>
        <v>1</v>
      </c>
      <c r="W261">
        <f t="shared" si="19"/>
        <v>0</v>
      </c>
      <c r="X261">
        <f t="shared" si="19"/>
        <v>0</v>
      </c>
    </row>
    <row r="262" spans="1:24" x14ac:dyDescent="0.4">
      <c r="A262">
        <v>1152</v>
      </c>
      <c r="B262">
        <v>3</v>
      </c>
      <c r="C262" t="s">
        <v>2188</v>
      </c>
      <c r="D262" t="s">
        <v>13</v>
      </c>
      <c r="E262">
        <v>36.5</v>
      </c>
      <c r="F262">
        <v>1</v>
      </c>
      <c r="G262">
        <v>0</v>
      </c>
      <c r="H262" t="s">
        <v>1137</v>
      </c>
      <c r="I262">
        <v>17.399999999999999</v>
      </c>
      <c r="J262" t="s">
        <v>15</v>
      </c>
      <c r="K262" t="s">
        <v>16</v>
      </c>
      <c r="O262">
        <f>IF(I262&lt;&gt;"",I262,訓練データ!$O$19)</f>
        <v>17.399999999999999</v>
      </c>
      <c r="P262">
        <f>IF(E262&lt;&gt;"",E262,訓練データ!$O$18)</f>
        <v>36.5</v>
      </c>
      <c r="R262">
        <f t="shared" si="17"/>
        <v>0</v>
      </c>
      <c r="S262">
        <f t="shared" si="18"/>
        <v>0</v>
      </c>
      <c r="T262">
        <f t="shared" si="18"/>
        <v>0</v>
      </c>
      <c r="U262">
        <f t="shared" si="18"/>
        <v>1</v>
      </c>
      <c r="V262">
        <f t="shared" si="19"/>
        <v>1</v>
      </c>
      <c r="W262">
        <f t="shared" si="19"/>
        <v>0</v>
      </c>
      <c r="X262">
        <f t="shared" si="19"/>
        <v>0</v>
      </c>
    </row>
    <row r="263" spans="1:24" x14ac:dyDescent="0.4">
      <c r="A263">
        <v>1153</v>
      </c>
      <c r="B263">
        <v>3</v>
      </c>
      <c r="C263" t="s">
        <v>2189</v>
      </c>
      <c r="D263" t="s">
        <v>13</v>
      </c>
      <c r="E263">
        <v>21</v>
      </c>
      <c r="F263">
        <v>0</v>
      </c>
      <c r="G263">
        <v>0</v>
      </c>
      <c r="H263" t="s">
        <v>2190</v>
      </c>
      <c r="I263">
        <v>7.8541999999999996</v>
      </c>
      <c r="J263" t="s">
        <v>15</v>
      </c>
      <c r="K263" t="s">
        <v>16</v>
      </c>
      <c r="O263">
        <f>IF(I263&lt;&gt;"",I263,訓練データ!$O$19)</f>
        <v>7.8541999999999996</v>
      </c>
      <c r="P263">
        <f>IF(E263&lt;&gt;"",E263,訓練データ!$O$18)</f>
        <v>21</v>
      </c>
      <c r="R263">
        <f t="shared" si="17"/>
        <v>0</v>
      </c>
      <c r="S263">
        <f t="shared" si="18"/>
        <v>0</v>
      </c>
      <c r="T263">
        <f t="shared" si="18"/>
        <v>0</v>
      </c>
      <c r="U263">
        <f t="shared" si="18"/>
        <v>1</v>
      </c>
      <c r="V263">
        <f t="shared" si="19"/>
        <v>1</v>
      </c>
      <c r="W263">
        <f t="shared" si="19"/>
        <v>0</v>
      </c>
      <c r="X263">
        <f t="shared" si="19"/>
        <v>0</v>
      </c>
    </row>
    <row r="264" spans="1:24" x14ac:dyDescent="0.4">
      <c r="A264">
        <v>1154</v>
      </c>
      <c r="B264">
        <v>2</v>
      </c>
      <c r="C264" t="s">
        <v>2191</v>
      </c>
      <c r="D264" t="s">
        <v>18</v>
      </c>
      <c r="E264">
        <v>29</v>
      </c>
      <c r="F264">
        <v>0</v>
      </c>
      <c r="G264">
        <v>2</v>
      </c>
      <c r="H264" t="s">
        <v>1488</v>
      </c>
      <c r="I264">
        <v>23</v>
      </c>
      <c r="J264" t="s">
        <v>15</v>
      </c>
      <c r="K264" t="s">
        <v>16</v>
      </c>
      <c r="O264">
        <f>IF(I264&lt;&gt;"",I264,訓練データ!$O$19)</f>
        <v>23</v>
      </c>
      <c r="P264">
        <f>IF(E264&lt;&gt;"",E264,訓練データ!$O$18)</f>
        <v>29</v>
      </c>
      <c r="R264">
        <f t="shared" si="17"/>
        <v>1</v>
      </c>
      <c r="S264">
        <f t="shared" si="18"/>
        <v>0</v>
      </c>
      <c r="T264">
        <f t="shared" si="18"/>
        <v>1</v>
      </c>
      <c r="U264">
        <f t="shared" si="18"/>
        <v>0</v>
      </c>
      <c r="V264">
        <f t="shared" si="19"/>
        <v>1</v>
      </c>
      <c r="W264">
        <f t="shared" si="19"/>
        <v>0</v>
      </c>
      <c r="X264">
        <f t="shared" si="19"/>
        <v>0</v>
      </c>
    </row>
    <row r="265" spans="1:24" x14ac:dyDescent="0.4">
      <c r="A265">
        <v>1155</v>
      </c>
      <c r="B265">
        <v>3</v>
      </c>
      <c r="C265" t="s">
        <v>2192</v>
      </c>
      <c r="D265" t="s">
        <v>18</v>
      </c>
      <c r="E265">
        <v>1</v>
      </c>
      <c r="F265">
        <v>1</v>
      </c>
      <c r="G265">
        <v>1</v>
      </c>
      <c r="H265" t="s">
        <v>2010</v>
      </c>
      <c r="I265">
        <v>12.183299999999999</v>
      </c>
      <c r="J265" t="s">
        <v>15</v>
      </c>
      <c r="K265" t="s">
        <v>16</v>
      </c>
      <c r="O265">
        <f>IF(I265&lt;&gt;"",I265,訓練データ!$O$19)</f>
        <v>12.183299999999999</v>
      </c>
      <c r="P265">
        <f>IF(E265&lt;&gt;"",E265,訓練データ!$O$18)</f>
        <v>1</v>
      </c>
      <c r="R265">
        <f t="shared" si="17"/>
        <v>1</v>
      </c>
      <c r="S265">
        <f t="shared" si="18"/>
        <v>0</v>
      </c>
      <c r="T265">
        <f t="shared" si="18"/>
        <v>0</v>
      </c>
      <c r="U265">
        <f t="shared" si="18"/>
        <v>1</v>
      </c>
      <c r="V265">
        <f t="shared" si="19"/>
        <v>1</v>
      </c>
      <c r="W265">
        <f t="shared" si="19"/>
        <v>0</v>
      </c>
      <c r="X265">
        <f t="shared" si="19"/>
        <v>0</v>
      </c>
    </row>
    <row r="266" spans="1:24" x14ac:dyDescent="0.4">
      <c r="A266">
        <v>1156</v>
      </c>
      <c r="B266">
        <v>2</v>
      </c>
      <c r="C266" t="s">
        <v>2193</v>
      </c>
      <c r="D266" t="s">
        <v>13</v>
      </c>
      <c r="E266">
        <v>30</v>
      </c>
      <c r="F266">
        <v>0</v>
      </c>
      <c r="G266">
        <v>0</v>
      </c>
      <c r="H266" t="s">
        <v>2194</v>
      </c>
      <c r="I266">
        <v>12.737500000000001</v>
      </c>
      <c r="J266" t="s">
        <v>15</v>
      </c>
      <c r="K266" t="s">
        <v>21</v>
      </c>
      <c r="O266">
        <f>IF(I266&lt;&gt;"",I266,訓練データ!$O$19)</f>
        <v>12.737500000000001</v>
      </c>
      <c r="P266">
        <f>IF(E266&lt;&gt;"",E266,訓練データ!$O$18)</f>
        <v>30</v>
      </c>
      <c r="R266">
        <f t="shared" si="17"/>
        <v>0</v>
      </c>
      <c r="S266">
        <f t="shared" si="18"/>
        <v>0</v>
      </c>
      <c r="T266">
        <f t="shared" si="18"/>
        <v>1</v>
      </c>
      <c r="U266">
        <f t="shared" si="18"/>
        <v>0</v>
      </c>
      <c r="V266">
        <f t="shared" si="19"/>
        <v>0</v>
      </c>
      <c r="W266">
        <f t="shared" si="19"/>
        <v>0</v>
      </c>
      <c r="X266">
        <f t="shared" si="19"/>
        <v>1</v>
      </c>
    </row>
    <row r="267" spans="1:24" x14ac:dyDescent="0.4">
      <c r="A267">
        <v>1157</v>
      </c>
      <c r="B267">
        <v>3</v>
      </c>
      <c r="C267" t="s">
        <v>2195</v>
      </c>
      <c r="D267" t="s">
        <v>13</v>
      </c>
      <c r="F267">
        <v>0</v>
      </c>
      <c r="G267">
        <v>0</v>
      </c>
      <c r="H267" t="s">
        <v>2196</v>
      </c>
      <c r="I267">
        <v>7.8958000000000004</v>
      </c>
      <c r="J267" t="s">
        <v>15</v>
      </c>
      <c r="K267" t="s">
        <v>16</v>
      </c>
      <c r="O267">
        <f>IF(I267&lt;&gt;"",I267,訓練データ!$O$19)</f>
        <v>7.8958000000000004</v>
      </c>
      <c r="P267">
        <f>IF(E267&lt;&gt;"",E267,訓練データ!$O$18)</f>
        <v>28</v>
      </c>
      <c r="R267">
        <f t="shared" si="17"/>
        <v>0</v>
      </c>
      <c r="S267">
        <f t="shared" si="18"/>
        <v>0</v>
      </c>
      <c r="T267">
        <f t="shared" si="18"/>
        <v>0</v>
      </c>
      <c r="U267">
        <f t="shared" si="18"/>
        <v>1</v>
      </c>
      <c r="V267">
        <f t="shared" si="19"/>
        <v>1</v>
      </c>
      <c r="W267">
        <f t="shared" si="19"/>
        <v>0</v>
      </c>
      <c r="X267">
        <f t="shared" si="19"/>
        <v>0</v>
      </c>
    </row>
    <row r="268" spans="1:24" x14ac:dyDescent="0.4">
      <c r="A268">
        <v>1158</v>
      </c>
      <c r="B268">
        <v>1</v>
      </c>
      <c r="C268" t="s">
        <v>2197</v>
      </c>
      <c r="D268" t="s">
        <v>13</v>
      </c>
      <c r="F268">
        <v>0</v>
      </c>
      <c r="G268">
        <v>0</v>
      </c>
      <c r="H268" t="s">
        <v>2198</v>
      </c>
      <c r="I268">
        <v>0</v>
      </c>
      <c r="J268" t="s">
        <v>15</v>
      </c>
      <c r="K268" t="s">
        <v>16</v>
      </c>
      <c r="O268">
        <f>IF(I268&lt;&gt;"",I268,訓練データ!$O$19)</f>
        <v>0</v>
      </c>
      <c r="P268">
        <f>IF(E268&lt;&gt;"",E268,訓練データ!$O$18)</f>
        <v>28</v>
      </c>
      <c r="R268">
        <f t="shared" si="17"/>
        <v>0</v>
      </c>
      <c r="S268">
        <f t="shared" si="18"/>
        <v>1</v>
      </c>
      <c r="T268">
        <f t="shared" si="18"/>
        <v>0</v>
      </c>
      <c r="U268">
        <f t="shared" si="18"/>
        <v>0</v>
      </c>
      <c r="V268">
        <f t="shared" si="19"/>
        <v>1</v>
      </c>
      <c r="W268">
        <f t="shared" si="19"/>
        <v>0</v>
      </c>
      <c r="X268">
        <f t="shared" si="19"/>
        <v>0</v>
      </c>
    </row>
    <row r="269" spans="1:24" x14ac:dyDescent="0.4">
      <c r="A269">
        <v>1159</v>
      </c>
      <c r="B269">
        <v>3</v>
      </c>
      <c r="C269" t="s">
        <v>2199</v>
      </c>
      <c r="D269" t="s">
        <v>13</v>
      </c>
      <c r="F269">
        <v>0</v>
      </c>
      <c r="G269">
        <v>0</v>
      </c>
      <c r="H269" t="s">
        <v>2200</v>
      </c>
      <c r="I269">
        <v>7.55</v>
      </c>
      <c r="J269" t="s">
        <v>15</v>
      </c>
      <c r="K269" t="s">
        <v>16</v>
      </c>
      <c r="O269">
        <f>IF(I269&lt;&gt;"",I269,訓練データ!$O$19)</f>
        <v>7.55</v>
      </c>
      <c r="P269">
        <f>IF(E269&lt;&gt;"",E269,訓練データ!$O$18)</f>
        <v>28</v>
      </c>
      <c r="R269">
        <f t="shared" si="17"/>
        <v>0</v>
      </c>
      <c r="S269">
        <f t="shared" si="18"/>
        <v>0</v>
      </c>
      <c r="T269">
        <f t="shared" si="18"/>
        <v>0</v>
      </c>
      <c r="U269">
        <f t="shared" si="18"/>
        <v>1</v>
      </c>
      <c r="V269">
        <f t="shared" si="19"/>
        <v>1</v>
      </c>
      <c r="W269">
        <f t="shared" si="19"/>
        <v>0</v>
      </c>
      <c r="X269">
        <f t="shared" si="19"/>
        <v>0</v>
      </c>
    </row>
    <row r="270" spans="1:24" x14ac:dyDescent="0.4">
      <c r="A270">
        <v>1160</v>
      </c>
      <c r="B270">
        <v>3</v>
      </c>
      <c r="C270" t="s">
        <v>2201</v>
      </c>
      <c r="D270" t="s">
        <v>18</v>
      </c>
      <c r="F270">
        <v>0</v>
      </c>
      <c r="G270">
        <v>0</v>
      </c>
      <c r="H270" t="s">
        <v>2202</v>
      </c>
      <c r="I270">
        <v>8.0500000000000007</v>
      </c>
      <c r="J270" t="s">
        <v>15</v>
      </c>
      <c r="K270" t="s">
        <v>16</v>
      </c>
      <c r="O270">
        <f>IF(I270&lt;&gt;"",I270,訓練データ!$O$19)</f>
        <v>8.0500000000000007</v>
      </c>
      <c r="P270">
        <f>IF(E270&lt;&gt;"",E270,訓練データ!$O$18)</f>
        <v>28</v>
      </c>
      <c r="R270">
        <f t="shared" si="17"/>
        <v>1</v>
      </c>
      <c r="S270">
        <f t="shared" si="18"/>
        <v>0</v>
      </c>
      <c r="T270">
        <f t="shared" si="18"/>
        <v>0</v>
      </c>
      <c r="U270">
        <f t="shared" si="18"/>
        <v>1</v>
      </c>
      <c r="V270">
        <f t="shared" si="19"/>
        <v>1</v>
      </c>
      <c r="W270">
        <f t="shared" si="19"/>
        <v>0</v>
      </c>
      <c r="X270">
        <f t="shared" si="19"/>
        <v>0</v>
      </c>
    </row>
    <row r="271" spans="1:24" x14ac:dyDescent="0.4">
      <c r="A271">
        <v>1161</v>
      </c>
      <c r="B271">
        <v>3</v>
      </c>
      <c r="C271" t="s">
        <v>2203</v>
      </c>
      <c r="D271" t="s">
        <v>13</v>
      </c>
      <c r="E271">
        <v>17</v>
      </c>
      <c r="F271">
        <v>0</v>
      </c>
      <c r="G271">
        <v>0</v>
      </c>
      <c r="H271" t="s">
        <v>2204</v>
      </c>
      <c r="I271">
        <v>8.6624999999999996</v>
      </c>
      <c r="J271" t="s">
        <v>15</v>
      </c>
      <c r="K271" t="s">
        <v>16</v>
      </c>
      <c r="O271">
        <f>IF(I271&lt;&gt;"",I271,訓練データ!$O$19)</f>
        <v>8.6624999999999996</v>
      </c>
      <c r="P271">
        <f>IF(E271&lt;&gt;"",E271,訓練データ!$O$18)</f>
        <v>17</v>
      </c>
      <c r="R271">
        <f t="shared" si="17"/>
        <v>0</v>
      </c>
      <c r="S271">
        <f t="shared" si="18"/>
        <v>0</v>
      </c>
      <c r="T271">
        <f t="shared" si="18"/>
        <v>0</v>
      </c>
      <c r="U271">
        <f t="shared" si="18"/>
        <v>1</v>
      </c>
      <c r="V271">
        <f t="shared" si="19"/>
        <v>1</v>
      </c>
      <c r="W271">
        <f t="shared" si="19"/>
        <v>0</v>
      </c>
      <c r="X271">
        <f t="shared" si="19"/>
        <v>0</v>
      </c>
    </row>
    <row r="272" spans="1:24" x14ac:dyDescent="0.4">
      <c r="A272">
        <v>1162</v>
      </c>
      <c r="B272">
        <v>1</v>
      </c>
      <c r="C272" t="s">
        <v>2205</v>
      </c>
      <c r="D272" t="s">
        <v>13</v>
      </c>
      <c r="E272">
        <v>46</v>
      </c>
      <c r="F272">
        <v>0</v>
      </c>
      <c r="G272">
        <v>0</v>
      </c>
      <c r="H272" t="s">
        <v>1952</v>
      </c>
      <c r="I272">
        <v>75.241699999999994</v>
      </c>
      <c r="J272" t="s">
        <v>1953</v>
      </c>
      <c r="K272" t="s">
        <v>21</v>
      </c>
      <c r="O272">
        <f>IF(I272&lt;&gt;"",I272,訓練データ!$O$19)</f>
        <v>75.241699999999994</v>
      </c>
      <c r="P272">
        <f>IF(E272&lt;&gt;"",E272,訓練データ!$O$18)</f>
        <v>46</v>
      </c>
      <c r="R272">
        <f t="shared" si="17"/>
        <v>0</v>
      </c>
      <c r="S272">
        <f t="shared" si="18"/>
        <v>1</v>
      </c>
      <c r="T272">
        <f t="shared" si="18"/>
        <v>0</v>
      </c>
      <c r="U272">
        <f t="shared" si="18"/>
        <v>0</v>
      </c>
      <c r="V272">
        <f t="shared" si="19"/>
        <v>0</v>
      </c>
      <c r="W272">
        <f t="shared" si="19"/>
        <v>0</v>
      </c>
      <c r="X272">
        <f t="shared" si="19"/>
        <v>1</v>
      </c>
    </row>
    <row r="273" spans="1:24" x14ac:dyDescent="0.4">
      <c r="A273">
        <v>1163</v>
      </c>
      <c r="B273">
        <v>3</v>
      </c>
      <c r="C273" t="s">
        <v>2206</v>
      </c>
      <c r="D273" t="s">
        <v>13</v>
      </c>
      <c r="F273">
        <v>0</v>
      </c>
      <c r="G273">
        <v>0</v>
      </c>
      <c r="H273" t="s">
        <v>2207</v>
      </c>
      <c r="I273">
        <v>7.75</v>
      </c>
      <c r="J273" t="s">
        <v>15</v>
      </c>
      <c r="K273" t="s">
        <v>31</v>
      </c>
      <c r="O273">
        <f>IF(I273&lt;&gt;"",I273,訓練データ!$O$19)</f>
        <v>7.75</v>
      </c>
      <c r="P273">
        <f>IF(E273&lt;&gt;"",E273,訓練データ!$O$18)</f>
        <v>28</v>
      </c>
      <c r="R273">
        <f t="shared" si="17"/>
        <v>0</v>
      </c>
      <c r="S273">
        <f t="shared" si="18"/>
        <v>0</v>
      </c>
      <c r="T273">
        <f t="shared" si="18"/>
        <v>0</v>
      </c>
      <c r="U273">
        <f t="shared" si="18"/>
        <v>1</v>
      </c>
      <c r="V273">
        <f t="shared" si="19"/>
        <v>0</v>
      </c>
      <c r="W273">
        <f t="shared" si="19"/>
        <v>1</v>
      </c>
      <c r="X273">
        <f t="shared" si="19"/>
        <v>0</v>
      </c>
    </row>
    <row r="274" spans="1:24" x14ac:dyDescent="0.4">
      <c r="A274">
        <v>1164</v>
      </c>
      <c r="B274">
        <v>1</v>
      </c>
      <c r="C274" t="s">
        <v>2208</v>
      </c>
      <c r="D274" t="s">
        <v>18</v>
      </c>
      <c r="E274">
        <v>26</v>
      </c>
      <c r="F274">
        <v>1</v>
      </c>
      <c r="G274">
        <v>0</v>
      </c>
      <c r="H274" t="s">
        <v>2172</v>
      </c>
      <c r="I274">
        <v>136.7792</v>
      </c>
      <c r="J274" t="s">
        <v>2173</v>
      </c>
      <c r="K274" t="s">
        <v>21</v>
      </c>
      <c r="O274">
        <f>IF(I274&lt;&gt;"",I274,訓練データ!$O$19)</f>
        <v>136.7792</v>
      </c>
      <c r="P274">
        <f>IF(E274&lt;&gt;"",E274,訓練データ!$O$18)</f>
        <v>26</v>
      </c>
      <c r="R274">
        <f t="shared" si="17"/>
        <v>1</v>
      </c>
      <c r="S274">
        <f t="shared" si="18"/>
        <v>1</v>
      </c>
      <c r="T274">
        <f t="shared" si="18"/>
        <v>0</v>
      </c>
      <c r="U274">
        <f t="shared" si="18"/>
        <v>0</v>
      </c>
      <c r="V274">
        <f t="shared" si="19"/>
        <v>0</v>
      </c>
      <c r="W274">
        <f t="shared" si="19"/>
        <v>0</v>
      </c>
      <c r="X274">
        <f t="shared" si="19"/>
        <v>1</v>
      </c>
    </row>
    <row r="275" spans="1:24" x14ac:dyDescent="0.4">
      <c r="A275">
        <v>1165</v>
      </c>
      <c r="B275">
        <v>3</v>
      </c>
      <c r="C275" t="s">
        <v>2209</v>
      </c>
      <c r="D275" t="s">
        <v>18</v>
      </c>
      <c r="F275">
        <v>1</v>
      </c>
      <c r="G275">
        <v>0</v>
      </c>
      <c r="H275" t="s">
        <v>119</v>
      </c>
      <c r="I275">
        <v>15.5</v>
      </c>
      <c r="J275" t="s">
        <v>15</v>
      </c>
      <c r="K275" t="s">
        <v>31</v>
      </c>
      <c r="O275">
        <f>IF(I275&lt;&gt;"",I275,訓練データ!$O$19)</f>
        <v>15.5</v>
      </c>
      <c r="P275">
        <f>IF(E275&lt;&gt;"",E275,訓練データ!$O$18)</f>
        <v>28</v>
      </c>
      <c r="R275">
        <f t="shared" si="17"/>
        <v>1</v>
      </c>
      <c r="S275">
        <f t="shared" si="18"/>
        <v>0</v>
      </c>
      <c r="T275">
        <f t="shared" si="18"/>
        <v>0</v>
      </c>
      <c r="U275">
        <f t="shared" si="18"/>
        <v>1</v>
      </c>
      <c r="V275">
        <f t="shared" si="19"/>
        <v>0</v>
      </c>
      <c r="W275">
        <f t="shared" si="19"/>
        <v>1</v>
      </c>
      <c r="X275">
        <f t="shared" si="19"/>
        <v>0</v>
      </c>
    </row>
    <row r="276" spans="1:24" x14ac:dyDescent="0.4">
      <c r="A276">
        <v>1166</v>
      </c>
      <c r="B276">
        <v>3</v>
      </c>
      <c r="C276" t="s">
        <v>2210</v>
      </c>
      <c r="D276" t="s">
        <v>13</v>
      </c>
      <c r="F276">
        <v>0</v>
      </c>
      <c r="G276">
        <v>0</v>
      </c>
      <c r="H276" t="s">
        <v>2211</v>
      </c>
      <c r="I276">
        <v>7.2249999999999996</v>
      </c>
      <c r="J276" t="s">
        <v>15</v>
      </c>
      <c r="K276" t="s">
        <v>21</v>
      </c>
      <c r="O276">
        <f>IF(I276&lt;&gt;"",I276,訓練データ!$O$19)</f>
        <v>7.2249999999999996</v>
      </c>
      <c r="P276">
        <f>IF(E276&lt;&gt;"",E276,訓練データ!$O$18)</f>
        <v>28</v>
      </c>
      <c r="R276">
        <f t="shared" si="17"/>
        <v>0</v>
      </c>
      <c r="S276">
        <f t="shared" si="18"/>
        <v>0</v>
      </c>
      <c r="T276">
        <f t="shared" si="18"/>
        <v>0</v>
      </c>
      <c r="U276">
        <f t="shared" si="18"/>
        <v>1</v>
      </c>
      <c r="V276">
        <f t="shared" si="19"/>
        <v>0</v>
      </c>
      <c r="W276">
        <f t="shared" si="19"/>
        <v>0</v>
      </c>
      <c r="X276">
        <f t="shared" si="19"/>
        <v>1</v>
      </c>
    </row>
    <row r="277" spans="1:24" x14ac:dyDescent="0.4">
      <c r="A277">
        <v>1167</v>
      </c>
      <c r="B277">
        <v>2</v>
      </c>
      <c r="C277" t="s">
        <v>2212</v>
      </c>
      <c r="D277" t="s">
        <v>18</v>
      </c>
      <c r="E277">
        <v>20</v>
      </c>
      <c r="F277">
        <v>1</v>
      </c>
      <c r="G277">
        <v>0</v>
      </c>
      <c r="H277" t="s">
        <v>1449</v>
      </c>
      <c r="I277">
        <v>26</v>
      </c>
      <c r="J277" t="s">
        <v>15</v>
      </c>
      <c r="K277" t="s">
        <v>16</v>
      </c>
      <c r="O277">
        <f>IF(I277&lt;&gt;"",I277,訓練データ!$O$19)</f>
        <v>26</v>
      </c>
      <c r="P277">
        <f>IF(E277&lt;&gt;"",E277,訓練データ!$O$18)</f>
        <v>20</v>
      </c>
      <c r="R277">
        <f t="shared" si="17"/>
        <v>1</v>
      </c>
      <c r="S277">
        <f t="shared" si="18"/>
        <v>0</v>
      </c>
      <c r="T277">
        <f t="shared" si="18"/>
        <v>1</v>
      </c>
      <c r="U277">
        <f t="shared" si="18"/>
        <v>0</v>
      </c>
      <c r="V277">
        <f t="shared" si="19"/>
        <v>1</v>
      </c>
      <c r="W277">
        <f t="shared" si="19"/>
        <v>0</v>
      </c>
      <c r="X277">
        <f t="shared" si="19"/>
        <v>0</v>
      </c>
    </row>
    <row r="278" spans="1:24" x14ac:dyDescent="0.4">
      <c r="A278">
        <v>1168</v>
      </c>
      <c r="B278">
        <v>2</v>
      </c>
      <c r="C278" t="s">
        <v>2213</v>
      </c>
      <c r="D278" t="s">
        <v>13</v>
      </c>
      <c r="E278">
        <v>28</v>
      </c>
      <c r="F278">
        <v>0</v>
      </c>
      <c r="G278">
        <v>0</v>
      </c>
      <c r="H278" t="s">
        <v>2214</v>
      </c>
      <c r="I278">
        <v>10.5</v>
      </c>
      <c r="J278" t="s">
        <v>15</v>
      </c>
      <c r="K278" t="s">
        <v>16</v>
      </c>
      <c r="O278">
        <f>IF(I278&lt;&gt;"",I278,訓練データ!$O$19)</f>
        <v>10.5</v>
      </c>
      <c r="P278">
        <f>IF(E278&lt;&gt;"",E278,訓練データ!$O$18)</f>
        <v>28</v>
      </c>
      <c r="R278">
        <f t="shared" si="17"/>
        <v>0</v>
      </c>
      <c r="S278">
        <f t="shared" si="18"/>
        <v>0</v>
      </c>
      <c r="T278">
        <f t="shared" si="18"/>
        <v>1</v>
      </c>
      <c r="U278">
        <f t="shared" si="18"/>
        <v>0</v>
      </c>
      <c r="V278">
        <f t="shared" si="19"/>
        <v>1</v>
      </c>
      <c r="W278">
        <f t="shared" si="19"/>
        <v>0</v>
      </c>
      <c r="X278">
        <f t="shared" si="19"/>
        <v>0</v>
      </c>
    </row>
    <row r="279" spans="1:24" x14ac:dyDescent="0.4">
      <c r="A279">
        <v>1169</v>
      </c>
      <c r="B279">
        <v>2</v>
      </c>
      <c r="C279" t="s">
        <v>2215</v>
      </c>
      <c r="D279" t="s">
        <v>13</v>
      </c>
      <c r="E279">
        <v>40</v>
      </c>
      <c r="F279">
        <v>1</v>
      </c>
      <c r="G279">
        <v>0</v>
      </c>
      <c r="H279" t="s">
        <v>134</v>
      </c>
      <c r="I279">
        <v>26</v>
      </c>
      <c r="J279" t="s">
        <v>15</v>
      </c>
      <c r="K279" t="s">
        <v>16</v>
      </c>
      <c r="O279">
        <f>IF(I279&lt;&gt;"",I279,訓練データ!$O$19)</f>
        <v>26</v>
      </c>
      <c r="P279">
        <f>IF(E279&lt;&gt;"",E279,訓練データ!$O$18)</f>
        <v>40</v>
      </c>
      <c r="R279">
        <f t="shared" si="17"/>
        <v>0</v>
      </c>
      <c r="S279">
        <f t="shared" si="18"/>
        <v>0</v>
      </c>
      <c r="T279">
        <f t="shared" si="18"/>
        <v>1</v>
      </c>
      <c r="U279">
        <f t="shared" si="18"/>
        <v>0</v>
      </c>
      <c r="V279">
        <f t="shared" si="19"/>
        <v>1</v>
      </c>
      <c r="W279">
        <f t="shared" si="19"/>
        <v>0</v>
      </c>
      <c r="X279">
        <f t="shared" si="19"/>
        <v>0</v>
      </c>
    </row>
    <row r="280" spans="1:24" x14ac:dyDescent="0.4">
      <c r="A280">
        <v>1170</v>
      </c>
      <c r="B280">
        <v>2</v>
      </c>
      <c r="C280" t="s">
        <v>2216</v>
      </c>
      <c r="D280" t="s">
        <v>13</v>
      </c>
      <c r="E280">
        <v>30</v>
      </c>
      <c r="F280">
        <v>1</v>
      </c>
      <c r="G280">
        <v>0</v>
      </c>
      <c r="H280" t="s">
        <v>2217</v>
      </c>
      <c r="I280">
        <v>21</v>
      </c>
      <c r="J280" t="s">
        <v>15</v>
      </c>
      <c r="K280" t="s">
        <v>16</v>
      </c>
      <c r="O280">
        <f>IF(I280&lt;&gt;"",I280,訓練データ!$O$19)</f>
        <v>21</v>
      </c>
      <c r="P280">
        <f>IF(E280&lt;&gt;"",E280,訓練データ!$O$18)</f>
        <v>30</v>
      </c>
      <c r="R280">
        <f t="shared" si="17"/>
        <v>0</v>
      </c>
      <c r="S280">
        <f t="shared" si="18"/>
        <v>0</v>
      </c>
      <c r="T280">
        <f t="shared" si="18"/>
        <v>1</v>
      </c>
      <c r="U280">
        <f t="shared" si="18"/>
        <v>0</v>
      </c>
      <c r="V280">
        <f t="shared" si="19"/>
        <v>1</v>
      </c>
      <c r="W280">
        <f t="shared" si="19"/>
        <v>0</v>
      </c>
      <c r="X280">
        <f t="shared" si="19"/>
        <v>0</v>
      </c>
    </row>
    <row r="281" spans="1:24" x14ac:dyDescent="0.4">
      <c r="A281">
        <v>1171</v>
      </c>
      <c r="B281">
        <v>2</v>
      </c>
      <c r="C281" t="s">
        <v>2218</v>
      </c>
      <c r="D281" t="s">
        <v>13</v>
      </c>
      <c r="E281">
        <v>22</v>
      </c>
      <c r="F281">
        <v>0</v>
      </c>
      <c r="G281">
        <v>0</v>
      </c>
      <c r="H281" t="s">
        <v>2219</v>
      </c>
      <c r="I281">
        <v>10.5</v>
      </c>
      <c r="J281" t="s">
        <v>15</v>
      </c>
      <c r="K281" t="s">
        <v>16</v>
      </c>
      <c r="O281">
        <f>IF(I281&lt;&gt;"",I281,訓練データ!$O$19)</f>
        <v>10.5</v>
      </c>
      <c r="P281">
        <f>IF(E281&lt;&gt;"",E281,訓練データ!$O$18)</f>
        <v>22</v>
      </c>
      <c r="R281">
        <f t="shared" si="17"/>
        <v>0</v>
      </c>
      <c r="S281">
        <f t="shared" si="18"/>
        <v>0</v>
      </c>
      <c r="T281">
        <f t="shared" si="18"/>
        <v>1</v>
      </c>
      <c r="U281">
        <f t="shared" si="18"/>
        <v>0</v>
      </c>
      <c r="V281">
        <f t="shared" si="19"/>
        <v>1</v>
      </c>
      <c r="W281">
        <f t="shared" si="19"/>
        <v>0</v>
      </c>
      <c r="X281">
        <f t="shared" si="19"/>
        <v>0</v>
      </c>
    </row>
    <row r="282" spans="1:24" x14ac:dyDescent="0.4">
      <c r="A282">
        <v>1172</v>
      </c>
      <c r="B282">
        <v>3</v>
      </c>
      <c r="C282" t="s">
        <v>2220</v>
      </c>
      <c r="D282" t="s">
        <v>18</v>
      </c>
      <c r="E282">
        <v>23</v>
      </c>
      <c r="F282">
        <v>0</v>
      </c>
      <c r="G282">
        <v>0</v>
      </c>
      <c r="H282" t="s">
        <v>2221</v>
      </c>
      <c r="I282">
        <v>8.6624999999999996</v>
      </c>
      <c r="J282" t="s">
        <v>15</v>
      </c>
      <c r="K282" t="s">
        <v>16</v>
      </c>
      <c r="O282">
        <f>IF(I282&lt;&gt;"",I282,訓練データ!$O$19)</f>
        <v>8.6624999999999996</v>
      </c>
      <c r="P282">
        <f>IF(E282&lt;&gt;"",E282,訓練データ!$O$18)</f>
        <v>23</v>
      </c>
      <c r="R282">
        <f t="shared" si="17"/>
        <v>1</v>
      </c>
      <c r="S282">
        <f t="shared" si="18"/>
        <v>0</v>
      </c>
      <c r="T282">
        <f t="shared" si="18"/>
        <v>0</v>
      </c>
      <c r="U282">
        <f t="shared" si="18"/>
        <v>1</v>
      </c>
      <c r="V282">
        <f t="shared" si="19"/>
        <v>1</v>
      </c>
      <c r="W282">
        <f t="shared" si="19"/>
        <v>0</v>
      </c>
      <c r="X282">
        <f t="shared" si="19"/>
        <v>0</v>
      </c>
    </row>
    <row r="283" spans="1:24" x14ac:dyDescent="0.4">
      <c r="A283">
        <v>1173</v>
      </c>
      <c r="B283">
        <v>3</v>
      </c>
      <c r="C283" t="s">
        <v>2222</v>
      </c>
      <c r="D283" t="s">
        <v>13</v>
      </c>
      <c r="E283">
        <v>0.75</v>
      </c>
      <c r="F283">
        <v>1</v>
      </c>
      <c r="G283">
        <v>1</v>
      </c>
      <c r="H283" t="s">
        <v>2022</v>
      </c>
      <c r="I283">
        <v>13.775</v>
      </c>
      <c r="J283" t="s">
        <v>15</v>
      </c>
      <c r="K283" t="s">
        <v>16</v>
      </c>
      <c r="O283">
        <f>IF(I283&lt;&gt;"",I283,訓練データ!$O$19)</f>
        <v>13.775</v>
      </c>
      <c r="P283">
        <f>IF(E283&lt;&gt;"",E283,訓練データ!$O$18)</f>
        <v>0.75</v>
      </c>
      <c r="R283">
        <f t="shared" si="17"/>
        <v>0</v>
      </c>
      <c r="S283">
        <f t="shared" si="18"/>
        <v>0</v>
      </c>
      <c r="T283">
        <f t="shared" si="18"/>
        <v>0</v>
      </c>
      <c r="U283">
        <f t="shared" si="18"/>
        <v>1</v>
      </c>
      <c r="V283">
        <f t="shared" si="19"/>
        <v>1</v>
      </c>
      <c r="W283">
        <f t="shared" si="19"/>
        <v>0</v>
      </c>
      <c r="X283">
        <f t="shared" si="19"/>
        <v>0</v>
      </c>
    </row>
    <row r="284" spans="1:24" x14ac:dyDescent="0.4">
      <c r="A284">
        <v>1174</v>
      </c>
      <c r="B284">
        <v>3</v>
      </c>
      <c r="C284" t="s">
        <v>2223</v>
      </c>
      <c r="D284" t="s">
        <v>18</v>
      </c>
      <c r="F284">
        <v>0</v>
      </c>
      <c r="G284">
        <v>0</v>
      </c>
      <c r="H284" t="s">
        <v>2224</v>
      </c>
      <c r="I284">
        <v>7.75</v>
      </c>
      <c r="J284" t="s">
        <v>15</v>
      </c>
      <c r="K284" t="s">
        <v>31</v>
      </c>
      <c r="O284">
        <f>IF(I284&lt;&gt;"",I284,訓練データ!$O$19)</f>
        <v>7.75</v>
      </c>
      <c r="P284">
        <f>IF(E284&lt;&gt;"",E284,訓練データ!$O$18)</f>
        <v>28</v>
      </c>
      <c r="R284">
        <f t="shared" si="17"/>
        <v>1</v>
      </c>
      <c r="S284">
        <f t="shared" si="18"/>
        <v>0</v>
      </c>
      <c r="T284">
        <f t="shared" si="18"/>
        <v>0</v>
      </c>
      <c r="U284">
        <f t="shared" si="18"/>
        <v>1</v>
      </c>
      <c r="V284">
        <f t="shared" si="19"/>
        <v>0</v>
      </c>
      <c r="W284">
        <f t="shared" si="19"/>
        <v>1</v>
      </c>
      <c r="X284">
        <f t="shared" si="19"/>
        <v>0</v>
      </c>
    </row>
    <row r="285" spans="1:24" x14ac:dyDescent="0.4">
      <c r="A285">
        <v>1175</v>
      </c>
      <c r="B285">
        <v>3</v>
      </c>
      <c r="C285" t="s">
        <v>2225</v>
      </c>
      <c r="D285" t="s">
        <v>18</v>
      </c>
      <c r="E285">
        <v>9</v>
      </c>
      <c r="F285">
        <v>1</v>
      </c>
      <c r="G285">
        <v>1</v>
      </c>
      <c r="H285" t="s">
        <v>545</v>
      </c>
      <c r="I285">
        <v>15.245799999999999</v>
      </c>
      <c r="J285" t="s">
        <v>15</v>
      </c>
      <c r="K285" t="s">
        <v>21</v>
      </c>
      <c r="O285">
        <f>IF(I285&lt;&gt;"",I285,訓練データ!$O$19)</f>
        <v>15.245799999999999</v>
      </c>
      <c r="P285">
        <f>IF(E285&lt;&gt;"",E285,訓練データ!$O$18)</f>
        <v>9</v>
      </c>
      <c r="R285">
        <f t="shared" si="17"/>
        <v>1</v>
      </c>
      <c r="S285">
        <f t="shared" si="18"/>
        <v>0</v>
      </c>
      <c r="T285">
        <f t="shared" si="18"/>
        <v>0</v>
      </c>
      <c r="U285">
        <f t="shared" si="18"/>
        <v>1</v>
      </c>
      <c r="V285">
        <f t="shared" si="19"/>
        <v>0</v>
      </c>
      <c r="W285">
        <f t="shared" si="19"/>
        <v>0</v>
      </c>
      <c r="X285">
        <f t="shared" si="19"/>
        <v>1</v>
      </c>
    </row>
    <row r="286" spans="1:24" x14ac:dyDescent="0.4">
      <c r="A286">
        <v>1176</v>
      </c>
      <c r="B286">
        <v>3</v>
      </c>
      <c r="C286" t="s">
        <v>2226</v>
      </c>
      <c r="D286" t="s">
        <v>18</v>
      </c>
      <c r="E286">
        <v>2</v>
      </c>
      <c r="F286">
        <v>1</v>
      </c>
      <c r="G286">
        <v>1</v>
      </c>
      <c r="H286" t="s">
        <v>543</v>
      </c>
      <c r="I286">
        <v>20.212499999999999</v>
      </c>
      <c r="J286" t="s">
        <v>15</v>
      </c>
      <c r="K286" t="s">
        <v>16</v>
      </c>
      <c r="O286">
        <f>IF(I286&lt;&gt;"",I286,訓練データ!$O$19)</f>
        <v>20.212499999999999</v>
      </c>
      <c r="P286">
        <f>IF(E286&lt;&gt;"",E286,訓練データ!$O$18)</f>
        <v>2</v>
      </c>
      <c r="R286">
        <f t="shared" si="17"/>
        <v>1</v>
      </c>
      <c r="S286">
        <f t="shared" si="18"/>
        <v>0</v>
      </c>
      <c r="T286">
        <f t="shared" si="18"/>
        <v>0</v>
      </c>
      <c r="U286">
        <f t="shared" si="18"/>
        <v>1</v>
      </c>
      <c r="V286">
        <f t="shared" si="19"/>
        <v>1</v>
      </c>
      <c r="W286">
        <f t="shared" si="19"/>
        <v>0</v>
      </c>
      <c r="X286">
        <f t="shared" si="19"/>
        <v>0</v>
      </c>
    </row>
    <row r="287" spans="1:24" x14ac:dyDescent="0.4">
      <c r="A287">
        <v>1177</v>
      </c>
      <c r="B287">
        <v>3</v>
      </c>
      <c r="C287" t="s">
        <v>2227</v>
      </c>
      <c r="D287" t="s">
        <v>13</v>
      </c>
      <c r="E287">
        <v>36</v>
      </c>
      <c r="F287">
        <v>0</v>
      </c>
      <c r="G287">
        <v>0</v>
      </c>
      <c r="H287" t="s">
        <v>2228</v>
      </c>
      <c r="I287">
        <v>7.25</v>
      </c>
      <c r="J287" t="s">
        <v>15</v>
      </c>
      <c r="K287" t="s">
        <v>16</v>
      </c>
      <c r="O287">
        <f>IF(I287&lt;&gt;"",I287,訓練データ!$O$19)</f>
        <v>7.25</v>
      </c>
      <c r="P287">
        <f>IF(E287&lt;&gt;"",E287,訓練データ!$O$18)</f>
        <v>36</v>
      </c>
      <c r="R287">
        <f t="shared" si="17"/>
        <v>0</v>
      </c>
      <c r="S287">
        <f t="shared" si="18"/>
        <v>0</v>
      </c>
      <c r="T287">
        <f t="shared" si="18"/>
        <v>0</v>
      </c>
      <c r="U287">
        <f t="shared" si="18"/>
        <v>1</v>
      </c>
      <c r="V287">
        <f t="shared" si="19"/>
        <v>1</v>
      </c>
      <c r="W287">
        <f t="shared" si="19"/>
        <v>0</v>
      </c>
      <c r="X287">
        <f t="shared" si="19"/>
        <v>0</v>
      </c>
    </row>
    <row r="288" spans="1:24" x14ac:dyDescent="0.4">
      <c r="A288">
        <v>1178</v>
      </c>
      <c r="B288">
        <v>3</v>
      </c>
      <c r="C288" t="s">
        <v>2229</v>
      </c>
      <c r="D288" t="s">
        <v>13</v>
      </c>
      <c r="F288">
        <v>0</v>
      </c>
      <c r="G288">
        <v>0</v>
      </c>
      <c r="H288" t="s">
        <v>2230</v>
      </c>
      <c r="I288">
        <v>7.25</v>
      </c>
      <c r="J288" t="s">
        <v>15</v>
      </c>
      <c r="K288" t="s">
        <v>16</v>
      </c>
      <c r="O288">
        <f>IF(I288&lt;&gt;"",I288,訓練データ!$O$19)</f>
        <v>7.25</v>
      </c>
      <c r="P288">
        <f>IF(E288&lt;&gt;"",E288,訓練データ!$O$18)</f>
        <v>28</v>
      </c>
      <c r="R288">
        <f t="shared" si="17"/>
        <v>0</v>
      </c>
      <c r="S288">
        <f t="shared" si="18"/>
        <v>0</v>
      </c>
      <c r="T288">
        <f t="shared" si="18"/>
        <v>0</v>
      </c>
      <c r="U288">
        <f t="shared" si="18"/>
        <v>1</v>
      </c>
      <c r="V288">
        <f t="shared" si="19"/>
        <v>1</v>
      </c>
      <c r="W288">
        <f t="shared" si="19"/>
        <v>0</v>
      </c>
      <c r="X288">
        <f t="shared" si="19"/>
        <v>0</v>
      </c>
    </row>
    <row r="289" spans="1:24" x14ac:dyDescent="0.4">
      <c r="A289">
        <v>1179</v>
      </c>
      <c r="B289">
        <v>1</v>
      </c>
      <c r="C289" t="s">
        <v>2231</v>
      </c>
      <c r="D289" t="s">
        <v>13</v>
      </c>
      <c r="E289">
        <v>24</v>
      </c>
      <c r="F289">
        <v>1</v>
      </c>
      <c r="G289">
        <v>0</v>
      </c>
      <c r="H289" t="s">
        <v>1762</v>
      </c>
      <c r="I289">
        <v>82.2667</v>
      </c>
      <c r="J289" t="s">
        <v>1763</v>
      </c>
      <c r="K289" t="s">
        <v>16</v>
      </c>
      <c r="O289">
        <f>IF(I289&lt;&gt;"",I289,訓練データ!$O$19)</f>
        <v>82.2667</v>
      </c>
      <c r="P289">
        <f>IF(E289&lt;&gt;"",E289,訓練データ!$O$18)</f>
        <v>24</v>
      </c>
      <c r="R289">
        <f t="shared" si="17"/>
        <v>0</v>
      </c>
      <c r="S289">
        <f t="shared" si="18"/>
        <v>1</v>
      </c>
      <c r="T289">
        <f t="shared" si="18"/>
        <v>0</v>
      </c>
      <c r="U289">
        <f t="shared" si="18"/>
        <v>0</v>
      </c>
      <c r="V289">
        <f t="shared" si="19"/>
        <v>1</v>
      </c>
      <c r="W289">
        <f t="shared" si="19"/>
        <v>0</v>
      </c>
      <c r="X289">
        <f t="shared" si="19"/>
        <v>0</v>
      </c>
    </row>
    <row r="290" spans="1:24" x14ac:dyDescent="0.4">
      <c r="A290">
        <v>1180</v>
      </c>
      <c r="B290">
        <v>3</v>
      </c>
      <c r="C290" t="s">
        <v>2232</v>
      </c>
      <c r="D290" t="s">
        <v>13</v>
      </c>
      <c r="F290">
        <v>0</v>
      </c>
      <c r="G290">
        <v>0</v>
      </c>
      <c r="H290" t="s">
        <v>2233</v>
      </c>
      <c r="I290">
        <v>7.2291999999999996</v>
      </c>
      <c r="J290" t="s">
        <v>2234</v>
      </c>
      <c r="K290" t="s">
        <v>21</v>
      </c>
      <c r="O290">
        <f>IF(I290&lt;&gt;"",I290,訓練データ!$O$19)</f>
        <v>7.2291999999999996</v>
      </c>
      <c r="P290">
        <f>IF(E290&lt;&gt;"",E290,訓練データ!$O$18)</f>
        <v>28</v>
      </c>
      <c r="R290">
        <f t="shared" si="17"/>
        <v>0</v>
      </c>
      <c r="S290">
        <f t="shared" si="18"/>
        <v>0</v>
      </c>
      <c r="T290">
        <f t="shared" si="18"/>
        <v>0</v>
      </c>
      <c r="U290">
        <f t="shared" si="18"/>
        <v>1</v>
      </c>
      <c r="V290">
        <f t="shared" si="19"/>
        <v>0</v>
      </c>
      <c r="W290">
        <f t="shared" si="19"/>
        <v>0</v>
      </c>
      <c r="X290">
        <f t="shared" si="19"/>
        <v>1</v>
      </c>
    </row>
    <row r="291" spans="1:24" x14ac:dyDescent="0.4">
      <c r="A291">
        <v>1181</v>
      </c>
      <c r="B291">
        <v>3</v>
      </c>
      <c r="C291" t="s">
        <v>2235</v>
      </c>
      <c r="D291" t="s">
        <v>13</v>
      </c>
      <c r="F291">
        <v>0</v>
      </c>
      <c r="G291">
        <v>0</v>
      </c>
      <c r="H291" t="s">
        <v>2236</v>
      </c>
      <c r="I291">
        <v>8.0500000000000007</v>
      </c>
      <c r="J291" t="s">
        <v>15</v>
      </c>
      <c r="K291" t="s">
        <v>16</v>
      </c>
      <c r="O291">
        <f>IF(I291&lt;&gt;"",I291,訓練データ!$O$19)</f>
        <v>8.0500000000000007</v>
      </c>
      <c r="P291">
        <f>IF(E291&lt;&gt;"",E291,訓練データ!$O$18)</f>
        <v>28</v>
      </c>
      <c r="R291">
        <f t="shared" si="17"/>
        <v>0</v>
      </c>
      <c r="S291">
        <f t="shared" si="18"/>
        <v>0</v>
      </c>
      <c r="T291">
        <f t="shared" si="18"/>
        <v>0</v>
      </c>
      <c r="U291">
        <f t="shared" si="18"/>
        <v>1</v>
      </c>
      <c r="V291">
        <f t="shared" si="19"/>
        <v>1</v>
      </c>
      <c r="W291">
        <f t="shared" si="19"/>
        <v>0</v>
      </c>
      <c r="X291">
        <f t="shared" si="19"/>
        <v>0</v>
      </c>
    </row>
    <row r="292" spans="1:24" x14ac:dyDescent="0.4">
      <c r="A292">
        <v>1182</v>
      </c>
      <c r="B292">
        <v>1</v>
      </c>
      <c r="C292" t="s">
        <v>2237</v>
      </c>
      <c r="D292" t="s">
        <v>13</v>
      </c>
      <c r="F292">
        <v>0</v>
      </c>
      <c r="G292">
        <v>0</v>
      </c>
      <c r="H292" t="s">
        <v>2238</v>
      </c>
      <c r="I292">
        <v>39.6</v>
      </c>
      <c r="J292" t="s">
        <v>15</v>
      </c>
      <c r="K292" t="s">
        <v>16</v>
      </c>
      <c r="O292">
        <f>IF(I292&lt;&gt;"",I292,訓練データ!$O$19)</f>
        <v>39.6</v>
      </c>
      <c r="P292">
        <f>IF(E292&lt;&gt;"",E292,訓練データ!$O$18)</f>
        <v>28</v>
      </c>
      <c r="R292">
        <f t="shared" si="17"/>
        <v>0</v>
      </c>
      <c r="S292">
        <f t="shared" si="18"/>
        <v>1</v>
      </c>
      <c r="T292">
        <f t="shared" si="18"/>
        <v>0</v>
      </c>
      <c r="U292">
        <f t="shared" si="18"/>
        <v>0</v>
      </c>
      <c r="V292">
        <f t="shared" si="19"/>
        <v>1</v>
      </c>
      <c r="W292">
        <f t="shared" si="19"/>
        <v>0</v>
      </c>
      <c r="X292">
        <f t="shared" si="19"/>
        <v>0</v>
      </c>
    </row>
    <row r="293" spans="1:24" x14ac:dyDescent="0.4">
      <c r="A293">
        <v>1183</v>
      </c>
      <c r="B293">
        <v>3</v>
      </c>
      <c r="C293" t="s">
        <v>2239</v>
      </c>
      <c r="D293" t="s">
        <v>18</v>
      </c>
      <c r="E293">
        <v>30</v>
      </c>
      <c r="F293">
        <v>0</v>
      </c>
      <c r="G293">
        <v>0</v>
      </c>
      <c r="H293" t="s">
        <v>2240</v>
      </c>
      <c r="I293">
        <v>6.95</v>
      </c>
      <c r="J293" t="s">
        <v>15</v>
      </c>
      <c r="K293" t="s">
        <v>31</v>
      </c>
      <c r="O293">
        <f>IF(I293&lt;&gt;"",I293,訓練データ!$O$19)</f>
        <v>6.95</v>
      </c>
      <c r="P293">
        <f>IF(E293&lt;&gt;"",E293,訓練データ!$O$18)</f>
        <v>30</v>
      </c>
      <c r="R293">
        <f t="shared" si="17"/>
        <v>1</v>
      </c>
      <c r="S293">
        <f t="shared" si="18"/>
        <v>0</v>
      </c>
      <c r="T293">
        <f t="shared" si="18"/>
        <v>0</v>
      </c>
      <c r="U293">
        <f t="shared" si="18"/>
        <v>1</v>
      </c>
      <c r="V293">
        <f t="shared" si="19"/>
        <v>0</v>
      </c>
      <c r="W293">
        <f t="shared" si="19"/>
        <v>1</v>
      </c>
      <c r="X293">
        <f t="shared" si="19"/>
        <v>0</v>
      </c>
    </row>
    <row r="294" spans="1:24" x14ac:dyDescent="0.4">
      <c r="A294">
        <v>1184</v>
      </c>
      <c r="B294">
        <v>3</v>
      </c>
      <c r="C294" t="s">
        <v>2241</v>
      </c>
      <c r="D294" t="s">
        <v>13</v>
      </c>
      <c r="F294">
        <v>0</v>
      </c>
      <c r="G294">
        <v>0</v>
      </c>
      <c r="H294" t="s">
        <v>2242</v>
      </c>
      <c r="I294">
        <v>7.2291999999999996</v>
      </c>
      <c r="J294" t="s">
        <v>15</v>
      </c>
      <c r="K294" t="s">
        <v>21</v>
      </c>
      <c r="O294">
        <f>IF(I294&lt;&gt;"",I294,訓練データ!$O$19)</f>
        <v>7.2291999999999996</v>
      </c>
      <c r="P294">
        <f>IF(E294&lt;&gt;"",E294,訓練データ!$O$18)</f>
        <v>28</v>
      </c>
      <c r="R294">
        <f t="shared" si="17"/>
        <v>0</v>
      </c>
      <c r="S294">
        <f t="shared" si="18"/>
        <v>0</v>
      </c>
      <c r="T294">
        <f t="shared" si="18"/>
        <v>0</v>
      </c>
      <c r="U294">
        <f t="shared" si="18"/>
        <v>1</v>
      </c>
      <c r="V294">
        <f t="shared" si="19"/>
        <v>0</v>
      </c>
      <c r="W294">
        <f t="shared" si="19"/>
        <v>0</v>
      </c>
      <c r="X294">
        <f t="shared" si="19"/>
        <v>1</v>
      </c>
    </row>
    <row r="295" spans="1:24" x14ac:dyDescent="0.4">
      <c r="A295">
        <v>1185</v>
      </c>
      <c r="B295">
        <v>1</v>
      </c>
      <c r="C295" t="s">
        <v>2243</v>
      </c>
      <c r="D295" t="s">
        <v>13</v>
      </c>
      <c r="E295">
        <v>53</v>
      </c>
      <c r="F295">
        <v>1</v>
      </c>
      <c r="G295">
        <v>1</v>
      </c>
      <c r="H295" t="s">
        <v>916</v>
      </c>
      <c r="I295">
        <v>81.8583</v>
      </c>
      <c r="J295" t="s">
        <v>917</v>
      </c>
      <c r="K295" t="s">
        <v>16</v>
      </c>
      <c r="O295">
        <f>IF(I295&lt;&gt;"",I295,訓練データ!$O$19)</f>
        <v>81.8583</v>
      </c>
      <c r="P295">
        <f>IF(E295&lt;&gt;"",E295,訓練データ!$O$18)</f>
        <v>53</v>
      </c>
      <c r="R295">
        <f t="shared" si="17"/>
        <v>0</v>
      </c>
      <c r="S295">
        <f t="shared" si="18"/>
        <v>1</v>
      </c>
      <c r="T295">
        <f t="shared" si="18"/>
        <v>0</v>
      </c>
      <c r="U295">
        <f t="shared" si="18"/>
        <v>0</v>
      </c>
      <c r="V295">
        <f t="shared" si="19"/>
        <v>1</v>
      </c>
      <c r="W295">
        <f t="shared" si="19"/>
        <v>0</v>
      </c>
      <c r="X295">
        <f t="shared" si="19"/>
        <v>0</v>
      </c>
    </row>
    <row r="296" spans="1:24" x14ac:dyDescent="0.4">
      <c r="A296">
        <v>1186</v>
      </c>
      <c r="B296">
        <v>3</v>
      </c>
      <c r="C296" t="s">
        <v>2244</v>
      </c>
      <c r="D296" t="s">
        <v>13</v>
      </c>
      <c r="E296">
        <v>36</v>
      </c>
      <c r="F296">
        <v>0</v>
      </c>
      <c r="G296">
        <v>0</v>
      </c>
      <c r="H296" t="s">
        <v>2245</v>
      </c>
      <c r="I296">
        <v>9.5</v>
      </c>
      <c r="J296" t="s">
        <v>15</v>
      </c>
      <c r="K296" t="s">
        <v>16</v>
      </c>
      <c r="O296">
        <f>IF(I296&lt;&gt;"",I296,訓練データ!$O$19)</f>
        <v>9.5</v>
      </c>
      <c r="P296">
        <f>IF(E296&lt;&gt;"",E296,訓練データ!$O$18)</f>
        <v>36</v>
      </c>
      <c r="R296">
        <f t="shared" si="17"/>
        <v>0</v>
      </c>
      <c r="S296">
        <f t="shared" si="18"/>
        <v>0</v>
      </c>
      <c r="T296">
        <f t="shared" si="18"/>
        <v>0</v>
      </c>
      <c r="U296">
        <f t="shared" si="18"/>
        <v>1</v>
      </c>
      <c r="V296">
        <f t="shared" si="19"/>
        <v>1</v>
      </c>
      <c r="W296">
        <f t="shared" si="19"/>
        <v>0</v>
      </c>
      <c r="X296">
        <f t="shared" si="19"/>
        <v>0</v>
      </c>
    </row>
    <row r="297" spans="1:24" x14ac:dyDescent="0.4">
      <c r="A297">
        <v>1187</v>
      </c>
      <c r="B297">
        <v>3</v>
      </c>
      <c r="C297" t="s">
        <v>2246</v>
      </c>
      <c r="D297" t="s">
        <v>13</v>
      </c>
      <c r="E297">
        <v>26</v>
      </c>
      <c r="F297">
        <v>0</v>
      </c>
      <c r="G297">
        <v>0</v>
      </c>
      <c r="H297" t="s">
        <v>2247</v>
      </c>
      <c r="I297">
        <v>7.8958000000000004</v>
      </c>
      <c r="J297" t="s">
        <v>15</v>
      </c>
      <c r="K297" t="s">
        <v>16</v>
      </c>
      <c r="O297">
        <f>IF(I297&lt;&gt;"",I297,訓練データ!$O$19)</f>
        <v>7.8958000000000004</v>
      </c>
      <c r="P297">
        <f>IF(E297&lt;&gt;"",E297,訓練データ!$O$18)</f>
        <v>26</v>
      </c>
      <c r="R297">
        <f t="shared" si="17"/>
        <v>0</v>
      </c>
      <c r="S297">
        <f t="shared" si="18"/>
        <v>0</v>
      </c>
      <c r="T297">
        <f t="shared" si="18"/>
        <v>0</v>
      </c>
      <c r="U297">
        <f t="shared" si="18"/>
        <v>1</v>
      </c>
      <c r="V297">
        <f t="shared" si="19"/>
        <v>1</v>
      </c>
      <c r="W297">
        <f t="shared" si="19"/>
        <v>0</v>
      </c>
      <c r="X297">
        <f t="shared" si="19"/>
        <v>0</v>
      </c>
    </row>
    <row r="298" spans="1:24" x14ac:dyDescent="0.4">
      <c r="A298">
        <v>1188</v>
      </c>
      <c r="B298">
        <v>2</v>
      </c>
      <c r="C298" t="s">
        <v>2248</v>
      </c>
      <c r="D298" t="s">
        <v>18</v>
      </c>
      <c r="E298">
        <v>1</v>
      </c>
      <c r="F298">
        <v>1</v>
      </c>
      <c r="G298">
        <v>2</v>
      </c>
      <c r="H298" t="s">
        <v>113</v>
      </c>
      <c r="I298">
        <v>41.5792</v>
      </c>
      <c r="J298" t="s">
        <v>15</v>
      </c>
      <c r="K298" t="s">
        <v>21</v>
      </c>
      <c r="O298">
        <f>IF(I298&lt;&gt;"",I298,訓練データ!$O$19)</f>
        <v>41.5792</v>
      </c>
      <c r="P298">
        <f>IF(E298&lt;&gt;"",E298,訓練データ!$O$18)</f>
        <v>1</v>
      </c>
      <c r="R298">
        <f t="shared" si="17"/>
        <v>1</v>
      </c>
      <c r="S298">
        <f t="shared" si="18"/>
        <v>0</v>
      </c>
      <c r="T298">
        <f t="shared" si="18"/>
        <v>1</v>
      </c>
      <c r="U298">
        <f t="shared" si="18"/>
        <v>0</v>
      </c>
      <c r="V298">
        <f t="shared" si="19"/>
        <v>0</v>
      </c>
      <c r="W298">
        <f t="shared" si="19"/>
        <v>0</v>
      </c>
      <c r="X298">
        <f t="shared" si="19"/>
        <v>1</v>
      </c>
    </row>
    <row r="299" spans="1:24" x14ac:dyDescent="0.4">
      <c r="A299">
        <v>1189</v>
      </c>
      <c r="B299">
        <v>3</v>
      </c>
      <c r="C299" t="s">
        <v>2249</v>
      </c>
      <c r="D299" t="s">
        <v>13</v>
      </c>
      <c r="F299">
        <v>2</v>
      </c>
      <c r="G299">
        <v>0</v>
      </c>
      <c r="H299" t="s">
        <v>123</v>
      </c>
      <c r="I299">
        <v>21.679200000000002</v>
      </c>
      <c r="J299" t="s">
        <v>15</v>
      </c>
      <c r="K299" t="s">
        <v>21</v>
      </c>
      <c r="O299">
        <f>IF(I299&lt;&gt;"",I299,訓練データ!$O$19)</f>
        <v>21.679200000000002</v>
      </c>
      <c r="P299">
        <f>IF(E299&lt;&gt;"",E299,訓練データ!$O$18)</f>
        <v>28</v>
      </c>
      <c r="R299">
        <f t="shared" si="17"/>
        <v>0</v>
      </c>
      <c r="S299">
        <f t="shared" si="18"/>
        <v>0</v>
      </c>
      <c r="T299">
        <f t="shared" si="18"/>
        <v>0</v>
      </c>
      <c r="U299">
        <f t="shared" si="18"/>
        <v>1</v>
      </c>
      <c r="V299">
        <f t="shared" si="19"/>
        <v>0</v>
      </c>
      <c r="W299">
        <f t="shared" si="19"/>
        <v>0</v>
      </c>
      <c r="X299">
        <f t="shared" si="19"/>
        <v>1</v>
      </c>
    </row>
    <row r="300" spans="1:24" x14ac:dyDescent="0.4">
      <c r="A300">
        <v>1190</v>
      </c>
      <c r="B300">
        <v>1</v>
      </c>
      <c r="C300" t="s">
        <v>2250</v>
      </c>
      <c r="D300" t="s">
        <v>13</v>
      </c>
      <c r="E300">
        <v>30</v>
      </c>
      <c r="F300">
        <v>0</v>
      </c>
      <c r="G300">
        <v>0</v>
      </c>
      <c r="H300" t="s">
        <v>2251</v>
      </c>
      <c r="I300">
        <v>45.5</v>
      </c>
      <c r="J300" t="s">
        <v>15</v>
      </c>
      <c r="K300" t="s">
        <v>16</v>
      </c>
      <c r="O300">
        <f>IF(I300&lt;&gt;"",I300,訓練データ!$O$19)</f>
        <v>45.5</v>
      </c>
      <c r="P300">
        <f>IF(E300&lt;&gt;"",E300,訓練データ!$O$18)</f>
        <v>30</v>
      </c>
      <c r="R300">
        <f t="shared" si="17"/>
        <v>0</v>
      </c>
      <c r="S300">
        <f t="shared" si="18"/>
        <v>1</v>
      </c>
      <c r="T300">
        <f t="shared" si="18"/>
        <v>0</v>
      </c>
      <c r="U300">
        <f t="shared" si="18"/>
        <v>0</v>
      </c>
      <c r="V300">
        <f t="shared" si="19"/>
        <v>1</v>
      </c>
      <c r="W300">
        <f t="shared" si="19"/>
        <v>0</v>
      </c>
      <c r="X300">
        <f t="shared" si="19"/>
        <v>0</v>
      </c>
    </row>
    <row r="301" spans="1:24" x14ac:dyDescent="0.4">
      <c r="A301">
        <v>1191</v>
      </c>
      <c r="B301">
        <v>3</v>
      </c>
      <c r="C301" t="s">
        <v>2252</v>
      </c>
      <c r="D301" t="s">
        <v>13</v>
      </c>
      <c r="E301">
        <v>29</v>
      </c>
      <c r="F301">
        <v>0</v>
      </c>
      <c r="G301">
        <v>0</v>
      </c>
      <c r="H301" t="s">
        <v>2253</v>
      </c>
      <c r="I301">
        <v>7.8541999999999996</v>
      </c>
      <c r="J301" t="s">
        <v>15</v>
      </c>
      <c r="K301" t="s">
        <v>16</v>
      </c>
      <c r="O301">
        <f>IF(I301&lt;&gt;"",I301,訓練データ!$O$19)</f>
        <v>7.8541999999999996</v>
      </c>
      <c r="P301">
        <f>IF(E301&lt;&gt;"",E301,訓練データ!$O$18)</f>
        <v>29</v>
      </c>
      <c r="R301">
        <f t="shared" si="17"/>
        <v>0</v>
      </c>
      <c r="S301">
        <f t="shared" si="18"/>
        <v>0</v>
      </c>
      <c r="T301">
        <f t="shared" si="18"/>
        <v>0</v>
      </c>
      <c r="U301">
        <f t="shared" si="18"/>
        <v>1</v>
      </c>
      <c r="V301">
        <f t="shared" si="19"/>
        <v>1</v>
      </c>
      <c r="W301">
        <f t="shared" si="19"/>
        <v>0</v>
      </c>
      <c r="X301">
        <f t="shared" si="19"/>
        <v>0</v>
      </c>
    </row>
    <row r="302" spans="1:24" x14ac:dyDescent="0.4">
      <c r="A302">
        <v>1192</v>
      </c>
      <c r="B302">
        <v>3</v>
      </c>
      <c r="C302" t="s">
        <v>2254</v>
      </c>
      <c r="D302" t="s">
        <v>13</v>
      </c>
      <c r="E302">
        <v>32</v>
      </c>
      <c r="F302">
        <v>0</v>
      </c>
      <c r="G302">
        <v>0</v>
      </c>
      <c r="H302" t="s">
        <v>2255</v>
      </c>
      <c r="I302">
        <v>7.7750000000000004</v>
      </c>
      <c r="J302" t="s">
        <v>15</v>
      </c>
      <c r="K302" t="s">
        <v>16</v>
      </c>
      <c r="O302">
        <f>IF(I302&lt;&gt;"",I302,訓練データ!$O$19)</f>
        <v>7.7750000000000004</v>
      </c>
      <c r="P302">
        <f>IF(E302&lt;&gt;"",E302,訓練データ!$O$18)</f>
        <v>32</v>
      </c>
      <c r="R302">
        <f t="shared" si="17"/>
        <v>0</v>
      </c>
      <c r="S302">
        <f t="shared" si="18"/>
        <v>0</v>
      </c>
      <c r="T302">
        <f t="shared" si="18"/>
        <v>0</v>
      </c>
      <c r="U302">
        <f t="shared" si="18"/>
        <v>1</v>
      </c>
      <c r="V302">
        <f t="shared" si="19"/>
        <v>1</v>
      </c>
      <c r="W302">
        <f t="shared" si="19"/>
        <v>0</v>
      </c>
      <c r="X302">
        <f t="shared" si="19"/>
        <v>0</v>
      </c>
    </row>
    <row r="303" spans="1:24" x14ac:dyDescent="0.4">
      <c r="A303">
        <v>1193</v>
      </c>
      <c r="B303">
        <v>2</v>
      </c>
      <c r="C303" t="s">
        <v>2256</v>
      </c>
      <c r="D303" t="s">
        <v>13</v>
      </c>
      <c r="F303">
        <v>0</v>
      </c>
      <c r="G303">
        <v>0</v>
      </c>
      <c r="H303" t="s">
        <v>2257</v>
      </c>
      <c r="I303">
        <v>15.0458</v>
      </c>
      <c r="J303" t="s">
        <v>625</v>
      </c>
      <c r="K303" t="s">
        <v>21</v>
      </c>
      <c r="O303">
        <f>IF(I303&lt;&gt;"",I303,訓練データ!$O$19)</f>
        <v>15.0458</v>
      </c>
      <c r="P303">
        <f>IF(E303&lt;&gt;"",E303,訓練データ!$O$18)</f>
        <v>28</v>
      </c>
      <c r="R303">
        <f t="shared" si="17"/>
        <v>0</v>
      </c>
      <c r="S303">
        <f t="shared" si="18"/>
        <v>0</v>
      </c>
      <c r="T303">
        <f t="shared" si="18"/>
        <v>1</v>
      </c>
      <c r="U303">
        <f t="shared" si="18"/>
        <v>0</v>
      </c>
      <c r="V303">
        <f t="shared" si="19"/>
        <v>0</v>
      </c>
      <c r="W303">
        <f t="shared" si="19"/>
        <v>0</v>
      </c>
      <c r="X303">
        <f t="shared" si="19"/>
        <v>1</v>
      </c>
    </row>
    <row r="304" spans="1:24" x14ac:dyDescent="0.4">
      <c r="A304">
        <v>1194</v>
      </c>
      <c r="B304">
        <v>2</v>
      </c>
      <c r="C304" t="s">
        <v>2258</v>
      </c>
      <c r="D304" t="s">
        <v>13</v>
      </c>
      <c r="E304">
        <v>43</v>
      </c>
      <c r="F304">
        <v>0</v>
      </c>
      <c r="G304">
        <v>1</v>
      </c>
      <c r="H304" t="s">
        <v>2066</v>
      </c>
      <c r="I304">
        <v>21</v>
      </c>
      <c r="J304" t="s">
        <v>15</v>
      </c>
      <c r="K304" t="s">
        <v>16</v>
      </c>
      <c r="O304">
        <f>IF(I304&lt;&gt;"",I304,訓練データ!$O$19)</f>
        <v>21</v>
      </c>
      <c r="P304">
        <f>IF(E304&lt;&gt;"",E304,訓練データ!$O$18)</f>
        <v>43</v>
      </c>
      <c r="R304">
        <f t="shared" si="17"/>
        <v>0</v>
      </c>
      <c r="S304">
        <f t="shared" si="18"/>
        <v>0</v>
      </c>
      <c r="T304">
        <f t="shared" si="18"/>
        <v>1</v>
      </c>
      <c r="U304">
        <f t="shared" si="18"/>
        <v>0</v>
      </c>
      <c r="V304">
        <f t="shared" si="19"/>
        <v>1</v>
      </c>
      <c r="W304">
        <f t="shared" si="19"/>
        <v>0</v>
      </c>
      <c r="X304">
        <f t="shared" si="19"/>
        <v>0</v>
      </c>
    </row>
    <row r="305" spans="1:24" x14ac:dyDescent="0.4">
      <c r="A305">
        <v>1195</v>
      </c>
      <c r="B305">
        <v>3</v>
      </c>
      <c r="C305" t="s">
        <v>2259</v>
      </c>
      <c r="D305" t="s">
        <v>13</v>
      </c>
      <c r="E305">
        <v>24</v>
      </c>
      <c r="F305">
        <v>0</v>
      </c>
      <c r="G305">
        <v>0</v>
      </c>
      <c r="H305" t="s">
        <v>2260</v>
      </c>
      <c r="I305">
        <v>8.6624999999999996</v>
      </c>
      <c r="J305" t="s">
        <v>15</v>
      </c>
      <c r="K305" t="s">
        <v>16</v>
      </c>
      <c r="O305">
        <f>IF(I305&lt;&gt;"",I305,訓練データ!$O$19)</f>
        <v>8.6624999999999996</v>
      </c>
      <c r="P305">
        <f>IF(E305&lt;&gt;"",E305,訓練データ!$O$18)</f>
        <v>24</v>
      </c>
      <c r="R305">
        <f t="shared" si="17"/>
        <v>0</v>
      </c>
      <c r="S305">
        <f t="shared" si="18"/>
        <v>0</v>
      </c>
      <c r="T305">
        <f t="shared" si="18"/>
        <v>0</v>
      </c>
      <c r="U305">
        <f t="shared" si="18"/>
        <v>1</v>
      </c>
      <c r="V305">
        <f t="shared" si="19"/>
        <v>1</v>
      </c>
      <c r="W305">
        <f t="shared" si="19"/>
        <v>0</v>
      </c>
      <c r="X305">
        <f t="shared" si="19"/>
        <v>0</v>
      </c>
    </row>
    <row r="306" spans="1:24" x14ac:dyDescent="0.4">
      <c r="A306">
        <v>1196</v>
      </c>
      <c r="B306">
        <v>3</v>
      </c>
      <c r="C306" t="s">
        <v>2261</v>
      </c>
      <c r="D306" t="s">
        <v>18</v>
      </c>
      <c r="F306">
        <v>0</v>
      </c>
      <c r="G306">
        <v>0</v>
      </c>
      <c r="H306" t="s">
        <v>2262</v>
      </c>
      <c r="I306">
        <v>7.75</v>
      </c>
      <c r="J306" t="s">
        <v>15</v>
      </c>
      <c r="K306" t="s">
        <v>31</v>
      </c>
      <c r="O306">
        <f>IF(I306&lt;&gt;"",I306,訓練データ!$O$19)</f>
        <v>7.75</v>
      </c>
      <c r="P306">
        <f>IF(E306&lt;&gt;"",E306,訓練データ!$O$18)</f>
        <v>28</v>
      </c>
      <c r="R306">
        <f t="shared" si="17"/>
        <v>1</v>
      </c>
      <c r="S306">
        <f t="shared" si="18"/>
        <v>0</v>
      </c>
      <c r="T306">
        <f t="shared" si="18"/>
        <v>0</v>
      </c>
      <c r="U306">
        <f t="shared" si="18"/>
        <v>1</v>
      </c>
      <c r="V306">
        <f t="shared" si="19"/>
        <v>0</v>
      </c>
      <c r="W306">
        <f t="shared" si="19"/>
        <v>1</v>
      </c>
      <c r="X306">
        <f t="shared" si="19"/>
        <v>0</v>
      </c>
    </row>
    <row r="307" spans="1:24" x14ac:dyDescent="0.4">
      <c r="A307">
        <v>1197</v>
      </c>
      <c r="B307">
        <v>1</v>
      </c>
      <c r="C307" t="s">
        <v>2263</v>
      </c>
      <c r="D307" t="s">
        <v>18</v>
      </c>
      <c r="E307">
        <v>64</v>
      </c>
      <c r="F307">
        <v>1</v>
      </c>
      <c r="G307">
        <v>1</v>
      </c>
      <c r="H307" t="s">
        <v>2264</v>
      </c>
      <c r="I307">
        <v>26.55</v>
      </c>
      <c r="J307" t="s">
        <v>2265</v>
      </c>
      <c r="K307" t="s">
        <v>16</v>
      </c>
      <c r="O307">
        <f>IF(I307&lt;&gt;"",I307,訓練データ!$O$19)</f>
        <v>26.55</v>
      </c>
      <c r="P307">
        <f>IF(E307&lt;&gt;"",E307,訓練データ!$O$18)</f>
        <v>64</v>
      </c>
      <c r="R307">
        <f t="shared" si="17"/>
        <v>1</v>
      </c>
      <c r="S307">
        <f t="shared" si="18"/>
        <v>1</v>
      </c>
      <c r="T307">
        <f t="shared" si="18"/>
        <v>0</v>
      </c>
      <c r="U307">
        <f t="shared" si="18"/>
        <v>0</v>
      </c>
      <c r="V307">
        <f t="shared" si="19"/>
        <v>1</v>
      </c>
      <c r="W307">
        <f t="shared" si="19"/>
        <v>0</v>
      </c>
      <c r="X307">
        <f t="shared" si="19"/>
        <v>0</v>
      </c>
    </row>
    <row r="308" spans="1:24" x14ac:dyDescent="0.4">
      <c r="A308">
        <v>1198</v>
      </c>
      <c r="B308">
        <v>1</v>
      </c>
      <c r="C308" t="s">
        <v>2266</v>
      </c>
      <c r="D308" t="s">
        <v>13</v>
      </c>
      <c r="E308">
        <v>30</v>
      </c>
      <c r="F308">
        <v>1</v>
      </c>
      <c r="G308">
        <v>2</v>
      </c>
      <c r="H308" t="s">
        <v>635</v>
      </c>
      <c r="I308">
        <v>151.55000000000001</v>
      </c>
      <c r="J308" t="s">
        <v>636</v>
      </c>
      <c r="K308" t="s">
        <v>16</v>
      </c>
      <c r="O308">
        <f>IF(I308&lt;&gt;"",I308,訓練データ!$O$19)</f>
        <v>151.55000000000001</v>
      </c>
      <c r="P308">
        <f>IF(E308&lt;&gt;"",E308,訓練データ!$O$18)</f>
        <v>30</v>
      </c>
      <c r="R308">
        <f t="shared" si="17"/>
        <v>0</v>
      </c>
      <c r="S308">
        <f t="shared" si="18"/>
        <v>1</v>
      </c>
      <c r="T308">
        <f t="shared" si="18"/>
        <v>0</v>
      </c>
      <c r="U308">
        <f t="shared" si="18"/>
        <v>0</v>
      </c>
      <c r="V308">
        <f t="shared" si="19"/>
        <v>1</v>
      </c>
      <c r="W308">
        <f t="shared" si="19"/>
        <v>0</v>
      </c>
      <c r="X308">
        <f t="shared" si="19"/>
        <v>0</v>
      </c>
    </row>
    <row r="309" spans="1:24" x14ac:dyDescent="0.4">
      <c r="A309">
        <v>1199</v>
      </c>
      <c r="B309">
        <v>3</v>
      </c>
      <c r="C309" t="s">
        <v>2267</v>
      </c>
      <c r="D309" t="s">
        <v>13</v>
      </c>
      <c r="E309">
        <v>0.83</v>
      </c>
      <c r="F309">
        <v>0</v>
      </c>
      <c r="G309">
        <v>1</v>
      </c>
      <c r="H309" t="s">
        <v>1672</v>
      </c>
      <c r="I309">
        <v>9.35</v>
      </c>
      <c r="J309" t="s">
        <v>15</v>
      </c>
      <c r="K309" t="s">
        <v>16</v>
      </c>
      <c r="O309">
        <f>IF(I309&lt;&gt;"",I309,訓練データ!$O$19)</f>
        <v>9.35</v>
      </c>
      <c r="P309">
        <f>IF(E309&lt;&gt;"",E309,訓練データ!$O$18)</f>
        <v>0.83</v>
      </c>
      <c r="R309">
        <f t="shared" si="17"/>
        <v>0</v>
      </c>
      <c r="S309">
        <f t="shared" si="18"/>
        <v>0</v>
      </c>
      <c r="T309">
        <f t="shared" si="18"/>
        <v>0</v>
      </c>
      <c r="U309">
        <f t="shared" si="18"/>
        <v>1</v>
      </c>
      <c r="V309">
        <f t="shared" si="19"/>
        <v>1</v>
      </c>
      <c r="W309">
        <f t="shared" si="19"/>
        <v>0</v>
      </c>
      <c r="X309">
        <f t="shared" si="19"/>
        <v>0</v>
      </c>
    </row>
    <row r="310" spans="1:24" x14ac:dyDescent="0.4">
      <c r="A310">
        <v>1200</v>
      </c>
      <c r="B310">
        <v>1</v>
      </c>
      <c r="C310" t="s">
        <v>2268</v>
      </c>
      <c r="D310" t="s">
        <v>13</v>
      </c>
      <c r="E310">
        <v>55</v>
      </c>
      <c r="F310">
        <v>1</v>
      </c>
      <c r="G310">
        <v>1</v>
      </c>
      <c r="H310" t="s">
        <v>1064</v>
      </c>
      <c r="I310">
        <v>93.5</v>
      </c>
      <c r="J310" t="s">
        <v>1615</v>
      </c>
      <c r="K310" t="s">
        <v>16</v>
      </c>
      <c r="O310">
        <f>IF(I310&lt;&gt;"",I310,訓練データ!$O$19)</f>
        <v>93.5</v>
      </c>
      <c r="P310">
        <f>IF(E310&lt;&gt;"",E310,訓練データ!$O$18)</f>
        <v>55</v>
      </c>
      <c r="R310">
        <f t="shared" si="17"/>
        <v>0</v>
      </c>
      <c r="S310">
        <f t="shared" si="18"/>
        <v>1</v>
      </c>
      <c r="T310">
        <f t="shared" si="18"/>
        <v>0</v>
      </c>
      <c r="U310">
        <f t="shared" si="18"/>
        <v>0</v>
      </c>
      <c r="V310">
        <f t="shared" si="19"/>
        <v>1</v>
      </c>
      <c r="W310">
        <f t="shared" si="19"/>
        <v>0</v>
      </c>
      <c r="X310">
        <f t="shared" si="19"/>
        <v>0</v>
      </c>
    </row>
    <row r="311" spans="1:24" x14ac:dyDescent="0.4">
      <c r="A311">
        <v>1201</v>
      </c>
      <c r="B311">
        <v>3</v>
      </c>
      <c r="C311" t="s">
        <v>2269</v>
      </c>
      <c r="D311" t="s">
        <v>18</v>
      </c>
      <c r="E311">
        <v>45</v>
      </c>
      <c r="F311">
        <v>1</v>
      </c>
      <c r="G311">
        <v>0</v>
      </c>
      <c r="H311" t="s">
        <v>1681</v>
      </c>
      <c r="I311">
        <v>14.1083</v>
      </c>
      <c r="J311" t="s">
        <v>15</v>
      </c>
      <c r="K311" t="s">
        <v>16</v>
      </c>
      <c r="O311">
        <f>IF(I311&lt;&gt;"",I311,訓練データ!$O$19)</f>
        <v>14.1083</v>
      </c>
      <c r="P311">
        <f>IF(E311&lt;&gt;"",E311,訓練データ!$O$18)</f>
        <v>45</v>
      </c>
      <c r="R311">
        <f t="shared" si="17"/>
        <v>1</v>
      </c>
      <c r="S311">
        <f t="shared" si="18"/>
        <v>0</v>
      </c>
      <c r="T311">
        <f t="shared" si="18"/>
        <v>0</v>
      </c>
      <c r="U311">
        <f t="shared" si="18"/>
        <v>1</v>
      </c>
      <c r="V311">
        <f t="shared" si="19"/>
        <v>1</v>
      </c>
      <c r="W311">
        <f t="shared" si="19"/>
        <v>0</v>
      </c>
      <c r="X311">
        <f t="shared" si="19"/>
        <v>0</v>
      </c>
    </row>
    <row r="312" spans="1:24" x14ac:dyDescent="0.4">
      <c r="A312">
        <v>1202</v>
      </c>
      <c r="B312">
        <v>3</v>
      </c>
      <c r="C312" t="s">
        <v>2270</v>
      </c>
      <c r="D312" t="s">
        <v>13</v>
      </c>
      <c r="E312">
        <v>18</v>
      </c>
      <c r="F312">
        <v>0</v>
      </c>
      <c r="G312">
        <v>0</v>
      </c>
      <c r="H312" t="s">
        <v>2271</v>
      </c>
      <c r="I312">
        <v>8.6624999999999996</v>
      </c>
      <c r="J312" t="s">
        <v>15</v>
      </c>
      <c r="K312" t="s">
        <v>16</v>
      </c>
      <c r="O312">
        <f>IF(I312&lt;&gt;"",I312,訓練データ!$O$19)</f>
        <v>8.6624999999999996</v>
      </c>
      <c r="P312">
        <f>IF(E312&lt;&gt;"",E312,訓練データ!$O$18)</f>
        <v>18</v>
      </c>
      <c r="R312">
        <f t="shared" si="17"/>
        <v>0</v>
      </c>
      <c r="S312">
        <f t="shared" si="18"/>
        <v>0</v>
      </c>
      <c r="T312">
        <f t="shared" si="18"/>
        <v>0</v>
      </c>
      <c r="U312">
        <f t="shared" si="18"/>
        <v>1</v>
      </c>
      <c r="V312">
        <f t="shared" si="19"/>
        <v>1</v>
      </c>
      <c r="W312">
        <f t="shared" si="19"/>
        <v>0</v>
      </c>
      <c r="X312">
        <f t="shared" si="19"/>
        <v>0</v>
      </c>
    </row>
    <row r="313" spans="1:24" x14ac:dyDescent="0.4">
      <c r="A313">
        <v>1203</v>
      </c>
      <c r="B313">
        <v>3</v>
      </c>
      <c r="C313" t="s">
        <v>2272</v>
      </c>
      <c r="D313" t="s">
        <v>13</v>
      </c>
      <c r="E313">
        <v>22</v>
      </c>
      <c r="F313">
        <v>0</v>
      </c>
      <c r="G313">
        <v>0</v>
      </c>
      <c r="H313" t="s">
        <v>2273</v>
      </c>
      <c r="I313">
        <v>7.2249999999999996</v>
      </c>
      <c r="J313" t="s">
        <v>15</v>
      </c>
      <c r="K313" t="s">
        <v>21</v>
      </c>
      <c r="O313">
        <f>IF(I313&lt;&gt;"",I313,訓練データ!$O$19)</f>
        <v>7.2249999999999996</v>
      </c>
      <c r="P313">
        <f>IF(E313&lt;&gt;"",E313,訓練データ!$O$18)</f>
        <v>22</v>
      </c>
      <c r="R313">
        <f t="shared" si="17"/>
        <v>0</v>
      </c>
      <c r="S313">
        <f t="shared" si="18"/>
        <v>0</v>
      </c>
      <c r="T313">
        <f t="shared" si="18"/>
        <v>0</v>
      </c>
      <c r="U313">
        <f t="shared" si="18"/>
        <v>1</v>
      </c>
      <c r="V313">
        <f t="shared" si="19"/>
        <v>0</v>
      </c>
      <c r="W313">
        <f t="shared" si="19"/>
        <v>0</v>
      </c>
      <c r="X313">
        <f t="shared" si="19"/>
        <v>1</v>
      </c>
    </row>
    <row r="314" spans="1:24" x14ac:dyDescent="0.4">
      <c r="A314">
        <v>1204</v>
      </c>
      <c r="B314">
        <v>3</v>
      </c>
      <c r="C314" t="s">
        <v>2274</v>
      </c>
      <c r="D314" t="s">
        <v>13</v>
      </c>
      <c r="F314">
        <v>0</v>
      </c>
      <c r="G314">
        <v>0</v>
      </c>
      <c r="H314" t="s">
        <v>2275</v>
      </c>
      <c r="I314">
        <v>7.5750000000000002</v>
      </c>
      <c r="J314" t="s">
        <v>15</v>
      </c>
      <c r="K314" t="s">
        <v>16</v>
      </c>
      <c r="O314">
        <f>IF(I314&lt;&gt;"",I314,訓練データ!$O$19)</f>
        <v>7.5750000000000002</v>
      </c>
      <c r="P314">
        <f>IF(E314&lt;&gt;"",E314,訓練データ!$O$18)</f>
        <v>28</v>
      </c>
      <c r="R314">
        <f t="shared" si="17"/>
        <v>0</v>
      </c>
      <c r="S314">
        <f t="shared" si="18"/>
        <v>0</v>
      </c>
      <c r="T314">
        <f t="shared" si="18"/>
        <v>0</v>
      </c>
      <c r="U314">
        <f t="shared" si="18"/>
        <v>1</v>
      </c>
      <c r="V314">
        <f t="shared" si="19"/>
        <v>1</v>
      </c>
      <c r="W314">
        <f t="shared" si="19"/>
        <v>0</v>
      </c>
      <c r="X314">
        <f t="shared" si="19"/>
        <v>0</v>
      </c>
    </row>
    <row r="315" spans="1:24" x14ac:dyDescent="0.4">
      <c r="A315">
        <v>1205</v>
      </c>
      <c r="B315">
        <v>3</v>
      </c>
      <c r="C315" t="s">
        <v>2276</v>
      </c>
      <c r="D315" t="s">
        <v>18</v>
      </c>
      <c r="E315">
        <v>37</v>
      </c>
      <c r="F315">
        <v>0</v>
      </c>
      <c r="G315">
        <v>0</v>
      </c>
      <c r="H315" t="s">
        <v>2277</v>
      </c>
      <c r="I315">
        <v>7.75</v>
      </c>
      <c r="J315" t="s">
        <v>15</v>
      </c>
      <c r="K315" t="s">
        <v>31</v>
      </c>
      <c r="O315">
        <f>IF(I315&lt;&gt;"",I315,訓練データ!$O$19)</f>
        <v>7.75</v>
      </c>
      <c r="P315">
        <f>IF(E315&lt;&gt;"",E315,訓練データ!$O$18)</f>
        <v>37</v>
      </c>
      <c r="R315">
        <f t="shared" si="17"/>
        <v>1</v>
      </c>
      <c r="S315">
        <f t="shared" si="18"/>
        <v>0</v>
      </c>
      <c r="T315">
        <f t="shared" si="18"/>
        <v>0</v>
      </c>
      <c r="U315">
        <f t="shared" si="18"/>
        <v>1</v>
      </c>
      <c r="V315">
        <f t="shared" si="19"/>
        <v>0</v>
      </c>
      <c r="W315">
        <f t="shared" si="19"/>
        <v>1</v>
      </c>
      <c r="X315">
        <f t="shared" si="19"/>
        <v>0</v>
      </c>
    </row>
    <row r="316" spans="1:24" x14ac:dyDescent="0.4">
      <c r="A316">
        <v>1206</v>
      </c>
      <c r="B316">
        <v>1</v>
      </c>
      <c r="C316" t="s">
        <v>2278</v>
      </c>
      <c r="D316" t="s">
        <v>18</v>
      </c>
      <c r="E316">
        <v>55</v>
      </c>
      <c r="F316">
        <v>0</v>
      </c>
      <c r="G316">
        <v>0</v>
      </c>
      <c r="H316" t="s">
        <v>575</v>
      </c>
      <c r="I316">
        <v>135.63329999999999</v>
      </c>
      <c r="J316" t="s">
        <v>693</v>
      </c>
      <c r="K316" t="s">
        <v>21</v>
      </c>
      <c r="O316">
        <f>IF(I316&lt;&gt;"",I316,訓練データ!$O$19)</f>
        <v>135.63329999999999</v>
      </c>
      <c r="P316">
        <f>IF(E316&lt;&gt;"",E316,訓練データ!$O$18)</f>
        <v>55</v>
      </c>
      <c r="R316">
        <f t="shared" si="17"/>
        <v>1</v>
      </c>
      <c r="S316">
        <f t="shared" si="18"/>
        <v>1</v>
      </c>
      <c r="T316">
        <f t="shared" si="18"/>
        <v>0</v>
      </c>
      <c r="U316">
        <f t="shared" si="18"/>
        <v>0</v>
      </c>
      <c r="V316">
        <f t="shared" si="19"/>
        <v>0</v>
      </c>
      <c r="W316">
        <f t="shared" si="19"/>
        <v>0</v>
      </c>
      <c r="X316">
        <f t="shared" si="19"/>
        <v>1</v>
      </c>
    </row>
    <row r="317" spans="1:24" x14ac:dyDescent="0.4">
      <c r="A317">
        <v>1207</v>
      </c>
      <c r="B317">
        <v>3</v>
      </c>
      <c r="C317" t="s">
        <v>2279</v>
      </c>
      <c r="D317" t="s">
        <v>18</v>
      </c>
      <c r="E317">
        <v>17</v>
      </c>
      <c r="F317">
        <v>0</v>
      </c>
      <c r="G317">
        <v>0</v>
      </c>
      <c r="H317" t="s">
        <v>2280</v>
      </c>
      <c r="I317">
        <v>7.7332999999999998</v>
      </c>
      <c r="J317" t="s">
        <v>15</v>
      </c>
      <c r="K317" t="s">
        <v>31</v>
      </c>
      <c r="O317">
        <f>IF(I317&lt;&gt;"",I317,訓練データ!$O$19)</f>
        <v>7.7332999999999998</v>
      </c>
      <c r="P317">
        <f>IF(E317&lt;&gt;"",E317,訓練データ!$O$18)</f>
        <v>17</v>
      </c>
      <c r="R317">
        <f t="shared" si="17"/>
        <v>1</v>
      </c>
      <c r="S317">
        <f t="shared" si="18"/>
        <v>0</v>
      </c>
      <c r="T317">
        <f t="shared" si="18"/>
        <v>0</v>
      </c>
      <c r="U317">
        <f t="shared" si="18"/>
        <v>1</v>
      </c>
      <c r="V317">
        <f t="shared" si="19"/>
        <v>0</v>
      </c>
      <c r="W317">
        <f t="shared" si="19"/>
        <v>1</v>
      </c>
      <c r="X317">
        <f t="shared" si="19"/>
        <v>0</v>
      </c>
    </row>
    <row r="318" spans="1:24" x14ac:dyDescent="0.4">
      <c r="A318">
        <v>1208</v>
      </c>
      <c r="B318">
        <v>1</v>
      </c>
      <c r="C318" t="s">
        <v>2281</v>
      </c>
      <c r="D318" t="s">
        <v>13</v>
      </c>
      <c r="E318">
        <v>57</v>
      </c>
      <c r="F318">
        <v>1</v>
      </c>
      <c r="G318">
        <v>0</v>
      </c>
      <c r="H318" t="s">
        <v>88</v>
      </c>
      <c r="I318">
        <v>146.52080000000001</v>
      </c>
      <c r="J318" t="s">
        <v>89</v>
      </c>
      <c r="K318" t="s">
        <v>21</v>
      </c>
      <c r="O318">
        <f>IF(I318&lt;&gt;"",I318,訓練データ!$O$19)</f>
        <v>146.52080000000001</v>
      </c>
      <c r="P318">
        <f>IF(E318&lt;&gt;"",E318,訓練データ!$O$18)</f>
        <v>57</v>
      </c>
      <c r="R318">
        <f t="shared" si="17"/>
        <v>0</v>
      </c>
      <c r="S318">
        <f t="shared" si="18"/>
        <v>1</v>
      </c>
      <c r="T318">
        <f t="shared" si="18"/>
        <v>0</v>
      </c>
      <c r="U318">
        <f t="shared" si="18"/>
        <v>0</v>
      </c>
      <c r="V318">
        <f t="shared" si="19"/>
        <v>0</v>
      </c>
      <c r="W318">
        <f t="shared" si="19"/>
        <v>0</v>
      </c>
      <c r="X318">
        <f t="shared" si="19"/>
        <v>1</v>
      </c>
    </row>
    <row r="319" spans="1:24" x14ac:dyDescent="0.4">
      <c r="A319">
        <v>1209</v>
      </c>
      <c r="B319">
        <v>2</v>
      </c>
      <c r="C319" t="s">
        <v>2282</v>
      </c>
      <c r="D319" t="s">
        <v>13</v>
      </c>
      <c r="E319">
        <v>19</v>
      </c>
      <c r="F319">
        <v>0</v>
      </c>
      <c r="G319">
        <v>0</v>
      </c>
      <c r="H319" t="s">
        <v>2283</v>
      </c>
      <c r="I319">
        <v>10.5</v>
      </c>
      <c r="J319" t="s">
        <v>15</v>
      </c>
      <c r="K319" t="s">
        <v>16</v>
      </c>
      <c r="O319">
        <f>IF(I319&lt;&gt;"",I319,訓練データ!$O$19)</f>
        <v>10.5</v>
      </c>
      <c r="P319">
        <f>IF(E319&lt;&gt;"",E319,訓練データ!$O$18)</f>
        <v>19</v>
      </c>
      <c r="R319">
        <f t="shared" si="17"/>
        <v>0</v>
      </c>
      <c r="S319">
        <f t="shared" si="18"/>
        <v>0</v>
      </c>
      <c r="T319">
        <f t="shared" si="18"/>
        <v>1</v>
      </c>
      <c r="U319">
        <f t="shared" si="18"/>
        <v>0</v>
      </c>
      <c r="V319">
        <f t="shared" si="19"/>
        <v>1</v>
      </c>
      <c r="W319">
        <f t="shared" si="19"/>
        <v>0</v>
      </c>
      <c r="X319">
        <f t="shared" si="19"/>
        <v>0</v>
      </c>
    </row>
    <row r="320" spans="1:24" x14ac:dyDescent="0.4">
      <c r="A320">
        <v>1210</v>
      </c>
      <c r="B320">
        <v>3</v>
      </c>
      <c r="C320" t="s">
        <v>2284</v>
      </c>
      <c r="D320" t="s">
        <v>13</v>
      </c>
      <c r="E320">
        <v>27</v>
      </c>
      <c r="F320">
        <v>0</v>
      </c>
      <c r="G320">
        <v>0</v>
      </c>
      <c r="H320" t="s">
        <v>2285</v>
      </c>
      <c r="I320">
        <v>7.8541999999999996</v>
      </c>
      <c r="J320" t="s">
        <v>15</v>
      </c>
      <c r="K320" t="s">
        <v>16</v>
      </c>
      <c r="O320">
        <f>IF(I320&lt;&gt;"",I320,訓練データ!$O$19)</f>
        <v>7.8541999999999996</v>
      </c>
      <c r="P320">
        <f>IF(E320&lt;&gt;"",E320,訓練データ!$O$18)</f>
        <v>27</v>
      </c>
      <c r="R320">
        <f t="shared" si="17"/>
        <v>0</v>
      </c>
      <c r="S320">
        <f t="shared" si="18"/>
        <v>0</v>
      </c>
      <c r="T320">
        <f t="shared" si="18"/>
        <v>0</v>
      </c>
      <c r="U320">
        <f t="shared" si="18"/>
        <v>1</v>
      </c>
      <c r="V320">
        <f t="shared" si="19"/>
        <v>1</v>
      </c>
      <c r="W320">
        <f t="shared" si="19"/>
        <v>0</v>
      </c>
      <c r="X320">
        <f t="shared" si="19"/>
        <v>0</v>
      </c>
    </row>
    <row r="321" spans="1:24" x14ac:dyDescent="0.4">
      <c r="A321">
        <v>1211</v>
      </c>
      <c r="B321">
        <v>2</v>
      </c>
      <c r="C321" t="s">
        <v>2286</v>
      </c>
      <c r="D321" t="s">
        <v>13</v>
      </c>
      <c r="E321">
        <v>22</v>
      </c>
      <c r="F321">
        <v>2</v>
      </c>
      <c r="G321">
        <v>0</v>
      </c>
      <c r="H321" t="s">
        <v>1794</v>
      </c>
      <c r="I321">
        <v>31.5</v>
      </c>
      <c r="J321" t="s">
        <v>15</v>
      </c>
      <c r="K321" t="s">
        <v>16</v>
      </c>
      <c r="O321">
        <f>IF(I321&lt;&gt;"",I321,訓練データ!$O$19)</f>
        <v>31.5</v>
      </c>
      <c r="P321">
        <f>IF(E321&lt;&gt;"",E321,訓練データ!$O$18)</f>
        <v>22</v>
      </c>
      <c r="R321">
        <f t="shared" si="17"/>
        <v>0</v>
      </c>
      <c r="S321">
        <f t="shared" si="18"/>
        <v>0</v>
      </c>
      <c r="T321">
        <f t="shared" si="18"/>
        <v>1</v>
      </c>
      <c r="U321">
        <f t="shared" si="18"/>
        <v>0</v>
      </c>
      <c r="V321">
        <f t="shared" si="19"/>
        <v>1</v>
      </c>
      <c r="W321">
        <f t="shared" si="19"/>
        <v>0</v>
      </c>
      <c r="X321">
        <f t="shared" si="19"/>
        <v>0</v>
      </c>
    </row>
    <row r="322" spans="1:24" x14ac:dyDescent="0.4">
      <c r="A322">
        <v>1212</v>
      </c>
      <c r="B322">
        <v>3</v>
      </c>
      <c r="C322" t="s">
        <v>2287</v>
      </c>
      <c r="D322" t="s">
        <v>13</v>
      </c>
      <c r="E322">
        <v>26</v>
      </c>
      <c r="F322">
        <v>0</v>
      </c>
      <c r="G322">
        <v>0</v>
      </c>
      <c r="H322" t="s">
        <v>2288</v>
      </c>
      <c r="I322">
        <v>7.7750000000000004</v>
      </c>
      <c r="J322" t="s">
        <v>15</v>
      </c>
      <c r="K322" t="s">
        <v>16</v>
      </c>
      <c r="O322">
        <f>IF(I322&lt;&gt;"",I322,訓練データ!$O$19)</f>
        <v>7.7750000000000004</v>
      </c>
      <c r="P322">
        <f>IF(E322&lt;&gt;"",E322,訓練データ!$O$18)</f>
        <v>26</v>
      </c>
      <c r="R322">
        <f t="shared" ref="R322:R385" si="20">IF(D322="male",0,1)</f>
        <v>0</v>
      </c>
      <c r="S322">
        <f t="shared" si="18"/>
        <v>0</v>
      </c>
      <c r="T322">
        <f t="shared" si="18"/>
        <v>0</v>
      </c>
      <c r="U322">
        <f t="shared" si="18"/>
        <v>1</v>
      </c>
      <c r="V322">
        <f t="shared" si="19"/>
        <v>1</v>
      </c>
      <c r="W322">
        <f t="shared" si="19"/>
        <v>0</v>
      </c>
      <c r="X322">
        <f t="shared" si="19"/>
        <v>0</v>
      </c>
    </row>
    <row r="323" spans="1:24" x14ac:dyDescent="0.4">
      <c r="A323">
        <v>1213</v>
      </c>
      <c r="B323">
        <v>3</v>
      </c>
      <c r="C323" t="s">
        <v>2289</v>
      </c>
      <c r="D323" t="s">
        <v>13</v>
      </c>
      <c r="E323">
        <v>25</v>
      </c>
      <c r="F323">
        <v>0</v>
      </c>
      <c r="G323">
        <v>0</v>
      </c>
      <c r="H323" t="s">
        <v>2290</v>
      </c>
      <c r="I323">
        <v>7.2291999999999996</v>
      </c>
      <c r="J323" t="s">
        <v>2291</v>
      </c>
      <c r="K323" t="s">
        <v>21</v>
      </c>
      <c r="O323">
        <f>IF(I323&lt;&gt;"",I323,訓練データ!$O$19)</f>
        <v>7.2291999999999996</v>
      </c>
      <c r="P323">
        <f>IF(E323&lt;&gt;"",E323,訓練データ!$O$18)</f>
        <v>25</v>
      </c>
      <c r="R323">
        <f t="shared" si="20"/>
        <v>0</v>
      </c>
      <c r="S323">
        <f t="shared" ref="S323:U386" si="21">IF("Pclass_"&amp;$B323=S$1,1,0)</f>
        <v>0</v>
      </c>
      <c r="T323">
        <f t="shared" si="21"/>
        <v>0</v>
      </c>
      <c r="U323">
        <f t="shared" si="21"/>
        <v>1</v>
      </c>
      <c r="V323">
        <f t="shared" ref="V323:X386" si="22">IF($K323=RIGHT(V$1,1),1,0)</f>
        <v>0</v>
      </c>
      <c r="W323">
        <f t="shared" si="22"/>
        <v>0</v>
      </c>
      <c r="X323">
        <f t="shared" si="22"/>
        <v>1</v>
      </c>
    </row>
    <row r="324" spans="1:24" x14ac:dyDescent="0.4">
      <c r="A324">
        <v>1214</v>
      </c>
      <c r="B324">
        <v>2</v>
      </c>
      <c r="C324" t="s">
        <v>2292</v>
      </c>
      <c r="D324" t="s">
        <v>13</v>
      </c>
      <c r="E324">
        <v>26</v>
      </c>
      <c r="F324">
        <v>0</v>
      </c>
      <c r="G324">
        <v>0</v>
      </c>
      <c r="H324" t="s">
        <v>2293</v>
      </c>
      <c r="I324">
        <v>13</v>
      </c>
      <c r="J324" t="s">
        <v>331</v>
      </c>
      <c r="K324" t="s">
        <v>16</v>
      </c>
      <c r="O324">
        <f>IF(I324&lt;&gt;"",I324,訓練データ!$O$19)</f>
        <v>13</v>
      </c>
      <c r="P324">
        <f>IF(E324&lt;&gt;"",E324,訓練データ!$O$18)</f>
        <v>26</v>
      </c>
      <c r="R324">
        <f t="shared" si="20"/>
        <v>0</v>
      </c>
      <c r="S324">
        <f t="shared" si="21"/>
        <v>0</v>
      </c>
      <c r="T324">
        <f t="shared" si="21"/>
        <v>1</v>
      </c>
      <c r="U324">
        <f t="shared" si="21"/>
        <v>0</v>
      </c>
      <c r="V324">
        <f t="shared" si="22"/>
        <v>1</v>
      </c>
      <c r="W324">
        <f t="shared" si="22"/>
        <v>0</v>
      </c>
      <c r="X324">
        <f t="shared" si="22"/>
        <v>0</v>
      </c>
    </row>
    <row r="325" spans="1:24" x14ac:dyDescent="0.4">
      <c r="A325">
        <v>1215</v>
      </c>
      <c r="B325">
        <v>1</v>
      </c>
      <c r="C325" t="s">
        <v>2294</v>
      </c>
      <c r="D325" t="s">
        <v>13</v>
      </c>
      <c r="E325">
        <v>33</v>
      </c>
      <c r="F325">
        <v>0</v>
      </c>
      <c r="G325">
        <v>0</v>
      </c>
      <c r="H325" t="s">
        <v>2295</v>
      </c>
      <c r="I325">
        <v>26.55</v>
      </c>
      <c r="J325" t="s">
        <v>15</v>
      </c>
      <c r="K325" t="s">
        <v>16</v>
      </c>
      <c r="O325">
        <f>IF(I325&lt;&gt;"",I325,訓練データ!$O$19)</f>
        <v>26.55</v>
      </c>
      <c r="P325">
        <f>IF(E325&lt;&gt;"",E325,訓練データ!$O$18)</f>
        <v>33</v>
      </c>
      <c r="R325">
        <f t="shared" si="20"/>
        <v>0</v>
      </c>
      <c r="S325">
        <f t="shared" si="21"/>
        <v>1</v>
      </c>
      <c r="T325">
        <f t="shared" si="21"/>
        <v>0</v>
      </c>
      <c r="U325">
        <f t="shared" si="21"/>
        <v>0</v>
      </c>
      <c r="V325">
        <f t="shared" si="22"/>
        <v>1</v>
      </c>
      <c r="W325">
        <f t="shared" si="22"/>
        <v>0</v>
      </c>
      <c r="X325">
        <f t="shared" si="22"/>
        <v>0</v>
      </c>
    </row>
    <row r="326" spans="1:24" x14ac:dyDescent="0.4">
      <c r="A326">
        <v>1216</v>
      </c>
      <c r="B326">
        <v>1</v>
      </c>
      <c r="C326" t="s">
        <v>2296</v>
      </c>
      <c r="D326" t="s">
        <v>18</v>
      </c>
      <c r="E326">
        <v>39</v>
      </c>
      <c r="F326">
        <v>0</v>
      </c>
      <c r="G326">
        <v>0</v>
      </c>
      <c r="H326" t="s">
        <v>1374</v>
      </c>
      <c r="I326">
        <v>211.33750000000001</v>
      </c>
      <c r="J326" t="s">
        <v>15</v>
      </c>
      <c r="K326" t="s">
        <v>16</v>
      </c>
      <c r="O326">
        <f>IF(I326&lt;&gt;"",I326,訓練データ!$O$19)</f>
        <v>211.33750000000001</v>
      </c>
      <c r="P326">
        <f>IF(E326&lt;&gt;"",E326,訓練データ!$O$18)</f>
        <v>39</v>
      </c>
      <c r="R326">
        <f t="shared" si="20"/>
        <v>1</v>
      </c>
      <c r="S326">
        <f t="shared" si="21"/>
        <v>1</v>
      </c>
      <c r="T326">
        <f t="shared" si="21"/>
        <v>0</v>
      </c>
      <c r="U326">
        <f t="shared" si="21"/>
        <v>0</v>
      </c>
      <c r="V326">
        <f t="shared" si="22"/>
        <v>1</v>
      </c>
      <c r="W326">
        <f t="shared" si="22"/>
        <v>0</v>
      </c>
      <c r="X326">
        <f t="shared" si="22"/>
        <v>0</v>
      </c>
    </row>
    <row r="327" spans="1:24" x14ac:dyDescent="0.4">
      <c r="A327">
        <v>1217</v>
      </c>
      <c r="B327">
        <v>3</v>
      </c>
      <c r="C327" t="s">
        <v>2297</v>
      </c>
      <c r="D327" t="s">
        <v>13</v>
      </c>
      <c r="E327">
        <v>23</v>
      </c>
      <c r="F327">
        <v>0</v>
      </c>
      <c r="G327">
        <v>0</v>
      </c>
      <c r="H327" t="s">
        <v>2298</v>
      </c>
      <c r="I327">
        <v>7.05</v>
      </c>
      <c r="J327" t="s">
        <v>15</v>
      </c>
      <c r="K327" t="s">
        <v>16</v>
      </c>
      <c r="O327">
        <f>IF(I327&lt;&gt;"",I327,訓練データ!$O$19)</f>
        <v>7.05</v>
      </c>
      <c r="P327">
        <f>IF(E327&lt;&gt;"",E327,訓練データ!$O$18)</f>
        <v>23</v>
      </c>
      <c r="R327">
        <f t="shared" si="20"/>
        <v>0</v>
      </c>
      <c r="S327">
        <f t="shared" si="21"/>
        <v>0</v>
      </c>
      <c r="T327">
        <f t="shared" si="21"/>
        <v>0</v>
      </c>
      <c r="U327">
        <f t="shared" si="21"/>
        <v>1</v>
      </c>
      <c r="V327">
        <f t="shared" si="22"/>
        <v>1</v>
      </c>
      <c r="W327">
        <f t="shared" si="22"/>
        <v>0</v>
      </c>
      <c r="X327">
        <f t="shared" si="22"/>
        <v>0</v>
      </c>
    </row>
    <row r="328" spans="1:24" x14ac:dyDescent="0.4">
      <c r="A328">
        <v>1218</v>
      </c>
      <c r="B328">
        <v>2</v>
      </c>
      <c r="C328" t="s">
        <v>2299</v>
      </c>
      <c r="D328" t="s">
        <v>18</v>
      </c>
      <c r="E328">
        <v>12</v>
      </c>
      <c r="F328">
        <v>2</v>
      </c>
      <c r="G328">
        <v>1</v>
      </c>
      <c r="H328" t="s">
        <v>399</v>
      </c>
      <c r="I328">
        <v>39</v>
      </c>
      <c r="J328" t="s">
        <v>400</v>
      </c>
      <c r="K328" t="s">
        <v>16</v>
      </c>
      <c r="O328">
        <f>IF(I328&lt;&gt;"",I328,訓練データ!$O$19)</f>
        <v>39</v>
      </c>
      <c r="P328">
        <f>IF(E328&lt;&gt;"",E328,訓練データ!$O$18)</f>
        <v>12</v>
      </c>
      <c r="R328">
        <f t="shared" si="20"/>
        <v>1</v>
      </c>
      <c r="S328">
        <f t="shared" si="21"/>
        <v>0</v>
      </c>
      <c r="T328">
        <f t="shared" si="21"/>
        <v>1</v>
      </c>
      <c r="U328">
        <f t="shared" si="21"/>
        <v>0</v>
      </c>
      <c r="V328">
        <f t="shared" si="22"/>
        <v>1</v>
      </c>
      <c r="W328">
        <f t="shared" si="22"/>
        <v>0</v>
      </c>
      <c r="X328">
        <f t="shared" si="22"/>
        <v>0</v>
      </c>
    </row>
    <row r="329" spans="1:24" x14ac:dyDescent="0.4">
      <c r="A329">
        <v>1219</v>
      </c>
      <c r="B329">
        <v>1</v>
      </c>
      <c r="C329" t="s">
        <v>2300</v>
      </c>
      <c r="D329" t="s">
        <v>13</v>
      </c>
      <c r="E329">
        <v>46</v>
      </c>
      <c r="F329">
        <v>0</v>
      </c>
      <c r="G329">
        <v>0</v>
      </c>
      <c r="H329" t="s">
        <v>547</v>
      </c>
      <c r="I329">
        <v>79.2</v>
      </c>
      <c r="J329" t="s">
        <v>15</v>
      </c>
      <c r="K329" t="s">
        <v>21</v>
      </c>
      <c r="O329">
        <f>IF(I329&lt;&gt;"",I329,訓練データ!$O$19)</f>
        <v>79.2</v>
      </c>
      <c r="P329">
        <f>IF(E329&lt;&gt;"",E329,訓練データ!$O$18)</f>
        <v>46</v>
      </c>
      <c r="R329">
        <f t="shared" si="20"/>
        <v>0</v>
      </c>
      <c r="S329">
        <f t="shared" si="21"/>
        <v>1</v>
      </c>
      <c r="T329">
        <f t="shared" si="21"/>
        <v>0</v>
      </c>
      <c r="U329">
        <f t="shared" si="21"/>
        <v>0</v>
      </c>
      <c r="V329">
        <f t="shared" si="22"/>
        <v>0</v>
      </c>
      <c r="W329">
        <f t="shared" si="22"/>
        <v>0</v>
      </c>
      <c r="X329">
        <f t="shared" si="22"/>
        <v>1</v>
      </c>
    </row>
    <row r="330" spans="1:24" x14ac:dyDescent="0.4">
      <c r="A330">
        <v>1220</v>
      </c>
      <c r="B330">
        <v>2</v>
      </c>
      <c r="C330" t="s">
        <v>2301</v>
      </c>
      <c r="D330" t="s">
        <v>13</v>
      </c>
      <c r="E330">
        <v>29</v>
      </c>
      <c r="F330">
        <v>1</v>
      </c>
      <c r="G330">
        <v>0</v>
      </c>
      <c r="H330" t="s">
        <v>881</v>
      </c>
      <c r="I330">
        <v>26</v>
      </c>
      <c r="J330" t="s">
        <v>15</v>
      </c>
      <c r="K330" t="s">
        <v>16</v>
      </c>
      <c r="O330">
        <f>IF(I330&lt;&gt;"",I330,訓練データ!$O$19)</f>
        <v>26</v>
      </c>
      <c r="P330">
        <f>IF(E330&lt;&gt;"",E330,訓練データ!$O$18)</f>
        <v>29</v>
      </c>
      <c r="R330">
        <f t="shared" si="20"/>
        <v>0</v>
      </c>
      <c r="S330">
        <f t="shared" si="21"/>
        <v>0</v>
      </c>
      <c r="T330">
        <f t="shared" si="21"/>
        <v>1</v>
      </c>
      <c r="U330">
        <f t="shared" si="21"/>
        <v>0</v>
      </c>
      <c r="V330">
        <f t="shared" si="22"/>
        <v>1</v>
      </c>
      <c r="W330">
        <f t="shared" si="22"/>
        <v>0</v>
      </c>
      <c r="X330">
        <f t="shared" si="22"/>
        <v>0</v>
      </c>
    </row>
    <row r="331" spans="1:24" x14ac:dyDescent="0.4">
      <c r="A331">
        <v>1221</v>
      </c>
      <c r="B331">
        <v>2</v>
      </c>
      <c r="C331" t="s">
        <v>2302</v>
      </c>
      <c r="D331" t="s">
        <v>13</v>
      </c>
      <c r="E331">
        <v>21</v>
      </c>
      <c r="F331">
        <v>0</v>
      </c>
      <c r="G331">
        <v>0</v>
      </c>
      <c r="H331" t="s">
        <v>2303</v>
      </c>
      <c r="I331">
        <v>13</v>
      </c>
      <c r="J331" t="s">
        <v>15</v>
      </c>
      <c r="K331" t="s">
        <v>16</v>
      </c>
      <c r="O331">
        <f>IF(I331&lt;&gt;"",I331,訓練データ!$O$19)</f>
        <v>13</v>
      </c>
      <c r="P331">
        <f>IF(E331&lt;&gt;"",E331,訓練データ!$O$18)</f>
        <v>21</v>
      </c>
      <c r="R331">
        <f t="shared" si="20"/>
        <v>0</v>
      </c>
      <c r="S331">
        <f t="shared" si="21"/>
        <v>0</v>
      </c>
      <c r="T331">
        <f t="shared" si="21"/>
        <v>1</v>
      </c>
      <c r="U331">
        <f t="shared" si="21"/>
        <v>0</v>
      </c>
      <c r="V331">
        <f t="shared" si="22"/>
        <v>1</v>
      </c>
      <c r="W331">
        <f t="shared" si="22"/>
        <v>0</v>
      </c>
      <c r="X331">
        <f t="shared" si="22"/>
        <v>0</v>
      </c>
    </row>
    <row r="332" spans="1:24" x14ac:dyDescent="0.4">
      <c r="A332">
        <v>1222</v>
      </c>
      <c r="B332">
        <v>2</v>
      </c>
      <c r="C332" t="s">
        <v>2304</v>
      </c>
      <c r="D332" t="s">
        <v>18</v>
      </c>
      <c r="E332">
        <v>48</v>
      </c>
      <c r="F332">
        <v>0</v>
      </c>
      <c r="G332">
        <v>2</v>
      </c>
      <c r="H332" t="s">
        <v>325</v>
      </c>
      <c r="I332">
        <v>36.75</v>
      </c>
      <c r="J332" t="s">
        <v>15</v>
      </c>
      <c r="K332" t="s">
        <v>16</v>
      </c>
      <c r="O332">
        <f>IF(I332&lt;&gt;"",I332,訓練データ!$O$19)</f>
        <v>36.75</v>
      </c>
      <c r="P332">
        <f>IF(E332&lt;&gt;"",E332,訓練データ!$O$18)</f>
        <v>48</v>
      </c>
      <c r="R332">
        <f t="shared" si="20"/>
        <v>1</v>
      </c>
      <c r="S332">
        <f t="shared" si="21"/>
        <v>0</v>
      </c>
      <c r="T332">
        <f t="shared" si="21"/>
        <v>1</v>
      </c>
      <c r="U332">
        <f t="shared" si="21"/>
        <v>0</v>
      </c>
      <c r="V332">
        <f t="shared" si="22"/>
        <v>1</v>
      </c>
      <c r="W332">
        <f t="shared" si="22"/>
        <v>0</v>
      </c>
      <c r="X332">
        <f t="shared" si="22"/>
        <v>0</v>
      </c>
    </row>
    <row r="333" spans="1:24" x14ac:dyDescent="0.4">
      <c r="A333">
        <v>1223</v>
      </c>
      <c r="B333">
        <v>1</v>
      </c>
      <c r="C333" t="s">
        <v>2305</v>
      </c>
      <c r="D333" t="s">
        <v>13</v>
      </c>
      <c r="E333">
        <v>39</v>
      </c>
      <c r="F333">
        <v>0</v>
      </c>
      <c r="G333">
        <v>0</v>
      </c>
      <c r="H333" t="s">
        <v>2306</v>
      </c>
      <c r="I333">
        <v>29.7</v>
      </c>
      <c r="J333" t="s">
        <v>2307</v>
      </c>
      <c r="K333" t="s">
        <v>21</v>
      </c>
      <c r="O333">
        <f>IF(I333&lt;&gt;"",I333,訓練データ!$O$19)</f>
        <v>29.7</v>
      </c>
      <c r="P333">
        <f>IF(E333&lt;&gt;"",E333,訓練データ!$O$18)</f>
        <v>39</v>
      </c>
      <c r="R333">
        <f t="shared" si="20"/>
        <v>0</v>
      </c>
      <c r="S333">
        <f t="shared" si="21"/>
        <v>1</v>
      </c>
      <c r="T333">
        <f t="shared" si="21"/>
        <v>0</v>
      </c>
      <c r="U333">
        <f t="shared" si="21"/>
        <v>0</v>
      </c>
      <c r="V333">
        <f t="shared" si="22"/>
        <v>0</v>
      </c>
      <c r="W333">
        <f t="shared" si="22"/>
        <v>0</v>
      </c>
      <c r="X333">
        <f t="shared" si="22"/>
        <v>1</v>
      </c>
    </row>
    <row r="334" spans="1:24" x14ac:dyDescent="0.4">
      <c r="A334">
        <v>1224</v>
      </c>
      <c r="B334">
        <v>3</v>
      </c>
      <c r="C334" t="s">
        <v>2308</v>
      </c>
      <c r="D334" t="s">
        <v>13</v>
      </c>
      <c r="F334">
        <v>0</v>
      </c>
      <c r="G334">
        <v>0</v>
      </c>
      <c r="H334" t="s">
        <v>2309</v>
      </c>
      <c r="I334">
        <v>7.2249999999999996</v>
      </c>
      <c r="J334" t="s">
        <v>15</v>
      </c>
      <c r="K334" t="s">
        <v>21</v>
      </c>
      <c r="O334">
        <f>IF(I334&lt;&gt;"",I334,訓練データ!$O$19)</f>
        <v>7.2249999999999996</v>
      </c>
      <c r="P334">
        <f>IF(E334&lt;&gt;"",E334,訓練データ!$O$18)</f>
        <v>28</v>
      </c>
      <c r="R334">
        <f t="shared" si="20"/>
        <v>0</v>
      </c>
      <c r="S334">
        <f t="shared" si="21"/>
        <v>0</v>
      </c>
      <c r="T334">
        <f t="shared" si="21"/>
        <v>0</v>
      </c>
      <c r="U334">
        <f t="shared" si="21"/>
        <v>1</v>
      </c>
      <c r="V334">
        <f t="shared" si="22"/>
        <v>0</v>
      </c>
      <c r="W334">
        <f t="shared" si="22"/>
        <v>0</v>
      </c>
      <c r="X334">
        <f t="shared" si="22"/>
        <v>1</v>
      </c>
    </row>
    <row r="335" spans="1:24" x14ac:dyDescent="0.4">
      <c r="A335">
        <v>1225</v>
      </c>
      <c r="B335">
        <v>3</v>
      </c>
      <c r="C335" t="s">
        <v>2310</v>
      </c>
      <c r="D335" t="s">
        <v>18</v>
      </c>
      <c r="E335">
        <v>19</v>
      </c>
      <c r="F335">
        <v>1</v>
      </c>
      <c r="G335">
        <v>1</v>
      </c>
      <c r="H335" t="s">
        <v>800</v>
      </c>
      <c r="I335">
        <v>15.7417</v>
      </c>
      <c r="J335" t="s">
        <v>15</v>
      </c>
      <c r="K335" t="s">
        <v>21</v>
      </c>
      <c r="O335">
        <f>IF(I335&lt;&gt;"",I335,訓練データ!$O$19)</f>
        <v>15.7417</v>
      </c>
      <c r="P335">
        <f>IF(E335&lt;&gt;"",E335,訓練データ!$O$18)</f>
        <v>19</v>
      </c>
      <c r="R335">
        <f t="shared" si="20"/>
        <v>1</v>
      </c>
      <c r="S335">
        <f t="shared" si="21"/>
        <v>0</v>
      </c>
      <c r="T335">
        <f t="shared" si="21"/>
        <v>0</v>
      </c>
      <c r="U335">
        <f t="shared" si="21"/>
        <v>1</v>
      </c>
      <c r="V335">
        <f t="shared" si="22"/>
        <v>0</v>
      </c>
      <c r="W335">
        <f t="shared" si="22"/>
        <v>0</v>
      </c>
      <c r="X335">
        <f t="shared" si="22"/>
        <v>1</v>
      </c>
    </row>
    <row r="336" spans="1:24" x14ac:dyDescent="0.4">
      <c r="A336">
        <v>1226</v>
      </c>
      <c r="B336">
        <v>3</v>
      </c>
      <c r="C336" t="s">
        <v>2311</v>
      </c>
      <c r="D336" t="s">
        <v>13</v>
      </c>
      <c r="E336">
        <v>27</v>
      </c>
      <c r="F336">
        <v>0</v>
      </c>
      <c r="G336">
        <v>0</v>
      </c>
      <c r="H336" t="s">
        <v>2312</v>
      </c>
      <c r="I336">
        <v>7.8958000000000004</v>
      </c>
      <c r="J336" t="s">
        <v>15</v>
      </c>
      <c r="K336" t="s">
        <v>16</v>
      </c>
      <c r="O336">
        <f>IF(I336&lt;&gt;"",I336,訓練データ!$O$19)</f>
        <v>7.8958000000000004</v>
      </c>
      <c r="P336">
        <f>IF(E336&lt;&gt;"",E336,訓練データ!$O$18)</f>
        <v>27</v>
      </c>
      <c r="R336">
        <f t="shared" si="20"/>
        <v>0</v>
      </c>
      <c r="S336">
        <f t="shared" si="21"/>
        <v>0</v>
      </c>
      <c r="T336">
        <f t="shared" si="21"/>
        <v>0</v>
      </c>
      <c r="U336">
        <f t="shared" si="21"/>
        <v>1</v>
      </c>
      <c r="V336">
        <f t="shared" si="22"/>
        <v>1</v>
      </c>
      <c r="W336">
        <f t="shared" si="22"/>
        <v>0</v>
      </c>
      <c r="X336">
        <f t="shared" si="22"/>
        <v>0</v>
      </c>
    </row>
    <row r="337" spans="1:24" x14ac:dyDescent="0.4">
      <c r="A337">
        <v>1227</v>
      </c>
      <c r="B337">
        <v>1</v>
      </c>
      <c r="C337" t="s">
        <v>2313</v>
      </c>
      <c r="D337" t="s">
        <v>13</v>
      </c>
      <c r="E337">
        <v>30</v>
      </c>
      <c r="F337">
        <v>0</v>
      </c>
      <c r="G337">
        <v>0</v>
      </c>
      <c r="H337" t="s">
        <v>2314</v>
      </c>
      <c r="I337">
        <v>26</v>
      </c>
      <c r="J337" t="s">
        <v>639</v>
      </c>
      <c r="K337" t="s">
        <v>16</v>
      </c>
      <c r="O337">
        <f>IF(I337&lt;&gt;"",I337,訓練データ!$O$19)</f>
        <v>26</v>
      </c>
      <c r="P337">
        <f>IF(E337&lt;&gt;"",E337,訓練データ!$O$18)</f>
        <v>30</v>
      </c>
      <c r="R337">
        <f t="shared" si="20"/>
        <v>0</v>
      </c>
      <c r="S337">
        <f t="shared" si="21"/>
        <v>1</v>
      </c>
      <c r="T337">
        <f t="shared" si="21"/>
        <v>0</v>
      </c>
      <c r="U337">
        <f t="shared" si="21"/>
        <v>0</v>
      </c>
      <c r="V337">
        <f t="shared" si="22"/>
        <v>1</v>
      </c>
      <c r="W337">
        <f t="shared" si="22"/>
        <v>0</v>
      </c>
      <c r="X337">
        <f t="shared" si="22"/>
        <v>0</v>
      </c>
    </row>
    <row r="338" spans="1:24" x14ac:dyDescent="0.4">
      <c r="A338">
        <v>1228</v>
      </c>
      <c r="B338">
        <v>2</v>
      </c>
      <c r="C338" t="s">
        <v>2315</v>
      </c>
      <c r="D338" t="s">
        <v>13</v>
      </c>
      <c r="E338">
        <v>32</v>
      </c>
      <c r="F338">
        <v>0</v>
      </c>
      <c r="G338">
        <v>0</v>
      </c>
      <c r="H338" t="s">
        <v>2316</v>
      </c>
      <c r="I338">
        <v>13</v>
      </c>
      <c r="J338" t="s">
        <v>15</v>
      </c>
      <c r="K338" t="s">
        <v>16</v>
      </c>
      <c r="O338">
        <f>IF(I338&lt;&gt;"",I338,訓練データ!$O$19)</f>
        <v>13</v>
      </c>
      <c r="P338">
        <f>IF(E338&lt;&gt;"",E338,訓練データ!$O$18)</f>
        <v>32</v>
      </c>
      <c r="R338">
        <f t="shared" si="20"/>
        <v>0</v>
      </c>
      <c r="S338">
        <f t="shared" si="21"/>
        <v>0</v>
      </c>
      <c r="T338">
        <f t="shared" si="21"/>
        <v>1</v>
      </c>
      <c r="U338">
        <f t="shared" si="21"/>
        <v>0</v>
      </c>
      <c r="V338">
        <f t="shared" si="22"/>
        <v>1</v>
      </c>
      <c r="W338">
        <f t="shared" si="22"/>
        <v>0</v>
      </c>
      <c r="X338">
        <f t="shared" si="22"/>
        <v>0</v>
      </c>
    </row>
    <row r="339" spans="1:24" x14ac:dyDescent="0.4">
      <c r="A339">
        <v>1229</v>
      </c>
      <c r="B339">
        <v>3</v>
      </c>
      <c r="C339" t="s">
        <v>2317</v>
      </c>
      <c r="D339" t="s">
        <v>13</v>
      </c>
      <c r="E339">
        <v>39</v>
      </c>
      <c r="F339">
        <v>0</v>
      </c>
      <c r="G339">
        <v>2</v>
      </c>
      <c r="H339" t="s">
        <v>2318</v>
      </c>
      <c r="I339">
        <v>7.2291999999999996</v>
      </c>
      <c r="J339" t="s">
        <v>15</v>
      </c>
      <c r="K339" t="s">
        <v>21</v>
      </c>
      <c r="O339">
        <f>IF(I339&lt;&gt;"",I339,訓練データ!$O$19)</f>
        <v>7.2291999999999996</v>
      </c>
      <c r="P339">
        <f>IF(E339&lt;&gt;"",E339,訓練データ!$O$18)</f>
        <v>39</v>
      </c>
      <c r="R339">
        <f t="shared" si="20"/>
        <v>0</v>
      </c>
      <c r="S339">
        <f t="shared" si="21"/>
        <v>0</v>
      </c>
      <c r="T339">
        <f t="shared" si="21"/>
        <v>0</v>
      </c>
      <c r="U339">
        <f t="shared" si="21"/>
        <v>1</v>
      </c>
      <c r="V339">
        <f t="shared" si="22"/>
        <v>0</v>
      </c>
      <c r="W339">
        <f t="shared" si="22"/>
        <v>0</v>
      </c>
      <c r="X339">
        <f t="shared" si="22"/>
        <v>1</v>
      </c>
    </row>
    <row r="340" spans="1:24" x14ac:dyDescent="0.4">
      <c r="A340">
        <v>1230</v>
      </c>
      <c r="B340">
        <v>2</v>
      </c>
      <c r="C340" t="s">
        <v>2319</v>
      </c>
      <c r="D340" t="s">
        <v>13</v>
      </c>
      <c r="E340">
        <v>25</v>
      </c>
      <c r="F340">
        <v>0</v>
      </c>
      <c r="G340">
        <v>0</v>
      </c>
      <c r="H340" t="s">
        <v>1794</v>
      </c>
      <c r="I340">
        <v>31.5</v>
      </c>
      <c r="J340" t="s">
        <v>15</v>
      </c>
      <c r="K340" t="s">
        <v>16</v>
      </c>
      <c r="O340">
        <f>IF(I340&lt;&gt;"",I340,訓練データ!$O$19)</f>
        <v>31.5</v>
      </c>
      <c r="P340">
        <f>IF(E340&lt;&gt;"",E340,訓練データ!$O$18)</f>
        <v>25</v>
      </c>
      <c r="R340">
        <f t="shared" si="20"/>
        <v>0</v>
      </c>
      <c r="S340">
        <f t="shared" si="21"/>
        <v>0</v>
      </c>
      <c r="T340">
        <f t="shared" si="21"/>
        <v>1</v>
      </c>
      <c r="U340">
        <f t="shared" si="21"/>
        <v>0</v>
      </c>
      <c r="V340">
        <f t="shared" si="22"/>
        <v>1</v>
      </c>
      <c r="W340">
        <f t="shared" si="22"/>
        <v>0</v>
      </c>
      <c r="X340">
        <f t="shared" si="22"/>
        <v>0</v>
      </c>
    </row>
    <row r="341" spans="1:24" x14ac:dyDescent="0.4">
      <c r="A341">
        <v>1231</v>
      </c>
      <c r="B341">
        <v>3</v>
      </c>
      <c r="C341" t="s">
        <v>2320</v>
      </c>
      <c r="D341" t="s">
        <v>13</v>
      </c>
      <c r="F341">
        <v>0</v>
      </c>
      <c r="G341">
        <v>0</v>
      </c>
      <c r="H341" t="s">
        <v>2321</v>
      </c>
      <c r="I341">
        <v>7.2291999999999996</v>
      </c>
      <c r="J341" t="s">
        <v>15</v>
      </c>
      <c r="K341" t="s">
        <v>21</v>
      </c>
      <c r="O341">
        <f>IF(I341&lt;&gt;"",I341,訓練データ!$O$19)</f>
        <v>7.2291999999999996</v>
      </c>
      <c r="P341">
        <f>IF(E341&lt;&gt;"",E341,訓練データ!$O$18)</f>
        <v>28</v>
      </c>
      <c r="R341">
        <f t="shared" si="20"/>
        <v>0</v>
      </c>
      <c r="S341">
        <f t="shared" si="21"/>
        <v>0</v>
      </c>
      <c r="T341">
        <f t="shared" si="21"/>
        <v>0</v>
      </c>
      <c r="U341">
        <f t="shared" si="21"/>
        <v>1</v>
      </c>
      <c r="V341">
        <f t="shared" si="22"/>
        <v>0</v>
      </c>
      <c r="W341">
        <f t="shared" si="22"/>
        <v>0</v>
      </c>
      <c r="X341">
        <f t="shared" si="22"/>
        <v>1</v>
      </c>
    </row>
    <row r="342" spans="1:24" x14ac:dyDescent="0.4">
      <c r="A342">
        <v>1232</v>
      </c>
      <c r="B342">
        <v>2</v>
      </c>
      <c r="C342" t="s">
        <v>2322</v>
      </c>
      <c r="D342" t="s">
        <v>13</v>
      </c>
      <c r="E342">
        <v>18</v>
      </c>
      <c r="F342">
        <v>0</v>
      </c>
      <c r="G342">
        <v>0</v>
      </c>
      <c r="H342" t="s">
        <v>2323</v>
      </c>
      <c r="I342">
        <v>10.5</v>
      </c>
      <c r="J342" t="s">
        <v>15</v>
      </c>
      <c r="K342" t="s">
        <v>16</v>
      </c>
      <c r="O342">
        <f>IF(I342&lt;&gt;"",I342,訓練データ!$O$19)</f>
        <v>10.5</v>
      </c>
      <c r="P342">
        <f>IF(E342&lt;&gt;"",E342,訓練データ!$O$18)</f>
        <v>18</v>
      </c>
      <c r="R342">
        <f t="shared" si="20"/>
        <v>0</v>
      </c>
      <c r="S342">
        <f t="shared" si="21"/>
        <v>0</v>
      </c>
      <c r="T342">
        <f t="shared" si="21"/>
        <v>1</v>
      </c>
      <c r="U342">
        <f t="shared" si="21"/>
        <v>0</v>
      </c>
      <c r="V342">
        <f t="shared" si="22"/>
        <v>1</v>
      </c>
      <c r="W342">
        <f t="shared" si="22"/>
        <v>0</v>
      </c>
      <c r="X342">
        <f t="shared" si="22"/>
        <v>0</v>
      </c>
    </row>
    <row r="343" spans="1:24" x14ac:dyDescent="0.4">
      <c r="A343">
        <v>1233</v>
      </c>
      <c r="B343">
        <v>3</v>
      </c>
      <c r="C343" t="s">
        <v>2324</v>
      </c>
      <c r="D343" t="s">
        <v>13</v>
      </c>
      <c r="E343">
        <v>32</v>
      </c>
      <c r="F343">
        <v>0</v>
      </c>
      <c r="G343">
        <v>0</v>
      </c>
      <c r="H343" t="s">
        <v>2325</v>
      </c>
      <c r="I343">
        <v>7.5792000000000002</v>
      </c>
      <c r="J343" t="s">
        <v>15</v>
      </c>
      <c r="K343" t="s">
        <v>16</v>
      </c>
      <c r="O343">
        <f>IF(I343&lt;&gt;"",I343,訓練データ!$O$19)</f>
        <v>7.5792000000000002</v>
      </c>
      <c r="P343">
        <f>IF(E343&lt;&gt;"",E343,訓練データ!$O$18)</f>
        <v>32</v>
      </c>
      <c r="R343">
        <f t="shared" si="20"/>
        <v>0</v>
      </c>
      <c r="S343">
        <f t="shared" si="21"/>
        <v>0</v>
      </c>
      <c r="T343">
        <f t="shared" si="21"/>
        <v>0</v>
      </c>
      <c r="U343">
        <f t="shared" si="21"/>
        <v>1</v>
      </c>
      <c r="V343">
        <f t="shared" si="22"/>
        <v>1</v>
      </c>
      <c r="W343">
        <f t="shared" si="22"/>
        <v>0</v>
      </c>
      <c r="X343">
        <f t="shared" si="22"/>
        <v>0</v>
      </c>
    </row>
    <row r="344" spans="1:24" x14ac:dyDescent="0.4">
      <c r="A344">
        <v>1234</v>
      </c>
      <c r="B344">
        <v>3</v>
      </c>
      <c r="C344" t="s">
        <v>2326</v>
      </c>
      <c r="D344" t="s">
        <v>13</v>
      </c>
      <c r="F344">
        <v>1</v>
      </c>
      <c r="G344">
        <v>9</v>
      </c>
      <c r="H344" t="s">
        <v>354</v>
      </c>
      <c r="I344">
        <v>69.55</v>
      </c>
      <c r="J344" t="s">
        <v>15</v>
      </c>
      <c r="K344" t="s">
        <v>16</v>
      </c>
      <c r="O344">
        <f>IF(I344&lt;&gt;"",I344,訓練データ!$O$19)</f>
        <v>69.55</v>
      </c>
      <c r="P344">
        <f>IF(E344&lt;&gt;"",E344,訓練データ!$O$18)</f>
        <v>28</v>
      </c>
      <c r="R344">
        <f t="shared" si="20"/>
        <v>0</v>
      </c>
      <c r="S344">
        <f t="shared" si="21"/>
        <v>0</v>
      </c>
      <c r="T344">
        <f t="shared" si="21"/>
        <v>0</v>
      </c>
      <c r="U344">
        <f t="shared" si="21"/>
        <v>1</v>
      </c>
      <c r="V344">
        <f t="shared" si="22"/>
        <v>1</v>
      </c>
      <c r="W344">
        <f t="shared" si="22"/>
        <v>0</v>
      </c>
      <c r="X344">
        <f t="shared" si="22"/>
        <v>0</v>
      </c>
    </row>
    <row r="345" spans="1:24" x14ac:dyDescent="0.4">
      <c r="A345">
        <v>1235</v>
      </c>
      <c r="B345">
        <v>1</v>
      </c>
      <c r="C345" t="s">
        <v>2327</v>
      </c>
      <c r="D345" t="s">
        <v>18</v>
      </c>
      <c r="E345">
        <v>58</v>
      </c>
      <c r="F345">
        <v>0</v>
      </c>
      <c r="G345">
        <v>1</v>
      </c>
      <c r="H345" t="s">
        <v>552</v>
      </c>
      <c r="I345">
        <v>512.32920000000001</v>
      </c>
      <c r="J345" t="s">
        <v>1358</v>
      </c>
      <c r="K345" t="s">
        <v>21</v>
      </c>
      <c r="O345">
        <f>IF(I345&lt;&gt;"",I345,訓練データ!$O$19)</f>
        <v>512.32920000000001</v>
      </c>
      <c r="P345">
        <f>IF(E345&lt;&gt;"",E345,訓練データ!$O$18)</f>
        <v>58</v>
      </c>
      <c r="R345">
        <f t="shared" si="20"/>
        <v>1</v>
      </c>
      <c r="S345">
        <f t="shared" si="21"/>
        <v>1</v>
      </c>
      <c r="T345">
        <f t="shared" si="21"/>
        <v>0</v>
      </c>
      <c r="U345">
        <f t="shared" si="21"/>
        <v>0</v>
      </c>
      <c r="V345">
        <f t="shared" si="22"/>
        <v>0</v>
      </c>
      <c r="W345">
        <f t="shared" si="22"/>
        <v>0</v>
      </c>
      <c r="X345">
        <f t="shared" si="22"/>
        <v>1</v>
      </c>
    </row>
    <row r="346" spans="1:24" x14ac:dyDescent="0.4">
      <c r="A346">
        <v>1236</v>
      </c>
      <c r="B346">
        <v>3</v>
      </c>
      <c r="C346" t="s">
        <v>2328</v>
      </c>
      <c r="D346" t="s">
        <v>13</v>
      </c>
      <c r="F346">
        <v>1</v>
      </c>
      <c r="G346">
        <v>1</v>
      </c>
      <c r="H346" t="s">
        <v>342</v>
      </c>
      <c r="I346">
        <v>14.5</v>
      </c>
      <c r="J346" t="s">
        <v>15</v>
      </c>
      <c r="K346" t="s">
        <v>16</v>
      </c>
      <c r="O346">
        <f>IF(I346&lt;&gt;"",I346,訓練データ!$O$19)</f>
        <v>14.5</v>
      </c>
      <c r="P346">
        <f>IF(E346&lt;&gt;"",E346,訓練データ!$O$18)</f>
        <v>28</v>
      </c>
      <c r="R346">
        <f t="shared" si="20"/>
        <v>0</v>
      </c>
      <c r="S346">
        <f t="shared" si="21"/>
        <v>0</v>
      </c>
      <c r="T346">
        <f t="shared" si="21"/>
        <v>0</v>
      </c>
      <c r="U346">
        <f t="shared" si="21"/>
        <v>1</v>
      </c>
      <c r="V346">
        <f t="shared" si="22"/>
        <v>1</v>
      </c>
      <c r="W346">
        <f t="shared" si="22"/>
        <v>0</v>
      </c>
      <c r="X346">
        <f t="shared" si="22"/>
        <v>0</v>
      </c>
    </row>
    <row r="347" spans="1:24" x14ac:dyDescent="0.4">
      <c r="A347">
        <v>1237</v>
      </c>
      <c r="B347">
        <v>3</v>
      </c>
      <c r="C347" t="s">
        <v>2329</v>
      </c>
      <c r="D347" t="s">
        <v>18</v>
      </c>
      <c r="E347">
        <v>16</v>
      </c>
      <c r="F347">
        <v>0</v>
      </c>
      <c r="G347">
        <v>0</v>
      </c>
      <c r="H347" t="s">
        <v>2330</v>
      </c>
      <c r="I347">
        <v>7.65</v>
      </c>
      <c r="J347" t="s">
        <v>15</v>
      </c>
      <c r="K347" t="s">
        <v>16</v>
      </c>
      <c r="O347">
        <f>IF(I347&lt;&gt;"",I347,訓練データ!$O$19)</f>
        <v>7.65</v>
      </c>
      <c r="P347">
        <f>IF(E347&lt;&gt;"",E347,訓練データ!$O$18)</f>
        <v>16</v>
      </c>
      <c r="R347">
        <f t="shared" si="20"/>
        <v>1</v>
      </c>
      <c r="S347">
        <f t="shared" si="21"/>
        <v>0</v>
      </c>
      <c r="T347">
        <f t="shared" si="21"/>
        <v>0</v>
      </c>
      <c r="U347">
        <f t="shared" si="21"/>
        <v>1</v>
      </c>
      <c r="V347">
        <f t="shared" si="22"/>
        <v>1</v>
      </c>
      <c r="W347">
        <f t="shared" si="22"/>
        <v>0</v>
      </c>
      <c r="X347">
        <f t="shared" si="22"/>
        <v>0</v>
      </c>
    </row>
    <row r="348" spans="1:24" x14ac:dyDescent="0.4">
      <c r="A348">
        <v>1238</v>
      </c>
      <c r="B348">
        <v>2</v>
      </c>
      <c r="C348" t="s">
        <v>2331</v>
      </c>
      <c r="D348" t="s">
        <v>13</v>
      </c>
      <c r="E348">
        <v>26</v>
      </c>
      <c r="F348">
        <v>0</v>
      </c>
      <c r="G348">
        <v>0</v>
      </c>
      <c r="H348" t="s">
        <v>2332</v>
      </c>
      <c r="I348">
        <v>13</v>
      </c>
      <c r="J348" t="s">
        <v>15</v>
      </c>
      <c r="K348" t="s">
        <v>16</v>
      </c>
      <c r="O348">
        <f>IF(I348&lt;&gt;"",I348,訓練データ!$O$19)</f>
        <v>13</v>
      </c>
      <c r="P348">
        <f>IF(E348&lt;&gt;"",E348,訓練データ!$O$18)</f>
        <v>26</v>
      </c>
      <c r="R348">
        <f t="shared" si="20"/>
        <v>0</v>
      </c>
      <c r="S348">
        <f t="shared" si="21"/>
        <v>0</v>
      </c>
      <c r="T348">
        <f t="shared" si="21"/>
        <v>1</v>
      </c>
      <c r="U348">
        <f t="shared" si="21"/>
        <v>0</v>
      </c>
      <c r="V348">
        <f t="shared" si="22"/>
        <v>1</v>
      </c>
      <c r="W348">
        <f t="shared" si="22"/>
        <v>0</v>
      </c>
      <c r="X348">
        <f t="shared" si="22"/>
        <v>0</v>
      </c>
    </row>
    <row r="349" spans="1:24" x14ac:dyDescent="0.4">
      <c r="A349">
        <v>1239</v>
      </c>
      <c r="B349">
        <v>3</v>
      </c>
      <c r="C349" t="s">
        <v>2333</v>
      </c>
      <c r="D349" t="s">
        <v>18</v>
      </c>
      <c r="E349">
        <v>38</v>
      </c>
      <c r="F349">
        <v>0</v>
      </c>
      <c r="G349">
        <v>0</v>
      </c>
      <c r="H349" t="s">
        <v>2334</v>
      </c>
      <c r="I349">
        <v>7.2291999999999996</v>
      </c>
      <c r="J349" t="s">
        <v>15</v>
      </c>
      <c r="K349" t="s">
        <v>21</v>
      </c>
      <c r="O349">
        <f>IF(I349&lt;&gt;"",I349,訓練データ!$O$19)</f>
        <v>7.2291999999999996</v>
      </c>
      <c r="P349">
        <f>IF(E349&lt;&gt;"",E349,訓練データ!$O$18)</f>
        <v>38</v>
      </c>
      <c r="R349">
        <f t="shared" si="20"/>
        <v>1</v>
      </c>
      <c r="S349">
        <f t="shared" si="21"/>
        <v>0</v>
      </c>
      <c r="T349">
        <f t="shared" si="21"/>
        <v>0</v>
      </c>
      <c r="U349">
        <f t="shared" si="21"/>
        <v>1</v>
      </c>
      <c r="V349">
        <f t="shared" si="22"/>
        <v>0</v>
      </c>
      <c r="W349">
        <f t="shared" si="22"/>
        <v>0</v>
      </c>
      <c r="X349">
        <f t="shared" si="22"/>
        <v>1</v>
      </c>
    </row>
    <row r="350" spans="1:24" x14ac:dyDescent="0.4">
      <c r="A350">
        <v>1240</v>
      </c>
      <c r="B350">
        <v>2</v>
      </c>
      <c r="C350" t="s">
        <v>2335</v>
      </c>
      <c r="D350" t="s">
        <v>13</v>
      </c>
      <c r="E350">
        <v>24</v>
      </c>
      <c r="F350">
        <v>0</v>
      </c>
      <c r="G350">
        <v>0</v>
      </c>
      <c r="H350" t="s">
        <v>2336</v>
      </c>
      <c r="I350">
        <v>13.5</v>
      </c>
      <c r="J350" t="s">
        <v>15</v>
      </c>
      <c r="K350" t="s">
        <v>16</v>
      </c>
      <c r="O350">
        <f>IF(I350&lt;&gt;"",I350,訓練データ!$O$19)</f>
        <v>13.5</v>
      </c>
      <c r="P350">
        <f>IF(E350&lt;&gt;"",E350,訓練データ!$O$18)</f>
        <v>24</v>
      </c>
      <c r="R350">
        <f t="shared" si="20"/>
        <v>0</v>
      </c>
      <c r="S350">
        <f t="shared" si="21"/>
        <v>0</v>
      </c>
      <c r="T350">
        <f t="shared" si="21"/>
        <v>1</v>
      </c>
      <c r="U350">
        <f t="shared" si="21"/>
        <v>0</v>
      </c>
      <c r="V350">
        <f t="shared" si="22"/>
        <v>1</v>
      </c>
      <c r="W350">
        <f t="shared" si="22"/>
        <v>0</v>
      </c>
      <c r="X350">
        <f t="shared" si="22"/>
        <v>0</v>
      </c>
    </row>
    <row r="351" spans="1:24" x14ac:dyDescent="0.4">
      <c r="A351">
        <v>1241</v>
      </c>
      <c r="B351">
        <v>2</v>
      </c>
      <c r="C351" t="s">
        <v>2337</v>
      </c>
      <c r="D351" t="s">
        <v>18</v>
      </c>
      <c r="E351">
        <v>31</v>
      </c>
      <c r="F351">
        <v>0</v>
      </c>
      <c r="G351">
        <v>0</v>
      </c>
      <c r="H351" t="s">
        <v>456</v>
      </c>
      <c r="I351">
        <v>21</v>
      </c>
      <c r="J351" t="s">
        <v>15</v>
      </c>
      <c r="K351" t="s">
        <v>16</v>
      </c>
      <c r="O351">
        <f>IF(I351&lt;&gt;"",I351,訓練データ!$O$19)</f>
        <v>21</v>
      </c>
      <c r="P351">
        <f>IF(E351&lt;&gt;"",E351,訓練データ!$O$18)</f>
        <v>31</v>
      </c>
      <c r="R351">
        <f t="shared" si="20"/>
        <v>1</v>
      </c>
      <c r="S351">
        <f t="shared" si="21"/>
        <v>0</v>
      </c>
      <c r="T351">
        <f t="shared" si="21"/>
        <v>1</v>
      </c>
      <c r="U351">
        <f t="shared" si="21"/>
        <v>0</v>
      </c>
      <c r="V351">
        <f t="shared" si="22"/>
        <v>1</v>
      </c>
      <c r="W351">
        <f t="shared" si="22"/>
        <v>0</v>
      </c>
      <c r="X351">
        <f t="shared" si="22"/>
        <v>0</v>
      </c>
    </row>
    <row r="352" spans="1:24" x14ac:dyDescent="0.4">
      <c r="A352">
        <v>1242</v>
      </c>
      <c r="B352">
        <v>1</v>
      </c>
      <c r="C352" t="s">
        <v>2338</v>
      </c>
      <c r="D352" t="s">
        <v>18</v>
      </c>
      <c r="E352">
        <v>45</v>
      </c>
      <c r="F352">
        <v>0</v>
      </c>
      <c r="G352">
        <v>1</v>
      </c>
      <c r="H352" t="s">
        <v>228</v>
      </c>
      <c r="I352">
        <v>63.3583</v>
      </c>
      <c r="J352" t="s">
        <v>229</v>
      </c>
      <c r="K352" t="s">
        <v>21</v>
      </c>
      <c r="O352">
        <f>IF(I352&lt;&gt;"",I352,訓練データ!$O$19)</f>
        <v>63.3583</v>
      </c>
      <c r="P352">
        <f>IF(E352&lt;&gt;"",E352,訓練データ!$O$18)</f>
        <v>45</v>
      </c>
      <c r="R352">
        <f t="shared" si="20"/>
        <v>1</v>
      </c>
      <c r="S352">
        <f t="shared" si="21"/>
        <v>1</v>
      </c>
      <c r="T352">
        <f t="shared" si="21"/>
        <v>0</v>
      </c>
      <c r="U352">
        <f t="shared" si="21"/>
        <v>0</v>
      </c>
      <c r="V352">
        <f t="shared" si="22"/>
        <v>0</v>
      </c>
      <c r="W352">
        <f t="shared" si="22"/>
        <v>0</v>
      </c>
      <c r="X352">
        <f t="shared" si="22"/>
        <v>1</v>
      </c>
    </row>
    <row r="353" spans="1:24" x14ac:dyDescent="0.4">
      <c r="A353">
        <v>1243</v>
      </c>
      <c r="B353">
        <v>2</v>
      </c>
      <c r="C353" t="s">
        <v>2339</v>
      </c>
      <c r="D353" t="s">
        <v>13</v>
      </c>
      <c r="E353">
        <v>25</v>
      </c>
      <c r="F353">
        <v>0</v>
      </c>
      <c r="G353">
        <v>0</v>
      </c>
      <c r="H353" t="s">
        <v>2340</v>
      </c>
      <c r="I353">
        <v>10.5</v>
      </c>
      <c r="J353" t="s">
        <v>15</v>
      </c>
      <c r="K353" t="s">
        <v>16</v>
      </c>
      <c r="O353">
        <f>IF(I353&lt;&gt;"",I353,訓練データ!$O$19)</f>
        <v>10.5</v>
      </c>
      <c r="P353">
        <f>IF(E353&lt;&gt;"",E353,訓練データ!$O$18)</f>
        <v>25</v>
      </c>
      <c r="R353">
        <f t="shared" si="20"/>
        <v>0</v>
      </c>
      <c r="S353">
        <f t="shared" si="21"/>
        <v>0</v>
      </c>
      <c r="T353">
        <f t="shared" si="21"/>
        <v>1</v>
      </c>
      <c r="U353">
        <f t="shared" si="21"/>
        <v>0</v>
      </c>
      <c r="V353">
        <f t="shared" si="22"/>
        <v>1</v>
      </c>
      <c r="W353">
        <f t="shared" si="22"/>
        <v>0</v>
      </c>
      <c r="X353">
        <f t="shared" si="22"/>
        <v>0</v>
      </c>
    </row>
    <row r="354" spans="1:24" x14ac:dyDescent="0.4">
      <c r="A354">
        <v>1244</v>
      </c>
      <c r="B354">
        <v>2</v>
      </c>
      <c r="C354" t="s">
        <v>2341</v>
      </c>
      <c r="D354" t="s">
        <v>13</v>
      </c>
      <c r="E354">
        <v>18</v>
      </c>
      <c r="F354">
        <v>0</v>
      </c>
      <c r="G354">
        <v>0</v>
      </c>
      <c r="H354" t="s">
        <v>176</v>
      </c>
      <c r="I354">
        <v>73.5</v>
      </c>
      <c r="J354" t="s">
        <v>15</v>
      </c>
      <c r="K354" t="s">
        <v>16</v>
      </c>
      <c r="O354">
        <f>IF(I354&lt;&gt;"",I354,訓練データ!$O$19)</f>
        <v>73.5</v>
      </c>
      <c r="P354">
        <f>IF(E354&lt;&gt;"",E354,訓練データ!$O$18)</f>
        <v>18</v>
      </c>
      <c r="R354">
        <f t="shared" si="20"/>
        <v>0</v>
      </c>
      <c r="S354">
        <f t="shared" si="21"/>
        <v>0</v>
      </c>
      <c r="T354">
        <f t="shared" si="21"/>
        <v>1</v>
      </c>
      <c r="U354">
        <f t="shared" si="21"/>
        <v>0</v>
      </c>
      <c r="V354">
        <f t="shared" si="22"/>
        <v>1</v>
      </c>
      <c r="W354">
        <f t="shared" si="22"/>
        <v>0</v>
      </c>
      <c r="X354">
        <f t="shared" si="22"/>
        <v>0</v>
      </c>
    </row>
    <row r="355" spans="1:24" x14ac:dyDescent="0.4">
      <c r="A355">
        <v>1245</v>
      </c>
      <c r="B355">
        <v>2</v>
      </c>
      <c r="C355" t="s">
        <v>2342</v>
      </c>
      <c r="D355" t="s">
        <v>13</v>
      </c>
      <c r="E355">
        <v>49</v>
      </c>
      <c r="F355">
        <v>1</v>
      </c>
      <c r="G355">
        <v>2</v>
      </c>
      <c r="H355" t="s">
        <v>1241</v>
      </c>
      <c r="I355">
        <v>65</v>
      </c>
      <c r="J355" t="s">
        <v>15</v>
      </c>
      <c r="K355" t="s">
        <v>16</v>
      </c>
      <c r="O355">
        <f>IF(I355&lt;&gt;"",I355,訓練データ!$O$19)</f>
        <v>65</v>
      </c>
      <c r="P355">
        <f>IF(E355&lt;&gt;"",E355,訓練データ!$O$18)</f>
        <v>49</v>
      </c>
      <c r="R355">
        <f t="shared" si="20"/>
        <v>0</v>
      </c>
      <c r="S355">
        <f t="shared" si="21"/>
        <v>0</v>
      </c>
      <c r="T355">
        <f t="shared" si="21"/>
        <v>1</v>
      </c>
      <c r="U355">
        <f t="shared" si="21"/>
        <v>0</v>
      </c>
      <c r="V355">
        <f t="shared" si="22"/>
        <v>1</v>
      </c>
      <c r="W355">
        <f t="shared" si="22"/>
        <v>0</v>
      </c>
      <c r="X355">
        <f t="shared" si="22"/>
        <v>0</v>
      </c>
    </row>
    <row r="356" spans="1:24" x14ac:dyDescent="0.4">
      <c r="A356">
        <v>1246</v>
      </c>
      <c r="B356">
        <v>3</v>
      </c>
      <c r="C356" t="s">
        <v>2343</v>
      </c>
      <c r="D356" t="s">
        <v>18</v>
      </c>
      <c r="E356">
        <v>0.17</v>
      </c>
      <c r="F356">
        <v>1</v>
      </c>
      <c r="G356">
        <v>2</v>
      </c>
      <c r="H356" t="s">
        <v>219</v>
      </c>
      <c r="I356">
        <v>20.574999999999999</v>
      </c>
      <c r="J356" t="s">
        <v>15</v>
      </c>
      <c r="K356" t="s">
        <v>16</v>
      </c>
      <c r="O356">
        <f>IF(I356&lt;&gt;"",I356,訓練データ!$O$19)</f>
        <v>20.574999999999999</v>
      </c>
      <c r="P356">
        <f>IF(E356&lt;&gt;"",E356,訓練データ!$O$18)</f>
        <v>0.17</v>
      </c>
      <c r="R356">
        <f t="shared" si="20"/>
        <v>1</v>
      </c>
      <c r="S356">
        <f t="shared" si="21"/>
        <v>0</v>
      </c>
      <c r="T356">
        <f t="shared" si="21"/>
        <v>0</v>
      </c>
      <c r="U356">
        <f t="shared" si="21"/>
        <v>1</v>
      </c>
      <c r="V356">
        <f t="shared" si="22"/>
        <v>1</v>
      </c>
      <c r="W356">
        <f t="shared" si="22"/>
        <v>0</v>
      </c>
      <c r="X356">
        <f t="shared" si="22"/>
        <v>0</v>
      </c>
    </row>
    <row r="357" spans="1:24" x14ac:dyDescent="0.4">
      <c r="A357">
        <v>1247</v>
      </c>
      <c r="B357">
        <v>1</v>
      </c>
      <c r="C357" t="s">
        <v>2344</v>
      </c>
      <c r="D357" t="s">
        <v>13</v>
      </c>
      <c r="E357">
        <v>50</v>
      </c>
      <c r="F357">
        <v>0</v>
      </c>
      <c r="G357">
        <v>0</v>
      </c>
      <c r="H357" t="s">
        <v>2345</v>
      </c>
      <c r="I357">
        <v>26</v>
      </c>
      <c r="J357" t="s">
        <v>2346</v>
      </c>
      <c r="K357" t="s">
        <v>16</v>
      </c>
      <c r="O357">
        <f>IF(I357&lt;&gt;"",I357,訓練データ!$O$19)</f>
        <v>26</v>
      </c>
      <c r="P357">
        <f>IF(E357&lt;&gt;"",E357,訓練データ!$O$18)</f>
        <v>50</v>
      </c>
      <c r="R357">
        <f t="shared" si="20"/>
        <v>0</v>
      </c>
      <c r="S357">
        <f t="shared" si="21"/>
        <v>1</v>
      </c>
      <c r="T357">
        <f t="shared" si="21"/>
        <v>0</v>
      </c>
      <c r="U357">
        <f t="shared" si="21"/>
        <v>0</v>
      </c>
      <c r="V357">
        <f t="shared" si="22"/>
        <v>1</v>
      </c>
      <c r="W357">
        <f t="shared" si="22"/>
        <v>0</v>
      </c>
      <c r="X357">
        <f t="shared" si="22"/>
        <v>0</v>
      </c>
    </row>
    <row r="358" spans="1:24" x14ac:dyDescent="0.4">
      <c r="A358">
        <v>1248</v>
      </c>
      <c r="B358">
        <v>1</v>
      </c>
      <c r="C358" t="s">
        <v>2347</v>
      </c>
      <c r="D358" t="s">
        <v>18</v>
      </c>
      <c r="E358">
        <v>59</v>
      </c>
      <c r="F358">
        <v>2</v>
      </c>
      <c r="G358">
        <v>0</v>
      </c>
      <c r="H358" t="s">
        <v>1160</v>
      </c>
      <c r="I358">
        <v>51.479199999999999</v>
      </c>
      <c r="J358" t="s">
        <v>1161</v>
      </c>
      <c r="K358" t="s">
        <v>16</v>
      </c>
      <c r="O358">
        <f>IF(I358&lt;&gt;"",I358,訓練データ!$O$19)</f>
        <v>51.479199999999999</v>
      </c>
      <c r="P358">
        <f>IF(E358&lt;&gt;"",E358,訓練データ!$O$18)</f>
        <v>59</v>
      </c>
      <c r="R358">
        <f t="shared" si="20"/>
        <v>1</v>
      </c>
      <c r="S358">
        <f t="shared" si="21"/>
        <v>1</v>
      </c>
      <c r="T358">
        <f t="shared" si="21"/>
        <v>0</v>
      </c>
      <c r="U358">
        <f t="shared" si="21"/>
        <v>0</v>
      </c>
      <c r="V358">
        <f t="shared" si="22"/>
        <v>1</v>
      </c>
      <c r="W358">
        <f t="shared" si="22"/>
        <v>0</v>
      </c>
      <c r="X358">
        <f t="shared" si="22"/>
        <v>0</v>
      </c>
    </row>
    <row r="359" spans="1:24" x14ac:dyDescent="0.4">
      <c r="A359">
        <v>1249</v>
      </c>
      <c r="B359">
        <v>3</v>
      </c>
      <c r="C359" t="s">
        <v>2348</v>
      </c>
      <c r="D359" t="s">
        <v>13</v>
      </c>
      <c r="F359">
        <v>0</v>
      </c>
      <c r="G359">
        <v>0</v>
      </c>
      <c r="H359" t="s">
        <v>2349</v>
      </c>
      <c r="I359">
        <v>7.8792</v>
      </c>
      <c r="J359" t="s">
        <v>15</v>
      </c>
      <c r="K359" t="s">
        <v>16</v>
      </c>
      <c r="O359">
        <f>IF(I359&lt;&gt;"",I359,訓練データ!$O$19)</f>
        <v>7.8792</v>
      </c>
      <c r="P359">
        <f>IF(E359&lt;&gt;"",E359,訓練データ!$O$18)</f>
        <v>28</v>
      </c>
      <c r="R359">
        <f t="shared" si="20"/>
        <v>0</v>
      </c>
      <c r="S359">
        <f t="shared" si="21"/>
        <v>0</v>
      </c>
      <c r="T359">
        <f t="shared" si="21"/>
        <v>0</v>
      </c>
      <c r="U359">
        <f t="shared" si="21"/>
        <v>1</v>
      </c>
      <c r="V359">
        <f t="shared" si="22"/>
        <v>1</v>
      </c>
      <c r="W359">
        <f t="shared" si="22"/>
        <v>0</v>
      </c>
      <c r="X359">
        <f t="shared" si="22"/>
        <v>0</v>
      </c>
    </row>
    <row r="360" spans="1:24" x14ac:dyDescent="0.4">
      <c r="A360">
        <v>1250</v>
      </c>
      <c r="B360">
        <v>3</v>
      </c>
      <c r="C360" t="s">
        <v>2350</v>
      </c>
      <c r="D360" t="s">
        <v>13</v>
      </c>
      <c r="F360">
        <v>0</v>
      </c>
      <c r="G360">
        <v>0</v>
      </c>
      <c r="H360" t="s">
        <v>2351</v>
      </c>
      <c r="I360">
        <v>7.75</v>
      </c>
      <c r="J360" t="s">
        <v>15</v>
      </c>
      <c r="K360" t="s">
        <v>31</v>
      </c>
      <c r="O360">
        <f>IF(I360&lt;&gt;"",I360,訓練データ!$O$19)</f>
        <v>7.75</v>
      </c>
      <c r="P360">
        <f>IF(E360&lt;&gt;"",E360,訓練データ!$O$18)</f>
        <v>28</v>
      </c>
      <c r="R360">
        <f t="shared" si="20"/>
        <v>0</v>
      </c>
      <c r="S360">
        <f t="shared" si="21"/>
        <v>0</v>
      </c>
      <c r="T360">
        <f t="shared" si="21"/>
        <v>0</v>
      </c>
      <c r="U360">
        <f t="shared" si="21"/>
        <v>1</v>
      </c>
      <c r="V360">
        <f t="shared" si="22"/>
        <v>0</v>
      </c>
      <c r="W360">
        <f t="shared" si="22"/>
        <v>1</v>
      </c>
      <c r="X360">
        <f t="shared" si="22"/>
        <v>0</v>
      </c>
    </row>
    <row r="361" spans="1:24" x14ac:dyDescent="0.4">
      <c r="A361">
        <v>1251</v>
      </c>
      <c r="B361">
        <v>3</v>
      </c>
      <c r="C361" t="s">
        <v>2352</v>
      </c>
      <c r="D361" t="s">
        <v>18</v>
      </c>
      <c r="E361">
        <v>30</v>
      </c>
      <c r="F361">
        <v>1</v>
      </c>
      <c r="G361">
        <v>0</v>
      </c>
      <c r="H361" t="s">
        <v>1225</v>
      </c>
      <c r="I361">
        <v>15.55</v>
      </c>
      <c r="J361" t="s">
        <v>15</v>
      </c>
      <c r="K361" t="s">
        <v>16</v>
      </c>
      <c r="O361">
        <f>IF(I361&lt;&gt;"",I361,訓練データ!$O$19)</f>
        <v>15.55</v>
      </c>
      <c r="P361">
        <f>IF(E361&lt;&gt;"",E361,訓練データ!$O$18)</f>
        <v>30</v>
      </c>
      <c r="R361">
        <f t="shared" si="20"/>
        <v>1</v>
      </c>
      <c r="S361">
        <f t="shared" si="21"/>
        <v>0</v>
      </c>
      <c r="T361">
        <f t="shared" si="21"/>
        <v>0</v>
      </c>
      <c r="U361">
        <f t="shared" si="21"/>
        <v>1</v>
      </c>
      <c r="V361">
        <f t="shared" si="22"/>
        <v>1</v>
      </c>
      <c r="W361">
        <f t="shared" si="22"/>
        <v>0</v>
      </c>
      <c r="X361">
        <f t="shared" si="22"/>
        <v>0</v>
      </c>
    </row>
    <row r="362" spans="1:24" x14ac:dyDescent="0.4">
      <c r="A362">
        <v>1252</v>
      </c>
      <c r="B362">
        <v>3</v>
      </c>
      <c r="C362" t="s">
        <v>2353</v>
      </c>
      <c r="D362" t="s">
        <v>13</v>
      </c>
      <c r="E362">
        <v>14.5</v>
      </c>
      <c r="F362">
        <v>8</v>
      </c>
      <c r="G362">
        <v>2</v>
      </c>
      <c r="H362" t="s">
        <v>354</v>
      </c>
      <c r="I362">
        <v>69.55</v>
      </c>
      <c r="J362" t="s">
        <v>15</v>
      </c>
      <c r="K362" t="s">
        <v>16</v>
      </c>
      <c r="O362">
        <f>IF(I362&lt;&gt;"",I362,訓練データ!$O$19)</f>
        <v>69.55</v>
      </c>
      <c r="P362">
        <f>IF(E362&lt;&gt;"",E362,訓練データ!$O$18)</f>
        <v>14.5</v>
      </c>
      <c r="R362">
        <f t="shared" si="20"/>
        <v>0</v>
      </c>
      <c r="S362">
        <f t="shared" si="21"/>
        <v>0</v>
      </c>
      <c r="T362">
        <f t="shared" si="21"/>
        <v>0</v>
      </c>
      <c r="U362">
        <f t="shared" si="21"/>
        <v>1</v>
      </c>
      <c r="V362">
        <f t="shared" si="22"/>
        <v>1</v>
      </c>
      <c r="W362">
        <f t="shared" si="22"/>
        <v>0</v>
      </c>
      <c r="X362">
        <f t="shared" si="22"/>
        <v>0</v>
      </c>
    </row>
    <row r="363" spans="1:24" x14ac:dyDescent="0.4">
      <c r="A363">
        <v>1253</v>
      </c>
      <c r="B363">
        <v>2</v>
      </c>
      <c r="C363" t="s">
        <v>2354</v>
      </c>
      <c r="D363" t="s">
        <v>18</v>
      </c>
      <c r="E363">
        <v>24</v>
      </c>
      <c r="F363">
        <v>1</v>
      </c>
      <c r="G363">
        <v>1</v>
      </c>
      <c r="H363" t="s">
        <v>1610</v>
      </c>
      <c r="I363">
        <v>37.004199999999997</v>
      </c>
      <c r="J363" t="s">
        <v>15</v>
      </c>
      <c r="K363" t="s">
        <v>21</v>
      </c>
      <c r="O363">
        <f>IF(I363&lt;&gt;"",I363,訓練データ!$O$19)</f>
        <v>37.004199999999997</v>
      </c>
      <c r="P363">
        <f>IF(E363&lt;&gt;"",E363,訓練データ!$O$18)</f>
        <v>24</v>
      </c>
      <c r="R363">
        <f t="shared" si="20"/>
        <v>1</v>
      </c>
      <c r="S363">
        <f t="shared" si="21"/>
        <v>0</v>
      </c>
      <c r="T363">
        <f t="shared" si="21"/>
        <v>1</v>
      </c>
      <c r="U363">
        <f t="shared" si="21"/>
        <v>0</v>
      </c>
      <c r="V363">
        <f t="shared" si="22"/>
        <v>0</v>
      </c>
      <c r="W363">
        <f t="shared" si="22"/>
        <v>0</v>
      </c>
      <c r="X363">
        <f t="shared" si="22"/>
        <v>1</v>
      </c>
    </row>
    <row r="364" spans="1:24" x14ac:dyDescent="0.4">
      <c r="A364">
        <v>1254</v>
      </c>
      <c r="B364">
        <v>2</v>
      </c>
      <c r="C364" t="s">
        <v>2355</v>
      </c>
      <c r="D364" t="s">
        <v>18</v>
      </c>
      <c r="E364">
        <v>31</v>
      </c>
      <c r="F364">
        <v>0</v>
      </c>
      <c r="G364">
        <v>0</v>
      </c>
      <c r="H364" t="s">
        <v>2217</v>
      </c>
      <c r="I364">
        <v>21</v>
      </c>
      <c r="J364" t="s">
        <v>15</v>
      </c>
      <c r="K364" t="s">
        <v>16</v>
      </c>
      <c r="O364">
        <f>IF(I364&lt;&gt;"",I364,訓練データ!$O$19)</f>
        <v>21</v>
      </c>
      <c r="P364">
        <f>IF(E364&lt;&gt;"",E364,訓練データ!$O$18)</f>
        <v>31</v>
      </c>
      <c r="R364">
        <f t="shared" si="20"/>
        <v>1</v>
      </c>
      <c r="S364">
        <f t="shared" si="21"/>
        <v>0</v>
      </c>
      <c r="T364">
        <f t="shared" si="21"/>
        <v>1</v>
      </c>
      <c r="U364">
        <f t="shared" si="21"/>
        <v>0</v>
      </c>
      <c r="V364">
        <f t="shared" si="22"/>
        <v>1</v>
      </c>
      <c r="W364">
        <f t="shared" si="22"/>
        <v>0</v>
      </c>
      <c r="X364">
        <f t="shared" si="22"/>
        <v>0</v>
      </c>
    </row>
    <row r="365" spans="1:24" x14ac:dyDescent="0.4">
      <c r="A365">
        <v>1255</v>
      </c>
      <c r="B365">
        <v>3</v>
      </c>
      <c r="C365" t="s">
        <v>2356</v>
      </c>
      <c r="D365" t="s">
        <v>13</v>
      </c>
      <c r="E365">
        <v>27</v>
      </c>
      <c r="F365">
        <v>0</v>
      </c>
      <c r="G365">
        <v>0</v>
      </c>
      <c r="H365" t="s">
        <v>2357</v>
      </c>
      <c r="I365">
        <v>8.6624999999999996</v>
      </c>
      <c r="J365" t="s">
        <v>15</v>
      </c>
      <c r="K365" t="s">
        <v>16</v>
      </c>
      <c r="O365">
        <f>IF(I365&lt;&gt;"",I365,訓練データ!$O$19)</f>
        <v>8.6624999999999996</v>
      </c>
      <c r="P365">
        <f>IF(E365&lt;&gt;"",E365,訓練データ!$O$18)</f>
        <v>27</v>
      </c>
      <c r="R365">
        <f t="shared" si="20"/>
        <v>0</v>
      </c>
      <c r="S365">
        <f t="shared" si="21"/>
        <v>0</v>
      </c>
      <c r="T365">
        <f t="shared" si="21"/>
        <v>0</v>
      </c>
      <c r="U365">
        <f t="shared" si="21"/>
        <v>1</v>
      </c>
      <c r="V365">
        <f t="shared" si="22"/>
        <v>1</v>
      </c>
      <c r="W365">
        <f t="shared" si="22"/>
        <v>0</v>
      </c>
      <c r="X365">
        <f t="shared" si="22"/>
        <v>0</v>
      </c>
    </row>
    <row r="366" spans="1:24" x14ac:dyDescent="0.4">
      <c r="A366">
        <v>1256</v>
      </c>
      <c r="B366">
        <v>1</v>
      </c>
      <c r="C366" t="s">
        <v>2358</v>
      </c>
      <c r="D366" t="s">
        <v>18</v>
      </c>
      <c r="E366">
        <v>25</v>
      </c>
      <c r="F366">
        <v>1</v>
      </c>
      <c r="G366">
        <v>0</v>
      </c>
      <c r="H366" t="s">
        <v>779</v>
      </c>
      <c r="I366">
        <v>55.441699999999997</v>
      </c>
      <c r="J366" t="s">
        <v>780</v>
      </c>
      <c r="K366" t="s">
        <v>21</v>
      </c>
      <c r="O366">
        <f>IF(I366&lt;&gt;"",I366,訓練データ!$O$19)</f>
        <v>55.441699999999997</v>
      </c>
      <c r="P366">
        <f>IF(E366&lt;&gt;"",E366,訓練データ!$O$18)</f>
        <v>25</v>
      </c>
      <c r="R366">
        <f t="shared" si="20"/>
        <v>1</v>
      </c>
      <c r="S366">
        <f t="shared" si="21"/>
        <v>1</v>
      </c>
      <c r="T366">
        <f t="shared" si="21"/>
        <v>0</v>
      </c>
      <c r="U366">
        <f t="shared" si="21"/>
        <v>0</v>
      </c>
      <c r="V366">
        <f t="shared" si="22"/>
        <v>0</v>
      </c>
      <c r="W366">
        <f t="shared" si="22"/>
        <v>0</v>
      </c>
      <c r="X366">
        <f t="shared" si="22"/>
        <v>1</v>
      </c>
    </row>
    <row r="367" spans="1:24" x14ac:dyDescent="0.4">
      <c r="A367">
        <v>1257</v>
      </c>
      <c r="B367">
        <v>3</v>
      </c>
      <c r="C367" t="s">
        <v>2359</v>
      </c>
      <c r="D367" t="s">
        <v>18</v>
      </c>
      <c r="F367">
        <v>1</v>
      </c>
      <c r="G367">
        <v>9</v>
      </c>
      <c r="H367" t="s">
        <v>354</v>
      </c>
      <c r="I367">
        <v>69.55</v>
      </c>
      <c r="J367" t="s">
        <v>15</v>
      </c>
      <c r="K367" t="s">
        <v>16</v>
      </c>
      <c r="O367">
        <f>IF(I367&lt;&gt;"",I367,訓練データ!$O$19)</f>
        <v>69.55</v>
      </c>
      <c r="P367">
        <f>IF(E367&lt;&gt;"",E367,訓練データ!$O$18)</f>
        <v>28</v>
      </c>
      <c r="R367">
        <f t="shared" si="20"/>
        <v>1</v>
      </c>
      <c r="S367">
        <f t="shared" si="21"/>
        <v>0</v>
      </c>
      <c r="T367">
        <f t="shared" si="21"/>
        <v>0</v>
      </c>
      <c r="U367">
        <f t="shared" si="21"/>
        <v>1</v>
      </c>
      <c r="V367">
        <f t="shared" si="22"/>
        <v>1</v>
      </c>
      <c r="W367">
        <f t="shared" si="22"/>
        <v>0</v>
      </c>
      <c r="X367">
        <f t="shared" si="22"/>
        <v>0</v>
      </c>
    </row>
    <row r="368" spans="1:24" x14ac:dyDescent="0.4">
      <c r="A368">
        <v>1258</v>
      </c>
      <c r="B368">
        <v>3</v>
      </c>
      <c r="C368" t="s">
        <v>2360</v>
      </c>
      <c r="D368" t="s">
        <v>13</v>
      </c>
      <c r="F368">
        <v>1</v>
      </c>
      <c r="G368">
        <v>0</v>
      </c>
      <c r="H368" t="s">
        <v>1174</v>
      </c>
      <c r="I368">
        <v>14.458299999999999</v>
      </c>
      <c r="J368" t="s">
        <v>15</v>
      </c>
      <c r="K368" t="s">
        <v>21</v>
      </c>
      <c r="O368">
        <f>IF(I368&lt;&gt;"",I368,訓練データ!$O$19)</f>
        <v>14.458299999999999</v>
      </c>
      <c r="P368">
        <f>IF(E368&lt;&gt;"",E368,訓練データ!$O$18)</f>
        <v>28</v>
      </c>
      <c r="R368">
        <f t="shared" si="20"/>
        <v>0</v>
      </c>
      <c r="S368">
        <f t="shared" si="21"/>
        <v>0</v>
      </c>
      <c r="T368">
        <f t="shared" si="21"/>
        <v>0</v>
      </c>
      <c r="U368">
        <f t="shared" si="21"/>
        <v>1</v>
      </c>
      <c r="V368">
        <f t="shared" si="22"/>
        <v>0</v>
      </c>
      <c r="W368">
        <f t="shared" si="22"/>
        <v>0</v>
      </c>
      <c r="X368">
        <f t="shared" si="22"/>
        <v>1</v>
      </c>
    </row>
    <row r="369" spans="1:24" x14ac:dyDescent="0.4">
      <c r="A369">
        <v>1259</v>
      </c>
      <c r="B369">
        <v>3</v>
      </c>
      <c r="C369" t="s">
        <v>2361</v>
      </c>
      <c r="D369" t="s">
        <v>18</v>
      </c>
      <c r="E369">
        <v>22</v>
      </c>
      <c r="F369">
        <v>0</v>
      </c>
      <c r="G369">
        <v>0</v>
      </c>
      <c r="H369" t="s">
        <v>127</v>
      </c>
      <c r="I369">
        <v>39.6875</v>
      </c>
      <c r="J369" t="s">
        <v>15</v>
      </c>
      <c r="K369" t="s">
        <v>16</v>
      </c>
      <c r="O369">
        <f>IF(I369&lt;&gt;"",I369,訓練データ!$O$19)</f>
        <v>39.6875</v>
      </c>
      <c r="P369">
        <f>IF(E369&lt;&gt;"",E369,訓練データ!$O$18)</f>
        <v>22</v>
      </c>
      <c r="R369">
        <f t="shared" si="20"/>
        <v>1</v>
      </c>
      <c r="S369">
        <f t="shared" si="21"/>
        <v>0</v>
      </c>
      <c r="T369">
        <f t="shared" si="21"/>
        <v>0</v>
      </c>
      <c r="U369">
        <f t="shared" si="21"/>
        <v>1</v>
      </c>
      <c r="V369">
        <f t="shared" si="22"/>
        <v>1</v>
      </c>
      <c r="W369">
        <f t="shared" si="22"/>
        <v>0</v>
      </c>
      <c r="X369">
        <f t="shared" si="22"/>
        <v>0</v>
      </c>
    </row>
    <row r="370" spans="1:24" x14ac:dyDescent="0.4">
      <c r="A370">
        <v>1260</v>
      </c>
      <c r="B370">
        <v>1</v>
      </c>
      <c r="C370" t="s">
        <v>2362</v>
      </c>
      <c r="D370" t="s">
        <v>18</v>
      </c>
      <c r="E370">
        <v>45</v>
      </c>
      <c r="F370">
        <v>0</v>
      </c>
      <c r="G370">
        <v>1</v>
      </c>
      <c r="H370" t="s">
        <v>2363</v>
      </c>
      <c r="I370">
        <v>59.4</v>
      </c>
      <c r="J370" t="s">
        <v>15</v>
      </c>
      <c r="K370" t="s">
        <v>21</v>
      </c>
      <c r="O370">
        <f>IF(I370&lt;&gt;"",I370,訓練データ!$O$19)</f>
        <v>59.4</v>
      </c>
      <c r="P370">
        <f>IF(E370&lt;&gt;"",E370,訓練データ!$O$18)</f>
        <v>45</v>
      </c>
      <c r="R370">
        <f t="shared" si="20"/>
        <v>1</v>
      </c>
      <c r="S370">
        <f t="shared" si="21"/>
        <v>1</v>
      </c>
      <c r="T370">
        <f t="shared" si="21"/>
        <v>0</v>
      </c>
      <c r="U370">
        <f t="shared" si="21"/>
        <v>0</v>
      </c>
      <c r="V370">
        <f t="shared" si="22"/>
        <v>0</v>
      </c>
      <c r="W370">
        <f t="shared" si="22"/>
        <v>0</v>
      </c>
      <c r="X370">
        <f t="shared" si="22"/>
        <v>1</v>
      </c>
    </row>
    <row r="371" spans="1:24" x14ac:dyDescent="0.4">
      <c r="A371">
        <v>1261</v>
      </c>
      <c r="B371">
        <v>2</v>
      </c>
      <c r="C371" t="s">
        <v>2364</v>
      </c>
      <c r="D371" t="s">
        <v>13</v>
      </c>
      <c r="E371">
        <v>29</v>
      </c>
      <c r="F371">
        <v>0</v>
      </c>
      <c r="G371">
        <v>0</v>
      </c>
      <c r="H371" t="s">
        <v>2365</v>
      </c>
      <c r="I371">
        <v>13.8583</v>
      </c>
      <c r="J371" t="s">
        <v>15</v>
      </c>
      <c r="K371" t="s">
        <v>21</v>
      </c>
      <c r="O371">
        <f>IF(I371&lt;&gt;"",I371,訓練データ!$O$19)</f>
        <v>13.8583</v>
      </c>
      <c r="P371">
        <f>IF(E371&lt;&gt;"",E371,訓練データ!$O$18)</f>
        <v>29</v>
      </c>
      <c r="R371">
        <f t="shared" si="20"/>
        <v>0</v>
      </c>
      <c r="S371">
        <f t="shared" si="21"/>
        <v>0</v>
      </c>
      <c r="T371">
        <f t="shared" si="21"/>
        <v>1</v>
      </c>
      <c r="U371">
        <f t="shared" si="21"/>
        <v>0</v>
      </c>
      <c r="V371">
        <f t="shared" si="22"/>
        <v>0</v>
      </c>
      <c r="W371">
        <f t="shared" si="22"/>
        <v>0</v>
      </c>
      <c r="X371">
        <f t="shared" si="22"/>
        <v>1</v>
      </c>
    </row>
    <row r="372" spans="1:24" x14ac:dyDescent="0.4">
      <c r="A372">
        <v>1262</v>
      </c>
      <c r="B372">
        <v>2</v>
      </c>
      <c r="C372" t="s">
        <v>2366</v>
      </c>
      <c r="D372" t="s">
        <v>13</v>
      </c>
      <c r="E372">
        <v>21</v>
      </c>
      <c r="F372">
        <v>1</v>
      </c>
      <c r="G372">
        <v>0</v>
      </c>
      <c r="H372" t="s">
        <v>2367</v>
      </c>
      <c r="I372">
        <v>11.5</v>
      </c>
      <c r="J372" t="s">
        <v>15</v>
      </c>
      <c r="K372" t="s">
        <v>16</v>
      </c>
      <c r="O372">
        <f>IF(I372&lt;&gt;"",I372,訓練データ!$O$19)</f>
        <v>11.5</v>
      </c>
      <c r="P372">
        <f>IF(E372&lt;&gt;"",E372,訓練データ!$O$18)</f>
        <v>21</v>
      </c>
      <c r="R372">
        <f t="shared" si="20"/>
        <v>0</v>
      </c>
      <c r="S372">
        <f t="shared" si="21"/>
        <v>0</v>
      </c>
      <c r="T372">
        <f t="shared" si="21"/>
        <v>1</v>
      </c>
      <c r="U372">
        <f t="shared" si="21"/>
        <v>0</v>
      </c>
      <c r="V372">
        <f t="shared" si="22"/>
        <v>1</v>
      </c>
      <c r="W372">
        <f t="shared" si="22"/>
        <v>0</v>
      </c>
      <c r="X372">
        <f t="shared" si="22"/>
        <v>0</v>
      </c>
    </row>
    <row r="373" spans="1:24" x14ac:dyDescent="0.4">
      <c r="A373">
        <v>1263</v>
      </c>
      <c r="B373">
        <v>1</v>
      </c>
      <c r="C373" t="s">
        <v>2368</v>
      </c>
      <c r="D373" t="s">
        <v>18</v>
      </c>
      <c r="E373">
        <v>31</v>
      </c>
      <c r="F373">
        <v>0</v>
      </c>
      <c r="G373">
        <v>0</v>
      </c>
      <c r="H373" t="s">
        <v>682</v>
      </c>
      <c r="I373">
        <v>134.5</v>
      </c>
      <c r="J373" t="s">
        <v>2369</v>
      </c>
      <c r="K373" t="s">
        <v>21</v>
      </c>
      <c r="O373">
        <f>IF(I373&lt;&gt;"",I373,訓練データ!$O$19)</f>
        <v>134.5</v>
      </c>
      <c r="P373">
        <f>IF(E373&lt;&gt;"",E373,訓練データ!$O$18)</f>
        <v>31</v>
      </c>
      <c r="R373">
        <f t="shared" si="20"/>
        <v>1</v>
      </c>
      <c r="S373">
        <f t="shared" si="21"/>
        <v>1</v>
      </c>
      <c r="T373">
        <f t="shared" si="21"/>
        <v>0</v>
      </c>
      <c r="U373">
        <f t="shared" si="21"/>
        <v>0</v>
      </c>
      <c r="V373">
        <f t="shared" si="22"/>
        <v>0</v>
      </c>
      <c r="W373">
        <f t="shared" si="22"/>
        <v>0</v>
      </c>
      <c r="X373">
        <f t="shared" si="22"/>
        <v>1</v>
      </c>
    </row>
    <row r="374" spans="1:24" x14ac:dyDescent="0.4">
      <c r="A374">
        <v>1264</v>
      </c>
      <c r="B374">
        <v>1</v>
      </c>
      <c r="C374" t="s">
        <v>2370</v>
      </c>
      <c r="D374" t="s">
        <v>13</v>
      </c>
      <c r="E374">
        <v>49</v>
      </c>
      <c r="F374">
        <v>0</v>
      </c>
      <c r="G374">
        <v>0</v>
      </c>
      <c r="H374" t="s">
        <v>1605</v>
      </c>
      <c r="I374">
        <v>0</v>
      </c>
      <c r="J374" t="s">
        <v>2371</v>
      </c>
      <c r="K374" t="s">
        <v>16</v>
      </c>
      <c r="O374">
        <f>IF(I374&lt;&gt;"",I374,訓練データ!$O$19)</f>
        <v>0</v>
      </c>
      <c r="P374">
        <f>IF(E374&lt;&gt;"",E374,訓練データ!$O$18)</f>
        <v>49</v>
      </c>
      <c r="R374">
        <f t="shared" si="20"/>
        <v>0</v>
      </c>
      <c r="S374">
        <f t="shared" si="21"/>
        <v>1</v>
      </c>
      <c r="T374">
        <f t="shared" si="21"/>
        <v>0</v>
      </c>
      <c r="U374">
        <f t="shared" si="21"/>
        <v>0</v>
      </c>
      <c r="V374">
        <f t="shared" si="22"/>
        <v>1</v>
      </c>
      <c r="W374">
        <f t="shared" si="22"/>
        <v>0</v>
      </c>
      <c r="X374">
        <f t="shared" si="22"/>
        <v>0</v>
      </c>
    </row>
    <row r="375" spans="1:24" x14ac:dyDescent="0.4">
      <c r="A375">
        <v>1265</v>
      </c>
      <c r="B375">
        <v>2</v>
      </c>
      <c r="C375" t="s">
        <v>2372</v>
      </c>
      <c r="D375" t="s">
        <v>13</v>
      </c>
      <c r="E375">
        <v>44</v>
      </c>
      <c r="F375">
        <v>0</v>
      </c>
      <c r="G375">
        <v>0</v>
      </c>
      <c r="H375" t="s">
        <v>2373</v>
      </c>
      <c r="I375">
        <v>13</v>
      </c>
      <c r="J375" t="s">
        <v>15</v>
      </c>
      <c r="K375" t="s">
        <v>16</v>
      </c>
      <c r="O375">
        <f>IF(I375&lt;&gt;"",I375,訓練データ!$O$19)</f>
        <v>13</v>
      </c>
      <c r="P375">
        <f>IF(E375&lt;&gt;"",E375,訓練データ!$O$18)</f>
        <v>44</v>
      </c>
      <c r="R375">
        <f t="shared" si="20"/>
        <v>0</v>
      </c>
      <c r="S375">
        <f t="shared" si="21"/>
        <v>0</v>
      </c>
      <c r="T375">
        <f t="shared" si="21"/>
        <v>1</v>
      </c>
      <c r="U375">
        <f t="shared" si="21"/>
        <v>0</v>
      </c>
      <c r="V375">
        <f t="shared" si="22"/>
        <v>1</v>
      </c>
      <c r="W375">
        <f t="shared" si="22"/>
        <v>0</v>
      </c>
      <c r="X375">
        <f t="shared" si="22"/>
        <v>0</v>
      </c>
    </row>
    <row r="376" spans="1:24" x14ac:dyDescent="0.4">
      <c r="A376">
        <v>1266</v>
      </c>
      <c r="B376">
        <v>1</v>
      </c>
      <c r="C376" t="s">
        <v>2374</v>
      </c>
      <c r="D376" t="s">
        <v>18</v>
      </c>
      <c r="E376">
        <v>54</v>
      </c>
      <c r="F376">
        <v>1</v>
      </c>
      <c r="G376">
        <v>1</v>
      </c>
      <c r="H376" t="s">
        <v>916</v>
      </c>
      <c r="I376">
        <v>81.8583</v>
      </c>
      <c r="J376" t="s">
        <v>917</v>
      </c>
      <c r="K376" t="s">
        <v>16</v>
      </c>
      <c r="O376">
        <f>IF(I376&lt;&gt;"",I376,訓練データ!$O$19)</f>
        <v>81.8583</v>
      </c>
      <c r="P376">
        <f>IF(E376&lt;&gt;"",E376,訓練データ!$O$18)</f>
        <v>54</v>
      </c>
      <c r="R376">
        <f t="shared" si="20"/>
        <v>1</v>
      </c>
      <c r="S376">
        <f t="shared" si="21"/>
        <v>1</v>
      </c>
      <c r="T376">
        <f t="shared" si="21"/>
        <v>0</v>
      </c>
      <c r="U376">
        <f t="shared" si="21"/>
        <v>0</v>
      </c>
      <c r="V376">
        <f t="shared" si="22"/>
        <v>1</v>
      </c>
      <c r="W376">
        <f t="shared" si="22"/>
        <v>0</v>
      </c>
      <c r="X376">
        <f t="shared" si="22"/>
        <v>0</v>
      </c>
    </row>
    <row r="377" spans="1:24" x14ac:dyDescent="0.4">
      <c r="A377">
        <v>1267</v>
      </c>
      <c r="B377">
        <v>1</v>
      </c>
      <c r="C377" t="s">
        <v>2375</v>
      </c>
      <c r="D377" t="s">
        <v>18</v>
      </c>
      <c r="E377">
        <v>45</v>
      </c>
      <c r="F377">
        <v>0</v>
      </c>
      <c r="G377">
        <v>0</v>
      </c>
      <c r="H377" t="s">
        <v>665</v>
      </c>
      <c r="I377">
        <v>262.375</v>
      </c>
      <c r="J377" t="s">
        <v>15</v>
      </c>
      <c r="K377" t="s">
        <v>21</v>
      </c>
      <c r="O377">
        <f>IF(I377&lt;&gt;"",I377,訓練データ!$O$19)</f>
        <v>262.375</v>
      </c>
      <c r="P377">
        <f>IF(E377&lt;&gt;"",E377,訓練データ!$O$18)</f>
        <v>45</v>
      </c>
      <c r="R377">
        <f t="shared" si="20"/>
        <v>1</v>
      </c>
      <c r="S377">
        <f t="shared" si="21"/>
        <v>1</v>
      </c>
      <c r="T377">
        <f t="shared" si="21"/>
        <v>0</v>
      </c>
      <c r="U377">
        <f t="shared" si="21"/>
        <v>0</v>
      </c>
      <c r="V377">
        <f t="shared" si="22"/>
        <v>0</v>
      </c>
      <c r="W377">
        <f t="shared" si="22"/>
        <v>0</v>
      </c>
      <c r="X377">
        <f t="shared" si="22"/>
        <v>1</v>
      </c>
    </row>
    <row r="378" spans="1:24" x14ac:dyDescent="0.4">
      <c r="A378">
        <v>1268</v>
      </c>
      <c r="B378">
        <v>3</v>
      </c>
      <c r="C378" t="s">
        <v>2376</v>
      </c>
      <c r="D378" t="s">
        <v>18</v>
      </c>
      <c r="E378">
        <v>22</v>
      </c>
      <c r="F378">
        <v>2</v>
      </c>
      <c r="G378">
        <v>0</v>
      </c>
      <c r="H378" t="s">
        <v>2377</v>
      </c>
      <c r="I378">
        <v>8.6624999999999996</v>
      </c>
      <c r="J378" t="s">
        <v>15</v>
      </c>
      <c r="K378" t="s">
        <v>16</v>
      </c>
      <c r="O378">
        <f>IF(I378&lt;&gt;"",I378,訓練データ!$O$19)</f>
        <v>8.6624999999999996</v>
      </c>
      <c r="P378">
        <f>IF(E378&lt;&gt;"",E378,訓練データ!$O$18)</f>
        <v>22</v>
      </c>
      <c r="R378">
        <f t="shared" si="20"/>
        <v>1</v>
      </c>
      <c r="S378">
        <f t="shared" si="21"/>
        <v>0</v>
      </c>
      <c r="T378">
        <f t="shared" si="21"/>
        <v>0</v>
      </c>
      <c r="U378">
        <f t="shared" si="21"/>
        <v>1</v>
      </c>
      <c r="V378">
        <f t="shared" si="22"/>
        <v>1</v>
      </c>
      <c r="W378">
        <f t="shared" si="22"/>
        <v>0</v>
      </c>
      <c r="X378">
        <f t="shared" si="22"/>
        <v>0</v>
      </c>
    </row>
    <row r="379" spans="1:24" x14ac:dyDescent="0.4">
      <c r="A379">
        <v>1269</v>
      </c>
      <c r="B379">
        <v>2</v>
      </c>
      <c r="C379" t="s">
        <v>2378</v>
      </c>
      <c r="D379" t="s">
        <v>13</v>
      </c>
      <c r="E379">
        <v>21</v>
      </c>
      <c r="F379">
        <v>0</v>
      </c>
      <c r="G379">
        <v>0</v>
      </c>
      <c r="H379" t="s">
        <v>2379</v>
      </c>
      <c r="I379">
        <v>11.5</v>
      </c>
      <c r="J379" t="s">
        <v>15</v>
      </c>
      <c r="K379" t="s">
        <v>16</v>
      </c>
      <c r="O379">
        <f>IF(I379&lt;&gt;"",I379,訓練データ!$O$19)</f>
        <v>11.5</v>
      </c>
      <c r="P379">
        <f>IF(E379&lt;&gt;"",E379,訓練データ!$O$18)</f>
        <v>21</v>
      </c>
      <c r="R379">
        <f t="shared" si="20"/>
        <v>0</v>
      </c>
      <c r="S379">
        <f t="shared" si="21"/>
        <v>0</v>
      </c>
      <c r="T379">
        <f t="shared" si="21"/>
        <v>1</v>
      </c>
      <c r="U379">
        <f t="shared" si="21"/>
        <v>0</v>
      </c>
      <c r="V379">
        <f t="shared" si="22"/>
        <v>1</v>
      </c>
      <c r="W379">
        <f t="shared" si="22"/>
        <v>0</v>
      </c>
      <c r="X379">
        <f t="shared" si="22"/>
        <v>0</v>
      </c>
    </row>
    <row r="380" spans="1:24" x14ac:dyDescent="0.4">
      <c r="A380">
        <v>1270</v>
      </c>
      <c r="B380">
        <v>1</v>
      </c>
      <c r="C380" t="s">
        <v>2380</v>
      </c>
      <c r="D380" t="s">
        <v>13</v>
      </c>
      <c r="E380">
        <v>55</v>
      </c>
      <c r="F380">
        <v>0</v>
      </c>
      <c r="G380">
        <v>0</v>
      </c>
      <c r="H380" t="s">
        <v>2381</v>
      </c>
      <c r="I380">
        <v>50</v>
      </c>
      <c r="J380" t="s">
        <v>2382</v>
      </c>
      <c r="K380" t="s">
        <v>16</v>
      </c>
      <c r="O380">
        <f>IF(I380&lt;&gt;"",I380,訓練データ!$O$19)</f>
        <v>50</v>
      </c>
      <c r="P380">
        <f>IF(E380&lt;&gt;"",E380,訓練データ!$O$18)</f>
        <v>55</v>
      </c>
      <c r="R380">
        <f t="shared" si="20"/>
        <v>0</v>
      </c>
      <c r="S380">
        <f t="shared" si="21"/>
        <v>1</v>
      </c>
      <c r="T380">
        <f t="shared" si="21"/>
        <v>0</v>
      </c>
      <c r="U380">
        <f t="shared" si="21"/>
        <v>0</v>
      </c>
      <c r="V380">
        <f t="shared" si="22"/>
        <v>1</v>
      </c>
      <c r="W380">
        <f t="shared" si="22"/>
        <v>0</v>
      </c>
      <c r="X380">
        <f t="shared" si="22"/>
        <v>0</v>
      </c>
    </row>
    <row r="381" spans="1:24" x14ac:dyDescent="0.4">
      <c r="A381">
        <v>1271</v>
      </c>
      <c r="B381">
        <v>3</v>
      </c>
      <c r="C381" t="s">
        <v>2383</v>
      </c>
      <c r="D381" t="s">
        <v>13</v>
      </c>
      <c r="E381">
        <v>5</v>
      </c>
      <c r="F381">
        <v>4</v>
      </c>
      <c r="G381">
        <v>2</v>
      </c>
      <c r="H381" t="s">
        <v>75</v>
      </c>
      <c r="I381">
        <v>31.387499999999999</v>
      </c>
      <c r="J381" t="s">
        <v>15</v>
      </c>
      <c r="K381" t="s">
        <v>16</v>
      </c>
      <c r="O381">
        <f>IF(I381&lt;&gt;"",I381,訓練データ!$O$19)</f>
        <v>31.387499999999999</v>
      </c>
      <c r="P381">
        <f>IF(E381&lt;&gt;"",E381,訓練データ!$O$18)</f>
        <v>5</v>
      </c>
      <c r="R381">
        <f t="shared" si="20"/>
        <v>0</v>
      </c>
      <c r="S381">
        <f t="shared" si="21"/>
        <v>0</v>
      </c>
      <c r="T381">
        <f t="shared" si="21"/>
        <v>0</v>
      </c>
      <c r="U381">
        <f t="shared" si="21"/>
        <v>1</v>
      </c>
      <c r="V381">
        <f t="shared" si="22"/>
        <v>1</v>
      </c>
      <c r="W381">
        <f t="shared" si="22"/>
        <v>0</v>
      </c>
      <c r="X381">
        <f t="shared" si="22"/>
        <v>0</v>
      </c>
    </row>
    <row r="382" spans="1:24" x14ac:dyDescent="0.4">
      <c r="A382">
        <v>1272</v>
      </c>
      <c r="B382">
        <v>3</v>
      </c>
      <c r="C382" t="s">
        <v>2384</v>
      </c>
      <c r="D382" t="s">
        <v>13</v>
      </c>
      <c r="F382">
        <v>0</v>
      </c>
      <c r="G382">
        <v>0</v>
      </c>
      <c r="H382" t="s">
        <v>2385</v>
      </c>
      <c r="I382">
        <v>7.75</v>
      </c>
      <c r="J382" t="s">
        <v>15</v>
      </c>
      <c r="K382" t="s">
        <v>31</v>
      </c>
      <c r="O382">
        <f>IF(I382&lt;&gt;"",I382,訓練データ!$O$19)</f>
        <v>7.75</v>
      </c>
      <c r="P382">
        <f>IF(E382&lt;&gt;"",E382,訓練データ!$O$18)</f>
        <v>28</v>
      </c>
      <c r="R382">
        <f t="shared" si="20"/>
        <v>0</v>
      </c>
      <c r="S382">
        <f t="shared" si="21"/>
        <v>0</v>
      </c>
      <c r="T382">
        <f t="shared" si="21"/>
        <v>0</v>
      </c>
      <c r="U382">
        <f t="shared" si="21"/>
        <v>1</v>
      </c>
      <c r="V382">
        <f t="shared" si="22"/>
        <v>0</v>
      </c>
      <c r="W382">
        <f t="shared" si="22"/>
        <v>1</v>
      </c>
      <c r="X382">
        <f t="shared" si="22"/>
        <v>0</v>
      </c>
    </row>
    <row r="383" spans="1:24" x14ac:dyDescent="0.4">
      <c r="A383">
        <v>1273</v>
      </c>
      <c r="B383">
        <v>3</v>
      </c>
      <c r="C383" t="s">
        <v>2386</v>
      </c>
      <c r="D383" t="s">
        <v>13</v>
      </c>
      <c r="E383">
        <v>26</v>
      </c>
      <c r="F383">
        <v>0</v>
      </c>
      <c r="G383">
        <v>0</v>
      </c>
      <c r="H383" t="s">
        <v>2387</v>
      </c>
      <c r="I383">
        <v>7.8792</v>
      </c>
      <c r="J383" t="s">
        <v>15</v>
      </c>
      <c r="K383" t="s">
        <v>31</v>
      </c>
      <c r="O383">
        <f>IF(I383&lt;&gt;"",I383,訓練データ!$O$19)</f>
        <v>7.8792</v>
      </c>
      <c r="P383">
        <f>IF(E383&lt;&gt;"",E383,訓練データ!$O$18)</f>
        <v>26</v>
      </c>
      <c r="R383">
        <f t="shared" si="20"/>
        <v>0</v>
      </c>
      <c r="S383">
        <f t="shared" si="21"/>
        <v>0</v>
      </c>
      <c r="T383">
        <f t="shared" si="21"/>
        <v>0</v>
      </c>
      <c r="U383">
        <f t="shared" si="21"/>
        <v>1</v>
      </c>
      <c r="V383">
        <f t="shared" si="22"/>
        <v>0</v>
      </c>
      <c r="W383">
        <f t="shared" si="22"/>
        <v>1</v>
      </c>
      <c r="X383">
        <f t="shared" si="22"/>
        <v>0</v>
      </c>
    </row>
    <row r="384" spans="1:24" x14ac:dyDescent="0.4">
      <c r="A384">
        <v>1274</v>
      </c>
      <c r="B384">
        <v>3</v>
      </c>
      <c r="C384" t="s">
        <v>2388</v>
      </c>
      <c r="D384" t="s">
        <v>18</v>
      </c>
      <c r="F384">
        <v>0</v>
      </c>
      <c r="G384">
        <v>0</v>
      </c>
      <c r="H384" t="s">
        <v>1099</v>
      </c>
      <c r="I384">
        <v>14.5</v>
      </c>
      <c r="J384" t="s">
        <v>15</v>
      </c>
      <c r="K384" t="s">
        <v>16</v>
      </c>
      <c r="O384">
        <f>IF(I384&lt;&gt;"",I384,訓練データ!$O$19)</f>
        <v>14.5</v>
      </c>
      <c r="P384">
        <f>IF(E384&lt;&gt;"",E384,訓練データ!$O$18)</f>
        <v>28</v>
      </c>
      <c r="R384">
        <f t="shared" si="20"/>
        <v>1</v>
      </c>
      <c r="S384">
        <f t="shared" si="21"/>
        <v>0</v>
      </c>
      <c r="T384">
        <f t="shared" si="21"/>
        <v>0</v>
      </c>
      <c r="U384">
        <f t="shared" si="21"/>
        <v>1</v>
      </c>
      <c r="V384">
        <f t="shared" si="22"/>
        <v>1</v>
      </c>
      <c r="W384">
        <f t="shared" si="22"/>
        <v>0</v>
      </c>
      <c r="X384">
        <f t="shared" si="22"/>
        <v>0</v>
      </c>
    </row>
    <row r="385" spans="1:24" x14ac:dyDescent="0.4">
      <c r="A385">
        <v>1275</v>
      </c>
      <c r="B385">
        <v>3</v>
      </c>
      <c r="C385" t="s">
        <v>2389</v>
      </c>
      <c r="D385" t="s">
        <v>18</v>
      </c>
      <c r="E385">
        <v>19</v>
      </c>
      <c r="F385">
        <v>1</v>
      </c>
      <c r="G385">
        <v>0</v>
      </c>
      <c r="H385" t="s">
        <v>1475</v>
      </c>
      <c r="I385">
        <v>16.100000000000001</v>
      </c>
      <c r="J385" t="s">
        <v>15</v>
      </c>
      <c r="K385" t="s">
        <v>16</v>
      </c>
      <c r="O385">
        <f>IF(I385&lt;&gt;"",I385,訓練データ!$O$19)</f>
        <v>16.100000000000001</v>
      </c>
      <c r="P385">
        <f>IF(E385&lt;&gt;"",E385,訓練データ!$O$18)</f>
        <v>19</v>
      </c>
      <c r="R385">
        <f t="shared" si="20"/>
        <v>1</v>
      </c>
      <c r="S385">
        <f t="shared" si="21"/>
        <v>0</v>
      </c>
      <c r="T385">
        <f t="shared" si="21"/>
        <v>0</v>
      </c>
      <c r="U385">
        <f t="shared" si="21"/>
        <v>1</v>
      </c>
      <c r="V385">
        <f t="shared" si="22"/>
        <v>1</v>
      </c>
      <c r="W385">
        <f t="shared" si="22"/>
        <v>0</v>
      </c>
      <c r="X385">
        <f t="shared" si="22"/>
        <v>0</v>
      </c>
    </row>
    <row r="386" spans="1:24" x14ac:dyDescent="0.4">
      <c r="A386">
        <v>1276</v>
      </c>
      <c r="B386">
        <v>2</v>
      </c>
      <c r="C386" t="s">
        <v>2390</v>
      </c>
      <c r="D386" t="s">
        <v>13</v>
      </c>
      <c r="F386">
        <v>0</v>
      </c>
      <c r="G386">
        <v>0</v>
      </c>
      <c r="H386" t="s">
        <v>2391</v>
      </c>
      <c r="I386">
        <v>12.875</v>
      </c>
      <c r="J386" t="s">
        <v>15</v>
      </c>
      <c r="K386" t="s">
        <v>16</v>
      </c>
      <c r="O386">
        <f>IF(I386&lt;&gt;"",I386,訓練データ!$O$19)</f>
        <v>12.875</v>
      </c>
      <c r="P386">
        <f>IF(E386&lt;&gt;"",E386,訓練データ!$O$18)</f>
        <v>28</v>
      </c>
      <c r="R386">
        <f t="shared" ref="R386:R419" si="23">IF(D386="male",0,1)</f>
        <v>0</v>
      </c>
      <c r="S386">
        <f t="shared" si="21"/>
        <v>0</v>
      </c>
      <c r="T386">
        <f t="shared" si="21"/>
        <v>1</v>
      </c>
      <c r="U386">
        <f t="shared" si="21"/>
        <v>0</v>
      </c>
      <c r="V386">
        <f t="shared" si="22"/>
        <v>1</v>
      </c>
      <c r="W386">
        <f t="shared" si="22"/>
        <v>0</v>
      </c>
      <c r="X386">
        <f t="shared" si="22"/>
        <v>0</v>
      </c>
    </row>
    <row r="387" spans="1:24" x14ac:dyDescent="0.4">
      <c r="A387">
        <v>1277</v>
      </c>
      <c r="B387">
        <v>2</v>
      </c>
      <c r="C387" t="s">
        <v>2392</v>
      </c>
      <c r="D387" t="s">
        <v>18</v>
      </c>
      <c r="E387">
        <v>24</v>
      </c>
      <c r="F387">
        <v>1</v>
      </c>
      <c r="G387">
        <v>2</v>
      </c>
      <c r="H387" t="s">
        <v>1241</v>
      </c>
      <c r="I387">
        <v>65</v>
      </c>
      <c r="J387" t="s">
        <v>15</v>
      </c>
      <c r="K387" t="s">
        <v>16</v>
      </c>
      <c r="O387">
        <f>IF(I387&lt;&gt;"",I387,訓練データ!$O$19)</f>
        <v>65</v>
      </c>
      <c r="P387">
        <f>IF(E387&lt;&gt;"",E387,訓練データ!$O$18)</f>
        <v>24</v>
      </c>
      <c r="R387">
        <f t="shared" si="23"/>
        <v>1</v>
      </c>
      <c r="S387">
        <f t="shared" ref="S387:U419" si="24">IF("Pclass_"&amp;$B387=S$1,1,0)</f>
        <v>0</v>
      </c>
      <c r="T387">
        <f t="shared" si="24"/>
        <v>1</v>
      </c>
      <c r="U387">
        <f t="shared" si="24"/>
        <v>0</v>
      </c>
      <c r="V387">
        <f t="shared" ref="V387:X419" si="25">IF($K387=RIGHT(V$1,1),1,0)</f>
        <v>1</v>
      </c>
      <c r="W387">
        <f t="shared" si="25"/>
        <v>0</v>
      </c>
      <c r="X387">
        <f t="shared" si="25"/>
        <v>0</v>
      </c>
    </row>
    <row r="388" spans="1:24" x14ac:dyDescent="0.4">
      <c r="A388">
        <v>1278</v>
      </c>
      <c r="B388">
        <v>3</v>
      </c>
      <c r="C388" t="s">
        <v>2393</v>
      </c>
      <c r="D388" t="s">
        <v>13</v>
      </c>
      <c r="E388">
        <v>24</v>
      </c>
      <c r="F388">
        <v>0</v>
      </c>
      <c r="G388">
        <v>0</v>
      </c>
      <c r="H388" t="s">
        <v>2394</v>
      </c>
      <c r="I388">
        <v>7.7750000000000004</v>
      </c>
      <c r="J388" t="s">
        <v>15</v>
      </c>
      <c r="K388" t="s">
        <v>16</v>
      </c>
      <c r="O388">
        <f>IF(I388&lt;&gt;"",I388,訓練データ!$O$19)</f>
        <v>7.7750000000000004</v>
      </c>
      <c r="P388">
        <f>IF(E388&lt;&gt;"",E388,訓練データ!$O$18)</f>
        <v>24</v>
      </c>
      <c r="R388">
        <f t="shared" si="23"/>
        <v>0</v>
      </c>
      <c r="S388">
        <f t="shared" si="24"/>
        <v>0</v>
      </c>
      <c r="T388">
        <f t="shared" si="24"/>
        <v>0</v>
      </c>
      <c r="U388">
        <f t="shared" si="24"/>
        <v>1</v>
      </c>
      <c r="V388">
        <f t="shared" si="25"/>
        <v>1</v>
      </c>
      <c r="W388">
        <f t="shared" si="25"/>
        <v>0</v>
      </c>
      <c r="X388">
        <f t="shared" si="25"/>
        <v>0</v>
      </c>
    </row>
    <row r="389" spans="1:24" x14ac:dyDescent="0.4">
      <c r="A389">
        <v>1279</v>
      </c>
      <c r="B389">
        <v>2</v>
      </c>
      <c r="C389" t="s">
        <v>2395</v>
      </c>
      <c r="D389" t="s">
        <v>13</v>
      </c>
      <c r="E389">
        <v>57</v>
      </c>
      <c r="F389">
        <v>0</v>
      </c>
      <c r="G389">
        <v>0</v>
      </c>
      <c r="H389" t="s">
        <v>2396</v>
      </c>
      <c r="I389">
        <v>13</v>
      </c>
      <c r="J389" t="s">
        <v>15</v>
      </c>
      <c r="K389" t="s">
        <v>16</v>
      </c>
      <c r="O389">
        <f>IF(I389&lt;&gt;"",I389,訓練データ!$O$19)</f>
        <v>13</v>
      </c>
      <c r="P389">
        <f>IF(E389&lt;&gt;"",E389,訓練データ!$O$18)</f>
        <v>57</v>
      </c>
      <c r="R389">
        <f t="shared" si="23"/>
        <v>0</v>
      </c>
      <c r="S389">
        <f t="shared" si="24"/>
        <v>0</v>
      </c>
      <c r="T389">
        <f t="shared" si="24"/>
        <v>1</v>
      </c>
      <c r="U389">
        <f t="shared" si="24"/>
        <v>0</v>
      </c>
      <c r="V389">
        <f t="shared" si="25"/>
        <v>1</v>
      </c>
      <c r="W389">
        <f t="shared" si="25"/>
        <v>0</v>
      </c>
      <c r="X389">
        <f t="shared" si="25"/>
        <v>0</v>
      </c>
    </row>
    <row r="390" spans="1:24" x14ac:dyDescent="0.4">
      <c r="A390">
        <v>1280</v>
      </c>
      <c r="B390">
        <v>3</v>
      </c>
      <c r="C390" t="s">
        <v>2397</v>
      </c>
      <c r="D390" t="s">
        <v>13</v>
      </c>
      <c r="E390">
        <v>21</v>
      </c>
      <c r="F390">
        <v>0</v>
      </c>
      <c r="G390">
        <v>0</v>
      </c>
      <c r="H390" t="s">
        <v>2398</v>
      </c>
      <c r="I390">
        <v>7.75</v>
      </c>
      <c r="J390" t="s">
        <v>15</v>
      </c>
      <c r="K390" t="s">
        <v>31</v>
      </c>
      <c r="O390">
        <f>IF(I390&lt;&gt;"",I390,訓練データ!$O$19)</f>
        <v>7.75</v>
      </c>
      <c r="P390">
        <f>IF(E390&lt;&gt;"",E390,訓練データ!$O$18)</f>
        <v>21</v>
      </c>
      <c r="R390">
        <f t="shared" si="23"/>
        <v>0</v>
      </c>
      <c r="S390">
        <f t="shared" si="24"/>
        <v>0</v>
      </c>
      <c r="T390">
        <f t="shared" si="24"/>
        <v>0</v>
      </c>
      <c r="U390">
        <f t="shared" si="24"/>
        <v>1</v>
      </c>
      <c r="V390">
        <f t="shared" si="25"/>
        <v>0</v>
      </c>
      <c r="W390">
        <f t="shared" si="25"/>
        <v>1</v>
      </c>
      <c r="X390">
        <f t="shared" si="25"/>
        <v>0</v>
      </c>
    </row>
    <row r="391" spans="1:24" x14ac:dyDescent="0.4">
      <c r="A391">
        <v>1281</v>
      </c>
      <c r="B391">
        <v>3</v>
      </c>
      <c r="C391" t="s">
        <v>2399</v>
      </c>
      <c r="D391" t="s">
        <v>13</v>
      </c>
      <c r="E391">
        <v>6</v>
      </c>
      <c r="F391">
        <v>3</v>
      </c>
      <c r="G391">
        <v>1</v>
      </c>
      <c r="H391" t="s">
        <v>36</v>
      </c>
      <c r="I391">
        <v>21.074999999999999</v>
      </c>
      <c r="J391" t="s">
        <v>15</v>
      </c>
      <c r="K391" t="s">
        <v>16</v>
      </c>
      <c r="O391">
        <f>IF(I391&lt;&gt;"",I391,訓練データ!$O$19)</f>
        <v>21.074999999999999</v>
      </c>
      <c r="P391">
        <f>IF(E391&lt;&gt;"",E391,訓練データ!$O$18)</f>
        <v>6</v>
      </c>
      <c r="R391">
        <f t="shared" si="23"/>
        <v>0</v>
      </c>
      <c r="S391">
        <f t="shared" si="24"/>
        <v>0</v>
      </c>
      <c r="T391">
        <f t="shared" si="24"/>
        <v>0</v>
      </c>
      <c r="U391">
        <f t="shared" si="24"/>
        <v>1</v>
      </c>
      <c r="V391">
        <f t="shared" si="25"/>
        <v>1</v>
      </c>
      <c r="W391">
        <f t="shared" si="25"/>
        <v>0</v>
      </c>
      <c r="X391">
        <f t="shared" si="25"/>
        <v>0</v>
      </c>
    </row>
    <row r="392" spans="1:24" x14ac:dyDescent="0.4">
      <c r="A392">
        <v>1282</v>
      </c>
      <c r="B392">
        <v>1</v>
      </c>
      <c r="C392" t="s">
        <v>2400</v>
      </c>
      <c r="D392" t="s">
        <v>13</v>
      </c>
      <c r="E392">
        <v>23</v>
      </c>
      <c r="F392">
        <v>0</v>
      </c>
      <c r="G392">
        <v>0</v>
      </c>
      <c r="H392" t="s">
        <v>1064</v>
      </c>
      <c r="I392">
        <v>93.5</v>
      </c>
      <c r="J392" t="s">
        <v>2401</v>
      </c>
      <c r="K392" t="s">
        <v>16</v>
      </c>
      <c r="O392">
        <f>IF(I392&lt;&gt;"",I392,訓練データ!$O$19)</f>
        <v>93.5</v>
      </c>
      <c r="P392">
        <f>IF(E392&lt;&gt;"",E392,訓練データ!$O$18)</f>
        <v>23</v>
      </c>
      <c r="R392">
        <f t="shared" si="23"/>
        <v>0</v>
      </c>
      <c r="S392">
        <f t="shared" si="24"/>
        <v>1</v>
      </c>
      <c r="T392">
        <f t="shared" si="24"/>
        <v>0</v>
      </c>
      <c r="U392">
        <f t="shared" si="24"/>
        <v>0</v>
      </c>
      <c r="V392">
        <f t="shared" si="25"/>
        <v>1</v>
      </c>
      <c r="W392">
        <f t="shared" si="25"/>
        <v>0</v>
      </c>
      <c r="X392">
        <f t="shared" si="25"/>
        <v>0</v>
      </c>
    </row>
    <row r="393" spans="1:24" x14ac:dyDescent="0.4">
      <c r="A393">
        <v>1283</v>
      </c>
      <c r="B393">
        <v>1</v>
      </c>
      <c r="C393" t="s">
        <v>2402</v>
      </c>
      <c r="D393" t="s">
        <v>18</v>
      </c>
      <c r="E393">
        <v>51</v>
      </c>
      <c r="F393">
        <v>0</v>
      </c>
      <c r="G393">
        <v>1</v>
      </c>
      <c r="H393" t="s">
        <v>1668</v>
      </c>
      <c r="I393">
        <v>39.4</v>
      </c>
      <c r="J393" t="s">
        <v>1669</v>
      </c>
      <c r="K393" t="s">
        <v>16</v>
      </c>
      <c r="O393">
        <f>IF(I393&lt;&gt;"",I393,訓練データ!$O$19)</f>
        <v>39.4</v>
      </c>
      <c r="P393">
        <f>IF(E393&lt;&gt;"",E393,訓練データ!$O$18)</f>
        <v>51</v>
      </c>
      <c r="R393">
        <f t="shared" si="23"/>
        <v>1</v>
      </c>
      <c r="S393">
        <f t="shared" si="24"/>
        <v>1</v>
      </c>
      <c r="T393">
        <f t="shared" si="24"/>
        <v>0</v>
      </c>
      <c r="U393">
        <f t="shared" si="24"/>
        <v>0</v>
      </c>
      <c r="V393">
        <f t="shared" si="25"/>
        <v>1</v>
      </c>
      <c r="W393">
        <f t="shared" si="25"/>
        <v>0</v>
      </c>
      <c r="X393">
        <f t="shared" si="25"/>
        <v>0</v>
      </c>
    </row>
    <row r="394" spans="1:24" x14ac:dyDescent="0.4">
      <c r="A394">
        <v>1284</v>
      </c>
      <c r="B394">
        <v>3</v>
      </c>
      <c r="C394" t="s">
        <v>2403</v>
      </c>
      <c r="D394" t="s">
        <v>13</v>
      </c>
      <c r="E394">
        <v>13</v>
      </c>
      <c r="F394">
        <v>0</v>
      </c>
      <c r="G394">
        <v>2</v>
      </c>
      <c r="H394" t="s">
        <v>596</v>
      </c>
      <c r="I394">
        <v>20.25</v>
      </c>
      <c r="J394" t="s">
        <v>15</v>
      </c>
      <c r="K394" t="s">
        <v>16</v>
      </c>
      <c r="O394">
        <f>IF(I394&lt;&gt;"",I394,訓練データ!$O$19)</f>
        <v>20.25</v>
      </c>
      <c r="P394">
        <f>IF(E394&lt;&gt;"",E394,訓練データ!$O$18)</f>
        <v>13</v>
      </c>
      <c r="R394">
        <f t="shared" si="23"/>
        <v>0</v>
      </c>
      <c r="S394">
        <f t="shared" si="24"/>
        <v>0</v>
      </c>
      <c r="T394">
        <f t="shared" si="24"/>
        <v>0</v>
      </c>
      <c r="U394">
        <f t="shared" si="24"/>
        <v>1</v>
      </c>
      <c r="V394">
        <f t="shared" si="25"/>
        <v>1</v>
      </c>
      <c r="W394">
        <f t="shared" si="25"/>
        <v>0</v>
      </c>
      <c r="X394">
        <f t="shared" si="25"/>
        <v>0</v>
      </c>
    </row>
    <row r="395" spans="1:24" x14ac:dyDescent="0.4">
      <c r="A395">
        <v>1285</v>
      </c>
      <c r="B395">
        <v>2</v>
      </c>
      <c r="C395" t="s">
        <v>2404</v>
      </c>
      <c r="D395" t="s">
        <v>13</v>
      </c>
      <c r="E395">
        <v>47</v>
      </c>
      <c r="F395">
        <v>0</v>
      </c>
      <c r="G395">
        <v>0</v>
      </c>
      <c r="H395" t="s">
        <v>2405</v>
      </c>
      <c r="I395">
        <v>10.5</v>
      </c>
      <c r="J395" t="s">
        <v>15</v>
      </c>
      <c r="K395" t="s">
        <v>16</v>
      </c>
      <c r="O395">
        <f>IF(I395&lt;&gt;"",I395,訓練データ!$O$19)</f>
        <v>10.5</v>
      </c>
      <c r="P395">
        <f>IF(E395&lt;&gt;"",E395,訓練データ!$O$18)</f>
        <v>47</v>
      </c>
      <c r="R395">
        <f t="shared" si="23"/>
        <v>0</v>
      </c>
      <c r="S395">
        <f t="shared" si="24"/>
        <v>0</v>
      </c>
      <c r="T395">
        <f t="shared" si="24"/>
        <v>1</v>
      </c>
      <c r="U395">
        <f t="shared" si="24"/>
        <v>0</v>
      </c>
      <c r="V395">
        <f t="shared" si="25"/>
        <v>1</v>
      </c>
      <c r="W395">
        <f t="shared" si="25"/>
        <v>0</v>
      </c>
      <c r="X395">
        <f t="shared" si="25"/>
        <v>0</v>
      </c>
    </row>
    <row r="396" spans="1:24" x14ac:dyDescent="0.4">
      <c r="A396">
        <v>1286</v>
      </c>
      <c r="B396">
        <v>3</v>
      </c>
      <c r="C396" t="s">
        <v>2406</v>
      </c>
      <c r="D396" t="s">
        <v>13</v>
      </c>
      <c r="E396">
        <v>29</v>
      </c>
      <c r="F396">
        <v>3</v>
      </c>
      <c r="G396">
        <v>1</v>
      </c>
      <c r="H396" t="s">
        <v>402</v>
      </c>
      <c r="I396">
        <v>22.024999999999999</v>
      </c>
      <c r="J396" t="s">
        <v>15</v>
      </c>
      <c r="K396" t="s">
        <v>16</v>
      </c>
      <c r="O396">
        <f>IF(I396&lt;&gt;"",I396,訓練データ!$O$19)</f>
        <v>22.024999999999999</v>
      </c>
      <c r="P396">
        <f>IF(E396&lt;&gt;"",E396,訓練データ!$O$18)</f>
        <v>29</v>
      </c>
      <c r="R396">
        <f t="shared" si="23"/>
        <v>0</v>
      </c>
      <c r="S396">
        <f t="shared" si="24"/>
        <v>0</v>
      </c>
      <c r="T396">
        <f t="shared" si="24"/>
        <v>0</v>
      </c>
      <c r="U396">
        <f t="shared" si="24"/>
        <v>1</v>
      </c>
      <c r="V396">
        <f t="shared" si="25"/>
        <v>1</v>
      </c>
      <c r="W396">
        <f t="shared" si="25"/>
        <v>0</v>
      </c>
      <c r="X396">
        <f t="shared" si="25"/>
        <v>0</v>
      </c>
    </row>
    <row r="397" spans="1:24" x14ac:dyDescent="0.4">
      <c r="A397">
        <v>1287</v>
      </c>
      <c r="B397">
        <v>1</v>
      </c>
      <c r="C397" t="s">
        <v>2407</v>
      </c>
      <c r="D397" t="s">
        <v>18</v>
      </c>
      <c r="E397">
        <v>18</v>
      </c>
      <c r="F397">
        <v>1</v>
      </c>
      <c r="G397">
        <v>0</v>
      </c>
      <c r="H397" t="s">
        <v>1827</v>
      </c>
      <c r="I397">
        <v>60</v>
      </c>
      <c r="J397" t="s">
        <v>1828</v>
      </c>
      <c r="K397" t="s">
        <v>16</v>
      </c>
      <c r="O397">
        <f>IF(I397&lt;&gt;"",I397,訓練データ!$O$19)</f>
        <v>60</v>
      </c>
      <c r="P397">
        <f>IF(E397&lt;&gt;"",E397,訓練データ!$O$18)</f>
        <v>18</v>
      </c>
      <c r="R397">
        <f t="shared" si="23"/>
        <v>1</v>
      </c>
      <c r="S397">
        <f t="shared" si="24"/>
        <v>1</v>
      </c>
      <c r="T397">
        <f t="shared" si="24"/>
        <v>0</v>
      </c>
      <c r="U397">
        <f t="shared" si="24"/>
        <v>0</v>
      </c>
      <c r="V397">
        <f t="shared" si="25"/>
        <v>1</v>
      </c>
      <c r="W397">
        <f t="shared" si="25"/>
        <v>0</v>
      </c>
      <c r="X397">
        <f t="shared" si="25"/>
        <v>0</v>
      </c>
    </row>
    <row r="398" spans="1:24" x14ac:dyDescent="0.4">
      <c r="A398">
        <v>1288</v>
      </c>
      <c r="B398">
        <v>3</v>
      </c>
      <c r="C398" t="s">
        <v>2408</v>
      </c>
      <c r="D398" t="s">
        <v>13</v>
      </c>
      <c r="E398">
        <v>24</v>
      </c>
      <c r="F398">
        <v>0</v>
      </c>
      <c r="G398">
        <v>0</v>
      </c>
      <c r="H398" t="s">
        <v>2409</v>
      </c>
      <c r="I398">
        <v>7.25</v>
      </c>
      <c r="J398" t="s">
        <v>15</v>
      </c>
      <c r="K398" t="s">
        <v>31</v>
      </c>
      <c r="O398">
        <f>IF(I398&lt;&gt;"",I398,訓練データ!$O$19)</f>
        <v>7.25</v>
      </c>
      <c r="P398">
        <f>IF(E398&lt;&gt;"",E398,訓練データ!$O$18)</f>
        <v>24</v>
      </c>
      <c r="R398">
        <f t="shared" si="23"/>
        <v>0</v>
      </c>
      <c r="S398">
        <f t="shared" si="24"/>
        <v>0</v>
      </c>
      <c r="T398">
        <f t="shared" si="24"/>
        <v>0</v>
      </c>
      <c r="U398">
        <f t="shared" si="24"/>
        <v>1</v>
      </c>
      <c r="V398">
        <f t="shared" si="25"/>
        <v>0</v>
      </c>
      <c r="W398">
        <f t="shared" si="25"/>
        <v>1</v>
      </c>
      <c r="X398">
        <f t="shared" si="25"/>
        <v>0</v>
      </c>
    </row>
    <row r="399" spans="1:24" x14ac:dyDescent="0.4">
      <c r="A399">
        <v>1289</v>
      </c>
      <c r="B399">
        <v>1</v>
      </c>
      <c r="C399" t="s">
        <v>2410</v>
      </c>
      <c r="D399" t="s">
        <v>18</v>
      </c>
      <c r="E399">
        <v>48</v>
      </c>
      <c r="F399">
        <v>1</v>
      </c>
      <c r="G399">
        <v>1</v>
      </c>
      <c r="H399" t="s">
        <v>1192</v>
      </c>
      <c r="I399">
        <v>79.2</v>
      </c>
      <c r="J399" t="s">
        <v>1193</v>
      </c>
      <c r="K399" t="s">
        <v>21</v>
      </c>
      <c r="O399">
        <f>IF(I399&lt;&gt;"",I399,訓練データ!$O$19)</f>
        <v>79.2</v>
      </c>
      <c r="P399">
        <f>IF(E399&lt;&gt;"",E399,訓練データ!$O$18)</f>
        <v>48</v>
      </c>
      <c r="R399">
        <f t="shared" si="23"/>
        <v>1</v>
      </c>
      <c r="S399">
        <f t="shared" si="24"/>
        <v>1</v>
      </c>
      <c r="T399">
        <f t="shared" si="24"/>
        <v>0</v>
      </c>
      <c r="U399">
        <f t="shared" si="24"/>
        <v>0</v>
      </c>
      <c r="V399">
        <f t="shared" si="25"/>
        <v>0</v>
      </c>
      <c r="W399">
        <f t="shared" si="25"/>
        <v>0</v>
      </c>
      <c r="X399">
        <f t="shared" si="25"/>
        <v>1</v>
      </c>
    </row>
    <row r="400" spans="1:24" x14ac:dyDescent="0.4">
      <c r="A400">
        <v>1290</v>
      </c>
      <c r="B400">
        <v>3</v>
      </c>
      <c r="C400" t="s">
        <v>2411</v>
      </c>
      <c r="D400" t="s">
        <v>13</v>
      </c>
      <c r="E400">
        <v>22</v>
      </c>
      <c r="F400">
        <v>0</v>
      </c>
      <c r="G400">
        <v>0</v>
      </c>
      <c r="H400" t="s">
        <v>2412</v>
      </c>
      <c r="I400">
        <v>7.7750000000000004</v>
      </c>
      <c r="J400" t="s">
        <v>15</v>
      </c>
      <c r="K400" t="s">
        <v>16</v>
      </c>
      <c r="O400">
        <f>IF(I400&lt;&gt;"",I400,訓練データ!$O$19)</f>
        <v>7.7750000000000004</v>
      </c>
      <c r="P400">
        <f>IF(E400&lt;&gt;"",E400,訓練データ!$O$18)</f>
        <v>22</v>
      </c>
      <c r="R400">
        <f t="shared" si="23"/>
        <v>0</v>
      </c>
      <c r="S400">
        <f t="shared" si="24"/>
        <v>0</v>
      </c>
      <c r="T400">
        <f t="shared" si="24"/>
        <v>0</v>
      </c>
      <c r="U400">
        <f t="shared" si="24"/>
        <v>1</v>
      </c>
      <c r="V400">
        <f t="shared" si="25"/>
        <v>1</v>
      </c>
      <c r="W400">
        <f t="shared" si="25"/>
        <v>0</v>
      </c>
      <c r="X400">
        <f t="shared" si="25"/>
        <v>0</v>
      </c>
    </row>
    <row r="401" spans="1:24" x14ac:dyDescent="0.4">
      <c r="A401">
        <v>1291</v>
      </c>
      <c r="B401">
        <v>3</v>
      </c>
      <c r="C401" t="s">
        <v>2413</v>
      </c>
      <c r="D401" t="s">
        <v>13</v>
      </c>
      <c r="E401">
        <v>31</v>
      </c>
      <c r="F401">
        <v>0</v>
      </c>
      <c r="G401">
        <v>0</v>
      </c>
      <c r="H401" t="s">
        <v>2414</v>
      </c>
      <c r="I401">
        <v>7.7332999999999998</v>
      </c>
      <c r="J401" t="s">
        <v>15</v>
      </c>
      <c r="K401" t="s">
        <v>31</v>
      </c>
      <c r="O401">
        <f>IF(I401&lt;&gt;"",I401,訓練データ!$O$19)</f>
        <v>7.7332999999999998</v>
      </c>
      <c r="P401">
        <f>IF(E401&lt;&gt;"",E401,訓練データ!$O$18)</f>
        <v>31</v>
      </c>
      <c r="R401">
        <f t="shared" si="23"/>
        <v>0</v>
      </c>
      <c r="S401">
        <f t="shared" si="24"/>
        <v>0</v>
      </c>
      <c r="T401">
        <f t="shared" si="24"/>
        <v>0</v>
      </c>
      <c r="U401">
        <f t="shared" si="24"/>
        <v>1</v>
      </c>
      <c r="V401">
        <f t="shared" si="25"/>
        <v>0</v>
      </c>
      <c r="W401">
        <f t="shared" si="25"/>
        <v>1</v>
      </c>
      <c r="X401">
        <f t="shared" si="25"/>
        <v>0</v>
      </c>
    </row>
    <row r="402" spans="1:24" x14ac:dyDescent="0.4">
      <c r="A402">
        <v>1292</v>
      </c>
      <c r="B402">
        <v>1</v>
      </c>
      <c r="C402" t="s">
        <v>2415</v>
      </c>
      <c r="D402" t="s">
        <v>18</v>
      </c>
      <c r="E402">
        <v>30</v>
      </c>
      <c r="F402">
        <v>0</v>
      </c>
      <c r="G402">
        <v>0</v>
      </c>
      <c r="H402" t="s">
        <v>679</v>
      </c>
      <c r="I402">
        <v>164.86670000000001</v>
      </c>
      <c r="J402" t="s">
        <v>680</v>
      </c>
      <c r="K402" t="s">
        <v>16</v>
      </c>
      <c r="O402">
        <f>IF(I402&lt;&gt;"",I402,訓練データ!$O$19)</f>
        <v>164.86670000000001</v>
      </c>
      <c r="P402">
        <f>IF(E402&lt;&gt;"",E402,訓練データ!$O$18)</f>
        <v>30</v>
      </c>
      <c r="R402">
        <f t="shared" si="23"/>
        <v>1</v>
      </c>
      <c r="S402">
        <f t="shared" si="24"/>
        <v>1</v>
      </c>
      <c r="T402">
        <f t="shared" si="24"/>
        <v>0</v>
      </c>
      <c r="U402">
        <f t="shared" si="24"/>
        <v>0</v>
      </c>
      <c r="V402">
        <f t="shared" si="25"/>
        <v>1</v>
      </c>
      <c r="W402">
        <f t="shared" si="25"/>
        <v>0</v>
      </c>
      <c r="X402">
        <f t="shared" si="25"/>
        <v>0</v>
      </c>
    </row>
    <row r="403" spans="1:24" x14ac:dyDescent="0.4">
      <c r="A403">
        <v>1293</v>
      </c>
      <c r="B403">
        <v>2</v>
      </c>
      <c r="C403" t="s">
        <v>2416</v>
      </c>
      <c r="D403" t="s">
        <v>13</v>
      </c>
      <c r="E403">
        <v>38</v>
      </c>
      <c r="F403">
        <v>1</v>
      </c>
      <c r="G403">
        <v>0</v>
      </c>
      <c r="H403" t="s">
        <v>843</v>
      </c>
      <c r="I403">
        <v>21</v>
      </c>
      <c r="J403" t="s">
        <v>15</v>
      </c>
      <c r="K403" t="s">
        <v>16</v>
      </c>
      <c r="O403">
        <f>IF(I403&lt;&gt;"",I403,訓練データ!$O$19)</f>
        <v>21</v>
      </c>
      <c r="P403">
        <f>IF(E403&lt;&gt;"",E403,訓練データ!$O$18)</f>
        <v>38</v>
      </c>
      <c r="R403">
        <f t="shared" si="23"/>
        <v>0</v>
      </c>
      <c r="S403">
        <f t="shared" si="24"/>
        <v>0</v>
      </c>
      <c r="T403">
        <f t="shared" si="24"/>
        <v>1</v>
      </c>
      <c r="U403">
        <f t="shared" si="24"/>
        <v>0</v>
      </c>
      <c r="V403">
        <f t="shared" si="25"/>
        <v>1</v>
      </c>
      <c r="W403">
        <f t="shared" si="25"/>
        <v>0</v>
      </c>
      <c r="X403">
        <f t="shared" si="25"/>
        <v>0</v>
      </c>
    </row>
    <row r="404" spans="1:24" x14ac:dyDescent="0.4">
      <c r="A404">
        <v>1294</v>
      </c>
      <c r="B404">
        <v>1</v>
      </c>
      <c r="C404" t="s">
        <v>2417</v>
      </c>
      <c r="D404" t="s">
        <v>18</v>
      </c>
      <c r="E404">
        <v>22</v>
      </c>
      <c r="F404">
        <v>0</v>
      </c>
      <c r="G404">
        <v>1</v>
      </c>
      <c r="H404" t="s">
        <v>2363</v>
      </c>
      <c r="I404">
        <v>59.4</v>
      </c>
      <c r="J404" t="s">
        <v>15</v>
      </c>
      <c r="K404" t="s">
        <v>21</v>
      </c>
      <c r="O404">
        <f>IF(I404&lt;&gt;"",I404,訓練データ!$O$19)</f>
        <v>59.4</v>
      </c>
      <c r="P404">
        <f>IF(E404&lt;&gt;"",E404,訓練データ!$O$18)</f>
        <v>22</v>
      </c>
      <c r="R404">
        <f t="shared" si="23"/>
        <v>1</v>
      </c>
      <c r="S404">
        <f t="shared" si="24"/>
        <v>1</v>
      </c>
      <c r="T404">
        <f t="shared" si="24"/>
        <v>0</v>
      </c>
      <c r="U404">
        <f t="shared" si="24"/>
        <v>0</v>
      </c>
      <c r="V404">
        <f t="shared" si="25"/>
        <v>0</v>
      </c>
      <c r="W404">
        <f t="shared" si="25"/>
        <v>0</v>
      </c>
      <c r="X404">
        <f t="shared" si="25"/>
        <v>1</v>
      </c>
    </row>
    <row r="405" spans="1:24" x14ac:dyDescent="0.4">
      <c r="A405">
        <v>1295</v>
      </c>
      <c r="B405">
        <v>1</v>
      </c>
      <c r="C405" t="s">
        <v>2418</v>
      </c>
      <c r="D405" t="s">
        <v>13</v>
      </c>
      <c r="E405">
        <v>17</v>
      </c>
      <c r="F405">
        <v>0</v>
      </c>
      <c r="G405">
        <v>0</v>
      </c>
      <c r="H405" t="s">
        <v>199</v>
      </c>
      <c r="I405">
        <v>47.1</v>
      </c>
      <c r="J405" t="s">
        <v>15</v>
      </c>
      <c r="K405" t="s">
        <v>16</v>
      </c>
      <c r="O405">
        <f>IF(I405&lt;&gt;"",I405,訓練データ!$O$19)</f>
        <v>47.1</v>
      </c>
      <c r="P405">
        <f>IF(E405&lt;&gt;"",E405,訓練データ!$O$18)</f>
        <v>17</v>
      </c>
      <c r="R405">
        <f t="shared" si="23"/>
        <v>0</v>
      </c>
      <c r="S405">
        <f t="shared" si="24"/>
        <v>1</v>
      </c>
      <c r="T405">
        <f t="shared" si="24"/>
        <v>0</v>
      </c>
      <c r="U405">
        <f t="shared" si="24"/>
        <v>0</v>
      </c>
      <c r="V405">
        <f t="shared" si="25"/>
        <v>1</v>
      </c>
      <c r="W405">
        <f t="shared" si="25"/>
        <v>0</v>
      </c>
      <c r="X405">
        <f t="shared" si="25"/>
        <v>0</v>
      </c>
    </row>
    <row r="406" spans="1:24" x14ac:dyDescent="0.4">
      <c r="A406">
        <v>1296</v>
      </c>
      <c r="B406">
        <v>1</v>
      </c>
      <c r="C406" t="s">
        <v>2419</v>
      </c>
      <c r="D406" t="s">
        <v>13</v>
      </c>
      <c r="E406">
        <v>43</v>
      </c>
      <c r="F406">
        <v>1</v>
      </c>
      <c r="G406">
        <v>0</v>
      </c>
      <c r="H406" t="s">
        <v>2420</v>
      </c>
      <c r="I406">
        <v>27.720800000000001</v>
      </c>
      <c r="J406" t="s">
        <v>2421</v>
      </c>
      <c r="K406" t="s">
        <v>21</v>
      </c>
      <c r="O406">
        <f>IF(I406&lt;&gt;"",I406,訓練データ!$O$19)</f>
        <v>27.720800000000001</v>
      </c>
      <c r="P406">
        <f>IF(E406&lt;&gt;"",E406,訓練データ!$O$18)</f>
        <v>43</v>
      </c>
      <c r="R406">
        <f t="shared" si="23"/>
        <v>0</v>
      </c>
      <c r="S406">
        <f t="shared" si="24"/>
        <v>1</v>
      </c>
      <c r="T406">
        <f t="shared" si="24"/>
        <v>0</v>
      </c>
      <c r="U406">
        <f t="shared" si="24"/>
        <v>0</v>
      </c>
      <c r="V406">
        <f t="shared" si="25"/>
        <v>0</v>
      </c>
      <c r="W406">
        <f t="shared" si="25"/>
        <v>0</v>
      </c>
      <c r="X406">
        <f t="shared" si="25"/>
        <v>1</v>
      </c>
    </row>
    <row r="407" spans="1:24" x14ac:dyDescent="0.4">
      <c r="A407">
        <v>1297</v>
      </c>
      <c r="B407">
        <v>2</v>
      </c>
      <c r="C407" t="s">
        <v>2422</v>
      </c>
      <c r="D407" t="s">
        <v>13</v>
      </c>
      <c r="E407">
        <v>20</v>
      </c>
      <c r="F407">
        <v>0</v>
      </c>
      <c r="G407">
        <v>0</v>
      </c>
      <c r="H407" t="s">
        <v>2423</v>
      </c>
      <c r="I407">
        <v>13.862500000000001</v>
      </c>
      <c r="J407" t="s">
        <v>2424</v>
      </c>
      <c r="K407" t="s">
        <v>21</v>
      </c>
      <c r="O407">
        <f>IF(I407&lt;&gt;"",I407,訓練データ!$O$19)</f>
        <v>13.862500000000001</v>
      </c>
      <c r="P407">
        <f>IF(E407&lt;&gt;"",E407,訓練データ!$O$18)</f>
        <v>20</v>
      </c>
      <c r="R407">
        <f t="shared" si="23"/>
        <v>0</v>
      </c>
      <c r="S407">
        <f t="shared" si="24"/>
        <v>0</v>
      </c>
      <c r="T407">
        <f t="shared" si="24"/>
        <v>1</v>
      </c>
      <c r="U407">
        <f t="shared" si="24"/>
        <v>0</v>
      </c>
      <c r="V407">
        <f t="shared" si="25"/>
        <v>0</v>
      </c>
      <c r="W407">
        <f t="shared" si="25"/>
        <v>0</v>
      </c>
      <c r="X407">
        <f t="shared" si="25"/>
        <v>1</v>
      </c>
    </row>
    <row r="408" spans="1:24" x14ac:dyDescent="0.4">
      <c r="A408">
        <v>1298</v>
      </c>
      <c r="B408">
        <v>2</v>
      </c>
      <c r="C408" t="s">
        <v>2425</v>
      </c>
      <c r="D408" t="s">
        <v>13</v>
      </c>
      <c r="E408">
        <v>23</v>
      </c>
      <c r="F408">
        <v>1</v>
      </c>
      <c r="G408">
        <v>0</v>
      </c>
      <c r="H408" t="s">
        <v>2426</v>
      </c>
      <c r="I408">
        <v>10.5</v>
      </c>
      <c r="J408" t="s">
        <v>15</v>
      </c>
      <c r="K408" t="s">
        <v>16</v>
      </c>
      <c r="O408">
        <f>IF(I408&lt;&gt;"",I408,訓練データ!$O$19)</f>
        <v>10.5</v>
      </c>
      <c r="P408">
        <f>IF(E408&lt;&gt;"",E408,訓練データ!$O$18)</f>
        <v>23</v>
      </c>
      <c r="R408">
        <f t="shared" si="23"/>
        <v>0</v>
      </c>
      <c r="S408">
        <f t="shared" si="24"/>
        <v>0</v>
      </c>
      <c r="T408">
        <f t="shared" si="24"/>
        <v>1</v>
      </c>
      <c r="U408">
        <f t="shared" si="24"/>
        <v>0</v>
      </c>
      <c r="V408">
        <f t="shared" si="25"/>
        <v>1</v>
      </c>
      <c r="W408">
        <f t="shared" si="25"/>
        <v>0</v>
      </c>
      <c r="X408">
        <f t="shared" si="25"/>
        <v>0</v>
      </c>
    </row>
    <row r="409" spans="1:24" x14ac:dyDescent="0.4">
      <c r="A409">
        <v>1299</v>
      </c>
      <c r="B409">
        <v>1</v>
      </c>
      <c r="C409" t="s">
        <v>2427</v>
      </c>
      <c r="D409" t="s">
        <v>13</v>
      </c>
      <c r="E409">
        <v>50</v>
      </c>
      <c r="F409">
        <v>1</v>
      </c>
      <c r="G409">
        <v>1</v>
      </c>
      <c r="H409" t="s">
        <v>791</v>
      </c>
      <c r="I409">
        <v>211.5</v>
      </c>
      <c r="J409" t="s">
        <v>2119</v>
      </c>
      <c r="K409" t="s">
        <v>21</v>
      </c>
      <c r="O409">
        <f>IF(I409&lt;&gt;"",I409,訓練データ!$O$19)</f>
        <v>211.5</v>
      </c>
      <c r="P409">
        <f>IF(E409&lt;&gt;"",E409,訓練データ!$O$18)</f>
        <v>50</v>
      </c>
      <c r="R409">
        <f t="shared" si="23"/>
        <v>0</v>
      </c>
      <c r="S409">
        <f t="shared" si="24"/>
        <v>1</v>
      </c>
      <c r="T409">
        <f t="shared" si="24"/>
        <v>0</v>
      </c>
      <c r="U409">
        <f t="shared" si="24"/>
        <v>0</v>
      </c>
      <c r="V409">
        <f t="shared" si="25"/>
        <v>0</v>
      </c>
      <c r="W409">
        <f t="shared" si="25"/>
        <v>0</v>
      </c>
      <c r="X409">
        <f t="shared" si="25"/>
        <v>1</v>
      </c>
    </row>
    <row r="410" spans="1:24" x14ac:dyDescent="0.4">
      <c r="A410">
        <v>1300</v>
      </c>
      <c r="B410">
        <v>3</v>
      </c>
      <c r="C410" t="s">
        <v>2428</v>
      </c>
      <c r="D410" t="s">
        <v>18</v>
      </c>
      <c r="F410">
        <v>0</v>
      </c>
      <c r="G410">
        <v>0</v>
      </c>
      <c r="H410" t="s">
        <v>2429</v>
      </c>
      <c r="I410">
        <v>7.7207999999999997</v>
      </c>
      <c r="J410" t="s">
        <v>15</v>
      </c>
      <c r="K410" t="s">
        <v>31</v>
      </c>
      <c r="O410">
        <f>IF(I410&lt;&gt;"",I410,訓練データ!$O$19)</f>
        <v>7.7207999999999997</v>
      </c>
      <c r="P410">
        <f>IF(E410&lt;&gt;"",E410,訓練データ!$O$18)</f>
        <v>28</v>
      </c>
      <c r="R410">
        <f t="shared" si="23"/>
        <v>1</v>
      </c>
      <c r="S410">
        <f t="shared" si="24"/>
        <v>0</v>
      </c>
      <c r="T410">
        <f t="shared" si="24"/>
        <v>0</v>
      </c>
      <c r="U410">
        <f t="shared" si="24"/>
        <v>1</v>
      </c>
      <c r="V410">
        <f t="shared" si="25"/>
        <v>0</v>
      </c>
      <c r="W410">
        <f t="shared" si="25"/>
        <v>1</v>
      </c>
      <c r="X410">
        <f t="shared" si="25"/>
        <v>0</v>
      </c>
    </row>
    <row r="411" spans="1:24" x14ac:dyDescent="0.4">
      <c r="A411">
        <v>1301</v>
      </c>
      <c r="B411">
        <v>3</v>
      </c>
      <c r="C411" t="s">
        <v>2430</v>
      </c>
      <c r="D411" t="s">
        <v>18</v>
      </c>
      <c r="E411">
        <v>3</v>
      </c>
      <c r="F411">
        <v>1</v>
      </c>
      <c r="G411">
        <v>1</v>
      </c>
      <c r="H411" t="s">
        <v>2022</v>
      </c>
      <c r="I411">
        <v>13.775</v>
      </c>
      <c r="J411" t="s">
        <v>15</v>
      </c>
      <c r="K411" t="s">
        <v>16</v>
      </c>
      <c r="O411">
        <f>IF(I411&lt;&gt;"",I411,訓練データ!$O$19)</f>
        <v>13.775</v>
      </c>
      <c r="P411">
        <f>IF(E411&lt;&gt;"",E411,訓練データ!$O$18)</f>
        <v>3</v>
      </c>
      <c r="R411">
        <f t="shared" si="23"/>
        <v>1</v>
      </c>
      <c r="S411">
        <f t="shared" si="24"/>
        <v>0</v>
      </c>
      <c r="T411">
        <f t="shared" si="24"/>
        <v>0</v>
      </c>
      <c r="U411">
        <f t="shared" si="24"/>
        <v>1</v>
      </c>
      <c r="V411">
        <f t="shared" si="25"/>
        <v>1</v>
      </c>
      <c r="W411">
        <f t="shared" si="25"/>
        <v>0</v>
      </c>
      <c r="X411">
        <f t="shared" si="25"/>
        <v>0</v>
      </c>
    </row>
    <row r="412" spans="1:24" x14ac:dyDescent="0.4">
      <c r="A412">
        <v>1302</v>
      </c>
      <c r="B412">
        <v>3</v>
      </c>
      <c r="C412" t="s">
        <v>2431</v>
      </c>
      <c r="D412" t="s">
        <v>18</v>
      </c>
      <c r="F412">
        <v>0</v>
      </c>
      <c r="G412">
        <v>0</v>
      </c>
      <c r="H412" t="s">
        <v>2432</v>
      </c>
      <c r="I412">
        <v>7.75</v>
      </c>
      <c r="J412" t="s">
        <v>15</v>
      </c>
      <c r="K412" t="s">
        <v>31</v>
      </c>
      <c r="O412">
        <f>IF(I412&lt;&gt;"",I412,訓練データ!$O$19)</f>
        <v>7.75</v>
      </c>
      <c r="P412">
        <f>IF(E412&lt;&gt;"",E412,訓練データ!$O$18)</f>
        <v>28</v>
      </c>
      <c r="R412">
        <f t="shared" si="23"/>
        <v>1</v>
      </c>
      <c r="S412">
        <f t="shared" si="24"/>
        <v>0</v>
      </c>
      <c r="T412">
        <f t="shared" si="24"/>
        <v>0</v>
      </c>
      <c r="U412">
        <f t="shared" si="24"/>
        <v>1</v>
      </c>
      <c r="V412">
        <f t="shared" si="25"/>
        <v>0</v>
      </c>
      <c r="W412">
        <f t="shared" si="25"/>
        <v>1</v>
      </c>
      <c r="X412">
        <f t="shared" si="25"/>
        <v>0</v>
      </c>
    </row>
    <row r="413" spans="1:24" x14ac:dyDescent="0.4">
      <c r="A413">
        <v>1303</v>
      </c>
      <c r="B413">
        <v>1</v>
      </c>
      <c r="C413" t="s">
        <v>2433</v>
      </c>
      <c r="D413" t="s">
        <v>18</v>
      </c>
      <c r="E413">
        <v>37</v>
      </c>
      <c r="F413">
        <v>1</v>
      </c>
      <c r="G413">
        <v>0</v>
      </c>
      <c r="H413" t="s">
        <v>523</v>
      </c>
      <c r="I413">
        <v>90</v>
      </c>
      <c r="J413" t="s">
        <v>524</v>
      </c>
      <c r="K413" t="s">
        <v>31</v>
      </c>
      <c r="O413">
        <f>IF(I413&lt;&gt;"",I413,訓練データ!$O$19)</f>
        <v>90</v>
      </c>
      <c r="P413">
        <f>IF(E413&lt;&gt;"",E413,訓練データ!$O$18)</f>
        <v>37</v>
      </c>
      <c r="R413">
        <f t="shared" si="23"/>
        <v>1</v>
      </c>
      <c r="S413">
        <f t="shared" si="24"/>
        <v>1</v>
      </c>
      <c r="T413">
        <f t="shared" si="24"/>
        <v>0</v>
      </c>
      <c r="U413">
        <f t="shared" si="24"/>
        <v>0</v>
      </c>
      <c r="V413">
        <f t="shared" si="25"/>
        <v>0</v>
      </c>
      <c r="W413">
        <f t="shared" si="25"/>
        <v>1</v>
      </c>
      <c r="X413">
        <f t="shared" si="25"/>
        <v>0</v>
      </c>
    </row>
    <row r="414" spans="1:24" x14ac:dyDescent="0.4">
      <c r="A414">
        <v>1304</v>
      </c>
      <c r="B414">
        <v>3</v>
      </c>
      <c r="C414" t="s">
        <v>2434</v>
      </c>
      <c r="D414" t="s">
        <v>18</v>
      </c>
      <c r="E414">
        <v>28</v>
      </c>
      <c r="F414">
        <v>0</v>
      </c>
      <c r="G414">
        <v>0</v>
      </c>
      <c r="H414" t="s">
        <v>2435</v>
      </c>
      <c r="I414">
        <v>7.7750000000000004</v>
      </c>
      <c r="J414" t="s">
        <v>15</v>
      </c>
      <c r="K414" t="s">
        <v>16</v>
      </c>
      <c r="O414">
        <f>IF(I414&lt;&gt;"",I414,訓練データ!$O$19)</f>
        <v>7.7750000000000004</v>
      </c>
      <c r="P414">
        <f>IF(E414&lt;&gt;"",E414,訓練データ!$O$18)</f>
        <v>28</v>
      </c>
      <c r="R414">
        <f t="shared" si="23"/>
        <v>1</v>
      </c>
      <c r="S414">
        <f t="shared" si="24"/>
        <v>0</v>
      </c>
      <c r="T414">
        <f t="shared" si="24"/>
        <v>0</v>
      </c>
      <c r="U414">
        <f t="shared" si="24"/>
        <v>1</v>
      </c>
      <c r="V414">
        <f t="shared" si="25"/>
        <v>1</v>
      </c>
      <c r="W414">
        <f t="shared" si="25"/>
        <v>0</v>
      </c>
      <c r="X414">
        <f t="shared" si="25"/>
        <v>0</v>
      </c>
    </row>
    <row r="415" spans="1:24" x14ac:dyDescent="0.4">
      <c r="A415">
        <v>1305</v>
      </c>
      <c r="B415">
        <v>3</v>
      </c>
      <c r="C415" t="s">
        <v>2436</v>
      </c>
      <c r="D415" t="s">
        <v>13</v>
      </c>
      <c r="F415">
        <v>0</v>
      </c>
      <c r="G415">
        <v>0</v>
      </c>
      <c r="H415" t="s">
        <v>2437</v>
      </c>
      <c r="I415">
        <v>8.0500000000000007</v>
      </c>
      <c r="J415" t="s">
        <v>15</v>
      </c>
      <c r="K415" t="s">
        <v>16</v>
      </c>
      <c r="O415">
        <f>IF(I415&lt;&gt;"",I415,訓練データ!$O$19)</f>
        <v>8.0500000000000007</v>
      </c>
      <c r="P415">
        <f>IF(E415&lt;&gt;"",E415,訓練データ!$O$18)</f>
        <v>28</v>
      </c>
      <c r="R415">
        <f t="shared" si="23"/>
        <v>0</v>
      </c>
      <c r="S415">
        <f t="shared" si="24"/>
        <v>0</v>
      </c>
      <c r="T415">
        <f t="shared" si="24"/>
        <v>0</v>
      </c>
      <c r="U415">
        <f t="shared" si="24"/>
        <v>1</v>
      </c>
      <c r="V415">
        <f t="shared" si="25"/>
        <v>1</v>
      </c>
      <c r="W415">
        <f t="shared" si="25"/>
        <v>0</v>
      </c>
      <c r="X415">
        <f t="shared" si="25"/>
        <v>0</v>
      </c>
    </row>
    <row r="416" spans="1:24" x14ac:dyDescent="0.4">
      <c r="A416">
        <v>1306</v>
      </c>
      <c r="B416">
        <v>1</v>
      </c>
      <c r="C416" t="s">
        <v>2438</v>
      </c>
      <c r="D416" t="s">
        <v>18</v>
      </c>
      <c r="E416">
        <v>39</v>
      </c>
      <c r="F416">
        <v>0</v>
      </c>
      <c r="G416">
        <v>0</v>
      </c>
      <c r="H416" t="s">
        <v>654</v>
      </c>
      <c r="I416">
        <v>108.9</v>
      </c>
      <c r="J416" t="s">
        <v>2439</v>
      </c>
      <c r="K416" t="s">
        <v>21</v>
      </c>
      <c r="O416">
        <f>IF(I416&lt;&gt;"",I416,訓練データ!$O$19)</f>
        <v>108.9</v>
      </c>
      <c r="P416">
        <f>IF(E416&lt;&gt;"",E416,訓練データ!$O$18)</f>
        <v>39</v>
      </c>
      <c r="R416">
        <f t="shared" si="23"/>
        <v>1</v>
      </c>
      <c r="S416">
        <f t="shared" si="24"/>
        <v>1</v>
      </c>
      <c r="T416">
        <f t="shared" si="24"/>
        <v>0</v>
      </c>
      <c r="U416">
        <f t="shared" si="24"/>
        <v>0</v>
      </c>
      <c r="V416">
        <f t="shared" si="25"/>
        <v>0</v>
      </c>
      <c r="W416">
        <f t="shared" si="25"/>
        <v>0</v>
      </c>
      <c r="X416">
        <f t="shared" si="25"/>
        <v>1</v>
      </c>
    </row>
    <row r="417" spans="1:24" x14ac:dyDescent="0.4">
      <c r="A417">
        <v>1307</v>
      </c>
      <c r="B417">
        <v>3</v>
      </c>
      <c r="C417" t="s">
        <v>2440</v>
      </c>
      <c r="D417" t="s">
        <v>13</v>
      </c>
      <c r="E417">
        <v>38.5</v>
      </c>
      <c r="F417">
        <v>0</v>
      </c>
      <c r="G417">
        <v>0</v>
      </c>
      <c r="H417" t="s">
        <v>2441</v>
      </c>
      <c r="I417">
        <v>7.25</v>
      </c>
      <c r="J417" t="s">
        <v>15</v>
      </c>
      <c r="K417" t="s">
        <v>16</v>
      </c>
      <c r="O417">
        <f>IF(I417&lt;&gt;"",I417,訓練データ!$O$19)</f>
        <v>7.25</v>
      </c>
      <c r="P417">
        <f>IF(E417&lt;&gt;"",E417,訓練データ!$O$18)</f>
        <v>38.5</v>
      </c>
      <c r="R417">
        <f t="shared" si="23"/>
        <v>0</v>
      </c>
      <c r="S417">
        <f t="shared" si="24"/>
        <v>0</v>
      </c>
      <c r="T417">
        <f t="shared" si="24"/>
        <v>0</v>
      </c>
      <c r="U417">
        <f t="shared" si="24"/>
        <v>1</v>
      </c>
      <c r="V417">
        <f t="shared" si="25"/>
        <v>1</v>
      </c>
      <c r="W417">
        <f t="shared" si="25"/>
        <v>0</v>
      </c>
      <c r="X417">
        <f t="shared" si="25"/>
        <v>0</v>
      </c>
    </row>
    <row r="418" spans="1:24" x14ac:dyDescent="0.4">
      <c r="A418">
        <v>1308</v>
      </c>
      <c r="B418">
        <v>3</v>
      </c>
      <c r="C418" t="s">
        <v>2442</v>
      </c>
      <c r="D418" t="s">
        <v>13</v>
      </c>
      <c r="F418">
        <v>0</v>
      </c>
      <c r="G418">
        <v>0</v>
      </c>
      <c r="H418" t="s">
        <v>2443</v>
      </c>
      <c r="I418">
        <v>8.0500000000000007</v>
      </c>
      <c r="J418" t="s">
        <v>15</v>
      </c>
      <c r="K418" t="s">
        <v>16</v>
      </c>
      <c r="O418">
        <f>IF(I418&lt;&gt;"",I418,訓練データ!$O$19)</f>
        <v>8.0500000000000007</v>
      </c>
      <c r="P418">
        <f>IF(E418&lt;&gt;"",E418,訓練データ!$O$18)</f>
        <v>28</v>
      </c>
      <c r="R418">
        <f t="shared" si="23"/>
        <v>0</v>
      </c>
      <c r="S418">
        <f t="shared" si="24"/>
        <v>0</v>
      </c>
      <c r="T418">
        <f t="shared" si="24"/>
        <v>0</v>
      </c>
      <c r="U418">
        <f t="shared" si="24"/>
        <v>1</v>
      </c>
      <c r="V418">
        <f t="shared" si="25"/>
        <v>1</v>
      </c>
      <c r="W418">
        <f t="shared" si="25"/>
        <v>0</v>
      </c>
      <c r="X418">
        <f t="shared" si="25"/>
        <v>0</v>
      </c>
    </row>
    <row r="419" spans="1:24" x14ac:dyDescent="0.4">
      <c r="A419">
        <v>1309</v>
      </c>
      <c r="B419">
        <v>3</v>
      </c>
      <c r="C419" t="s">
        <v>2444</v>
      </c>
      <c r="D419" t="s">
        <v>13</v>
      </c>
      <c r="F419">
        <v>1</v>
      </c>
      <c r="G419">
        <v>1</v>
      </c>
      <c r="H419" t="s">
        <v>289</v>
      </c>
      <c r="I419">
        <v>22.3583</v>
      </c>
      <c r="J419" t="s">
        <v>15</v>
      </c>
      <c r="K419" t="s">
        <v>21</v>
      </c>
      <c r="O419">
        <f>IF(I419&lt;&gt;"",I419,訓練データ!$O$19)</f>
        <v>22.3583</v>
      </c>
      <c r="P419">
        <f>IF(E419&lt;&gt;"",E419,訓練データ!$O$18)</f>
        <v>28</v>
      </c>
      <c r="R419">
        <f t="shared" si="23"/>
        <v>0</v>
      </c>
      <c r="S419">
        <f t="shared" si="24"/>
        <v>0</v>
      </c>
      <c r="T419">
        <f t="shared" si="24"/>
        <v>0</v>
      </c>
      <c r="U419">
        <f t="shared" si="24"/>
        <v>1</v>
      </c>
      <c r="V419">
        <f t="shared" si="25"/>
        <v>0</v>
      </c>
      <c r="W419">
        <f t="shared" si="25"/>
        <v>0</v>
      </c>
      <c r="X419">
        <f t="shared" si="25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0CDF6-B6F3-4976-8715-D7E237D22F41}">
  <sheetPr codeName="Sheet3"/>
  <dimension ref="A1:S893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8.75" x14ac:dyDescent="0.4"/>
  <cols>
    <col min="1" max="1" width="13.375" customWidth="1"/>
    <col min="2" max="13" width="13" customWidth="1"/>
    <col min="14" max="14" width="9.625" bestFit="1" customWidth="1"/>
    <col min="15" max="15" width="14.875" bestFit="1" customWidth="1"/>
    <col min="17" max="17" width="17.5" bestFit="1" customWidth="1"/>
    <col min="19" max="19" width="27.625" bestFit="1" customWidth="1"/>
  </cols>
  <sheetData>
    <row r="1" spans="1:19" x14ac:dyDescent="0.4">
      <c r="A1" s="7" t="s">
        <v>2481</v>
      </c>
      <c r="B1">
        <v>-0.32192906098434693</v>
      </c>
      <c r="C1">
        <v>-9.3360369317280076E-2</v>
      </c>
      <c r="D1">
        <v>2.3386307727432947E-3</v>
      </c>
      <c r="E1">
        <v>-3.8525488683320556E-2</v>
      </c>
      <c r="F1">
        <v>2.7196060489317997</v>
      </c>
      <c r="G1">
        <v>1.0548834682600896</v>
      </c>
      <c r="H1">
        <v>0.13492782096374903</v>
      </c>
      <c r="I1">
        <v>-1.0947785005854065</v>
      </c>
      <c r="J1">
        <v>-0.23934348891318019</v>
      </c>
      <c r="K1">
        <v>0.13889110067424754</v>
      </c>
      <c r="L1">
        <v>0.19549460647762498</v>
      </c>
      <c r="M1">
        <v>9.5045384366907987E-2</v>
      </c>
      <c r="P1" s="7" t="s">
        <v>2476</v>
      </c>
      <c r="Q1">
        <f>SUM(Q3:Q893)</f>
        <v>-392.51993104375521</v>
      </c>
      <c r="S1" s="10" t="s">
        <v>2511</v>
      </c>
    </row>
    <row r="2" spans="1:19" x14ac:dyDescent="0.4">
      <c r="A2" s="1" t="s">
        <v>0</v>
      </c>
      <c r="B2" s="1" t="s">
        <v>6</v>
      </c>
      <c r="C2" s="1" t="s">
        <v>7</v>
      </c>
      <c r="D2" s="1" t="s">
        <v>9</v>
      </c>
      <c r="E2" s="6" t="s">
        <v>1738</v>
      </c>
      <c r="F2" s="9" t="s">
        <v>2471</v>
      </c>
      <c r="G2" s="9" t="s">
        <v>2458</v>
      </c>
      <c r="H2" s="9" t="s">
        <v>2460</v>
      </c>
      <c r="I2" s="9" t="s">
        <v>2461</v>
      </c>
      <c r="J2" s="9" t="s">
        <v>2452</v>
      </c>
      <c r="K2" s="9" t="s">
        <v>2454</v>
      </c>
      <c r="L2" s="9" t="s">
        <v>2456</v>
      </c>
      <c r="M2" s="11" t="s">
        <v>2475</v>
      </c>
      <c r="N2" s="13" t="s">
        <v>1</v>
      </c>
      <c r="O2" s="10" t="s">
        <v>2478</v>
      </c>
      <c r="P2" s="12" t="s">
        <v>2509</v>
      </c>
      <c r="Q2" s="12" t="s">
        <v>2477</v>
      </c>
      <c r="S2" cm="1">
        <f t="array" ref="S2">SUMPRODUCT((N3:N893=O3:O893)*1)/COUNT(N3:N893)</f>
        <v>0.80471380471380471</v>
      </c>
    </row>
    <row r="3" spans="1:19" x14ac:dyDescent="0.4">
      <c r="A3">
        <v>1</v>
      </c>
      <c r="B3">
        <v>1</v>
      </c>
      <c r="C3">
        <v>0</v>
      </c>
      <c r="D3">
        <v>7.25</v>
      </c>
      <c r="E3">
        <v>22</v>
      </c>
      <c r="F3">
        <v>0</v>
      </c>
      <c r="G3">
        <v>0</v>
      </c>
      <c r="H3">
        <v>0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 s="14">
        <f>IF(P3&gt;0.5,1,0)</f>
        <v>0</v>
      </c>
      <c r="P3">
        <f t="shared" ref="P3:P66" si="0">1/(1+EXP(-SUMPRODUCT(B$1:M$1,B3:M3)))</f>
        <v>8.3814614224318754E-2</v>
      </c>
      <c r="Q3">
        <f>N3*LN(P3)+(1-N3)*LN(1-P3)</f>
        <v>-8.7536548567341985E-2</v>
      </c>
      <c r="S3" s="15" t="s">
        <v>2485</v>
      </c>
    </row>
    <row r="4" spans="1:19" x14ac:dyDescent="0.4">
      <c r="A4">
        <v>2</v>
      </c>
      <c r="B4">
        <v>1</v>
      </c>
      <c r="C4">
        <v>0</v>
      </c>
      <c r="D4">
        <v>71.283299999999997</v>
      </c>
      <c r="E4">
        <v>38</v>
      </c>
      <c r="F4">
        <v>1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1</v>
      </c>
      <c r="N4">
        <v>1</v>
      </c>
      <c r="O4" s="14">
        <f t="shared" ref="O4:O67" si="1">IF(P4&gt;0.5,1,0)</f>
        <v>1</v>
      </c>
      <c r="P4">
        <f t="shared" si="0"/>
        <v>0.92025649957124789</v>
      </c>
      <c r="Q4">
        <f t="shared" ref="Q4:Q67" si="2">N4*LN(P4)+(1-N4)*LN(1-P4)</f>
        <v>-8.3102843915839678E-2</v>
      </c>
      <c r="S4" t="s">
        <v>2492</v>
      </c>
    </row>
    <row r="5" spans="1:19" x14ac:dyDescent="0.4">
      <c r="A5">
        <v>3</v>
      </c>
      <c r="B5">
        <v>0</v>
      </c>
      <c r="C5">
        <v>0</v>
      </c>
      <c r="D5">
        <v>7.9249999999999998</v>
      </c>
      <c r="E5">
        <v>26</v>
      </c>
      <c r="F5">
        <v>1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 s="14">
        <f t="shared" si="1"/>
        <v>1</v>
      </c>
      <c r="P5">
        <f t="shared" si="0"/>
        <v>0.6218482182731575</v>
      </c>
      <c r="Q5">
        <f t="shared" si="2"/>
        <v>-0.47505923809006573</v>
      </c>
      <c r="S5" t="s">
        <v>2494</v>
      </c>
    </row>
    <row r="6" spans="1:19" x14ac:dyDescent="0.4">
      <c r="A6">
        <v>4</v>
      </c>
      <c r="B6">
        <v>1</v>
      </c>
      <c r="C6">
        <v>0</v>
      </c>
      <c r="D6">
        <v>53.1</v>
      </c>
      <c r="E6">
        <v>35</v>
      </c>
      <c r="F6">
        <v>1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1</v>
      </c>
      <c r="N6">
        <v>1</v>
      </c>
      <c r="O6" s="14">
        <f t="shared" si="1"/>
        <v>1</v>
      </c>
      <c r="P6">
        <f t="shared" si="0"/>
        <v>0.88934338193057849</v>
      </c>
      <c r="Q6">
        <f t="shared" si="2"/>
        <v>-0.11727186165617627</v>
      </c>
      <c r="S6" t="s">
        <v>2486</v>
      </c>
    </row>
    <row r="7" spans="1:19" x14ac:dyDescent="0.4">
      <c r="A7">
        <v>5</v>
      </c>
      <c r="B7">
        <v>0</v>
      </c>
      <c r="C7">
        <v>0</v>
      </c>
      <c r="D7">
        <v>8.0500000000000007</v>
      </c>
      <c r="E7">
        <v>35</v>
      </c>
      <c r="F7">
        <v>0</v>
      </c>
      <c r="G7">
        <v>0</v>
      </c>
      <c r="H7">
        <v>0</v>
      </c>
      <c r="I7">
        <v>1</v>
      </c>
      <c r="J7">
        <v>1</v>
      </c>
      <c r="K7">
        <v>0</v>
      </c>
      <c r="L7">
        <v>0</v>
      </c>
      <c r="M7">
        <v>1</v>
      </c>
      <c r="N7">
        <v>0</v>
      </c>
      <c r="O7" s="14">
        <f t="shared" si="1"/>
        <v>0</v>
      </c>
      <c r="P7">
        <f t="shared" si="0"/>
        <v>7.1183990173263934E-2</v>
      </c>
      <c r="Q7">
        <f t="shared" si="2"/>
        <v>-7.38446116381236E-2</v>
      </c>
      <c r="S7" t="s">
        <v>2493</v>
      </c>
    </row>
    <row r="8" spans="1:19" x14ac:dyDescent="0.4">
      <c r="A8">
        <v>6</v>
      </c>
      <c r="B8">
        <v>0</v>
      </c>
      <c r="C8">
        <v>0</v>
      </c>
      <c r="D8">
        <v>8.4582999999999995</v>
      </c>
      <c r="E8">
        <v>28</v>
      </c>
      <c r="F8">
        <v>0</v>
      </c>
      <c r="G8">
        <v>0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 s="14">
        <f t="shared" si="1"/>
        <v>0</v>
      </c>
      <c r="P8">
        <f t="shared" si="0"/>
        <v>0.1278866746780348</v>
      </c>
      <c r="Q8">
        <f t="shared" si="2"/>
        <v>-0.13683590328564529</v>
      </c>
      <c r="S8" t="s">
        <v>2487</v>
      </c>
    </row>
    <row r="9" spans="1:19" x14ac:dyDescent="0.4">
      <c r="A9">
        <v>7</v>
      </c>
      <c r="B9">
        <v>0</v>
      </c>
      <c r="C9">
        <v>0</v>
      </c>
      <c r="D9">
        <v>51.862499999999997</v>
      </c>
      <c r="E9">
        <v>54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1</v>
      </c>
      <c r="N9">
        <v>0</v>
      </c>
      <c r="O9" s="14">
        <f t="shared" si="1"/>
        <v>0</v>
      </c>
      <c r="P9">
        <f t="shared" si="0"/>
        <v>0.25951251832155642</v>
      </c>
      <c r="Q9">
        <f t="shared" si="2"/>
        <v>-0.30044655064547893</v>
      </c>
      <c r="S9" t="s">
        <v>2495</v>
      </c>
    </row>
    <row r="10" spans="1:19" x14ac:dyDescent="0.4">
      <c r="A10">
        <v>8</v>
      </c>
      <c r="B10">
        <v>3</v>
      </c>
      <c r="C10">
        <v>1</v>
      </c>
      <c r="D10">
        <v>21.074999999999999</v>
      </c>
      <c r="E10">
        <v>2</v>
      </c>
      <c r="F10">
        <v>0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0</v>
      </c>
      <c r="O10" s="14">
        <f t="shared" si="1"/>
        <v>0</v>
      </c>
      <c r="P10">
        <f t="shared" si="0"/>
        <v>8.8993354688606349E-2</v>
      </c>
      <c r="Q10">
        <f t="shared" si="2"/>
        <v>-9.3205087224751113E-2</v>
      </c>
      <c r="S10" t="s">
        <v>2488</v>
      </c>
    </row>
    <row r="11" spans="1:19" x14ac:dyDescent="0.4">
      <c r="A11">
        <v>9</v>
      </c>
      <c r="B11">
        <v>0</v>
      </c>
      <c r="C11">
        <v>2</v>
      </c>
      <c r="D11">
        <v>11.1333</v>
      </c>
      <c r="E11">
        <v>27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 s="14">
        <f t="shared" si="1"/>
        <v>1</v>
      </c>
      <c r="P11">
        <f t="shared" si="0"/>
        <v>0.56946217717842595</v>
      </c>
      <c r="Q11">
        <f t="shared" si="2"/>
        <v>-0.56306291238570572</v>
      </c>
      <c r="S11" t="s">
        <v>2489</v>
      </c>
    </row>
    <row r="12" spans="1:19" x14ac:dyDescent="0.4">
      <c r="A12">
        <v>10</v>
      </c>
      <c r="B12">
        <v>1</v>
      </c>
      <c r="C12">
        <v>0</v>
      </c>
      <c r="D12">
        <v>30.070799999999998</v>
      </c>
      <c r="E12">
        <v>14</v>
      </c>
      <c r="F12">
        <v>1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 s="14">
        <f t="shared" si="1"/>
        <v>1</v>
      </c>
      <c r="P12">
        <f t="shared" si="0"/>
        <v>0.91326055287325114</v>
      </c>
      <c r="Q12">
        <f t="shared" si="2"/>
        <v>-9.0734058078405913E-2</v>
      </c>
      <c r="S12" t="s">
        <v>2496</v>
      </c>
    </row>
    <row r="13" spans="1:19" x14ac:dyDescent="0.4">
      <c r="A13">
        <v>11</v>
      </c>
      <c r="B13">
        <v>1</v>
      </c>
      <c r="C13">
        <v>1</v>
      </c>
      <c r="D13">
        <v>16.7</v>
      </c>
      <c r="E13">
        <v>4</v>
      </c>
      <c r="F13">
        <v>1</v>
      </c>
      <c r="G13">
        <v>0</v>
      </c>
      <c r="H13">
        <v>0</v>
      </c>
      <c r="I13">
        <v>1</v>
      </c>
      <c r="J13">
        <v>1</v>
      </c>
      <c r="K13">
        <v>0</v>
      </c>
      <c r="L13">
        <v>0</v>
      </c>
      <c r="M13">
        <v>1</v>
      </c>
      <c r="N13">
        <v>1</v>
      </c>
      <c r="O13" s="14">
        <f t="shared" si="1"/>
        <v>1</v>
      </c>
      <c r="P13">
        <f t="shared" si="0"/>
        <v>0.72115402896967562</v>
      </c>
      <c r="Q13">
        <f t="shared" si="2"/>
        <v>-0.32690253210047748</v>
      </c>
      <c r="S13" t="s">
        <v>2497</v>
      </c>
    </row>
    <row r="14" spans="1:19" x14ac:dyDescent="0.4">
      <c r="A14">
        <v>12</v>
      </c>
      <c r="B14">
        <v>0</v>
      </c>
      <c r="C14">
        <v>0</v>
      </c>
      <c r="D14">
        <v>26.55</v>
      </c>
      <c r="E14">
        <v>58</v>
      </c>
      <c r="F14">
        <v>1</v>
      </c>
      <c r="G14">
        <v>1</v>
      </c>
      <c r="H14">
        <v>0</v>
      </c>
      <c r="I14">
        <v>0</v>
      </c>
      <c r="J14">
        <v>1</v>
      </c>
      <c r="K14">
        <v>0</v>
      </c>
      <c r="L14">
        <v>0</v>
      </c>
      <c r="M14">
        <v>1</v>
      </c>
      <c r="N14">
        <v>1</v>
      </c>
      <c r="O14" s="14">
        <f t="shared" si="1"/>
        <v>1</v>
      </c>
      <c r="P14">
        <f t="shared" si="0"/>
        <v>0.81119652901899963</v>
      </c>
      <c r="Q14">
        <f t="shared" si="2"/>
        <v>-0.20924492497710473</v>
      </c>
      <c r="S14" t="s">
        <v>2490</v>
      </c>
    </row>
    <row r="15" spans="1:19" x14ac:dyDescent="0.4">
      <c r="A15">
        <v>13</v>
      </c>
      <c r="B15">
        <v>0</v>
      </c>
      <c r="C15">
        <v>0</v>
      </c>
      <c r="D15">
        <v>8.0500000000000007</v>
      </c>
      <c r="E15">
        <v>20</v>
      </c>
      <c r="F15">
        <v>0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1</v>
      </c>
      <c r="N15">
        <v>0</v>
      </c>
      <c r="O15" s="14">
        <f t="shared" si="1"/>
        <v>0</v>
      </c>
      <c r="P15">
        <f t="shared" si="0"/>
        <v>0.12017643894881475</v>
      </c>
      <c r="Q15">
        <f t="shared" si="2"/>
        <v>-0.1280338904179287</v>
      </c>
      <c r="S15" t="s">
        <v>2491</v>
      </c>
    </row>
    <row r="16" spans="1:19" x14ac:dyDescent="0.4">
      <c r="A16">
        <v>14</v>
      </c>
      <c r="B16">
        <v>1</v>
      </c>
      <c r="C16">
        <v>5</v>
      </c>
      <c r="D16">
        <v>31.274999999999999</v>
      </c>
      <c r="E16">
        <v>39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1</v>
      </c>
      <c r="N16">
        <v>0</v>
      </c>
      <c r="O16" s="14">
        <f t="shared" si="1"/>
        <v>0</v>
      </c>
      <c r="P16">
        <f t="shared" si="0"/>
        <v>3.0556022266168617E-2</v>
      </c>
      <c r="Q16">
        <f t="shared" si="2"/>
        <v>-3.1032590668534081E-2</v>
      </c>
      <c r="S16" t="s">
        <v>2498</v>
      </c>
    </row>
    <row r="17" spans="1:19" x14ac:dyDescent="0.4">
      <c r="A17">
        <v>15</v>
      </c>
      <c r="B17">
        <v>0</v>
      </c>
      <c r="C17">
        <v>0</v>
      </c>
      <c r="D17">
        <v>7.8541999999999996</v>
      </c>
      <c r="E17">
        <v>14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1</v>
      </c>
      <c r="N17">
        <v>0</v>
      </c>
      <c r="O17" s="14">
        <f t="shared" si="1"/>
        <v>1</v>
      </c>
      <c r="P17">
        <f t="shared" si="0"/>
        <v>0.72302983139268118</v>
      </c>
      <c r="Q17">
        <f t="shared" si="2"/>
        <v>-1.2838454731526896</v>
      </c>
    </row>
    <row r="18" spans="1:19" x14ac:dyDescent="0.4">
      <c r="A18">
        <v>16</v>
      </c>
      <c r="B18">
        <v>0</v>
      </c>
      <c r="C18">
        <v>0</v>
      </c>
      <c r="D18">
        <v>16</v>
      </c>
      <c r="E18">
        <v>55</v>
      </c>
      <c r="F18">
        <v>1</v>
      </c>
      <c r="G18">
        <v>0</v>
      </c>
      <c r="H18">
        <v>1</v>
      </c>
      <c r="I18">
        <v>0</v>
      </c>
      <c r="J18">
        <v>1</v>
      </c>
      <c r="K18">
        <v>0</v>
      </c>
      <c r="L18">
        <v>0</v>
      </c>
      <c r="M18">
        <v>1</v>
      </c>
      <c r="N18">
        <v>1</v>
      </c>
      <c r="O18" s="14">
        <f t="shared" si="1"/>
        <v>1</v>
      </c>
      <c r="P18">
        <f t="shared" si="0"/>
        <v>0.6522064236481383</v>
      </c>
      <c r="Q18">
        <f t="shared" si="2"/>
        <v>-0.42739416647557726</v>
      </c>
      <c r="S18" s="15" t="s">
        <v>2501</v>
      </c>
    </row>
    <row r="19" spans="1:19" x14ac:dyDescent="0.4">
      <c r="A19">
        <v>17</v>
      </c>
      <c r="B19">
        <v>4</v>
      </c>
      <c r="C19">
        <v>1</v>
      </c>
      <c r="D19">
        <v>29.125</v>
      </c>
      <c r="E19">
        <v>2</v>
      </c>
      <c r="F19">
        <v>0</v>
      </c>
      <c r="G19">
        <v>0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 s="14">
        <f t="shared" si="1"/>
        <v>0</v>
      </c>
      <c r="P19">
        <f t="shared" si="0"/>
        <v>9.5275568772582558E-2</v>
      </c>
      <c r="Q19">
        <f t="shared" si="2"/>
        <v>-0.1001248775318014</v>
      </c>
      <c r="S19" s="16" t="s">
        <v>2499</v>
      </c>
    </row>
    <row r="20" spans="1:19" x14ac:dyDescent="0.4">
      <c r="A20">
        <v>18</v>
      </c>
      <c r="B20">
        <v>0</v>
      </c>
      <c r="C20">
        <v>0</v>
      </c>
      <c r="D20">
        <v>13</v>
      </c>
      <c r="E20">
        <v>28</v>
      </c>
      <c r="F20">
        <v>0</v>
      </c>
      <c r="G20">
        <v>0</v>
      </c>
      <c r="H20">
        <v>1</v>
      </c>
      <c r="I20">
        <v>0</v>
      </c>
      <c r="J20">
        <v>1</v>
      </c>
      <c r="K20">
        <v>0</v>
      </c>
      <c r="L20">
        <v>0</v>
      </c>
      <c r="M20">
        <v>1</v>
      </c>
      <c r="N20">
        <v>1</v>
      </c>
      <c r="O20" s="14">
        <f t="shared" si="1"/>
        <v>0</v>
      </c>
      <c r="P20">
        <f t="shared" si="0"/>
        <v>0.25775272128777227</v>
      </c>
      <c r="Q20">
        <f t="shared" si="2"/>
        <v>-1.3557545982832953</v>
      </c>
      <c r="S20" s="16" t="s">
        <v>2500</v>
      </c>
    </row>
    <row r="21" spans="1:19" x14ac:dyDescent="0.4">
      <c r="A21">
        <v>19</v>
      </c>
      <c r="B21">
        <v>1</v>
      </c>
      <c r="C21">
        <v>0</v>
      </c>
      <c r="D21">
        <v>18</v>
      </c>
      <c r="E21">
        <v>31</v>
      </c>
      <c r="F21">
        <v>1</v>
      </c>
      <c r="G21">
        <v>0</v>
      </c>
      <c r="H21">
        <v>0</v>
      </c>
      <c r="I21">
        <v>1</v>
      </c>
      <c r="J21">
        <v>1</v>
      </c>
      <c r="K21">
        <v>0</v>
      </c>
      <c r="L21">
        <v>0</v>
      </c>
      <c r="M21">
        <v>1</v>
      </c>
      <c r="N21">
        <v>0</v>
      </c>
      <c r="O21" s="14">
        <f t="shared" si="1"/>
        <v>1</v>
      </c>
      <c r="P21">
        <f t="shared" si="0"/>
        <v>0.50160139140992654</v>
      </c>
      <c r="Q21">
        <f t="shared" si="2"/>
        <v>-0.69635510326625483</v>
      </c>
      <c r="S21" s="16"/>
    </row>
    <row r="22" spans="1:19" x14ac:dyDescent="0.4">
      <c r="A22">
        <v>20</v>
      </c>
      <c r="B22">
        <v>0</v>
      </c>
      <c r="C22">
        <v>0</v>
      </c>
      <c r="D22">
        <v>7.2249999999999996</v>
      </c>
      <c r="E22">
        <v>28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1</v>
      </c>
      <c r="N22">
        <v>1</v>
      </c>
      <c r="O22" s="14">
        <f t="shared" si="1"/>
        <v>1</v>
      </c>
      <c r="P22">
        <f t="shared" si="0"/>
        <v>0.70131140242261436</v>
      </c>
      <c r="Q22">
        <f t="shared" si="2"/>
        <v>-0.35480326459153311</v>
      </c>
      <c r="S22" s="18" t="s">
        <v>2504</v>
      </c>
    </row>
    <row r="23" spans="1:19" x14ac:dyDescent="0.4">
      <c r="A23">
        <v>21</v>
      </c>
      <c r="B23">
        <v>0</v>
      </c>
      <c r="C23">
        <v>0</v>
      </c>
      <c r="D23">
        <v>26</v>
      </c>
      <c r="E23">
        <v>35</v>
      </c>
      <c r="F23">
        <v>0</v>
      </c>
      <c r="G23">
        <v>0</v>
      </c>
      <c r="H23">
        <v>1</v>
      </c>
      <c r="I23">
        <v>0</v>
      </c>
      <c r="J23">
        <v>1</v>
      </c>
      <c r="K23">
        <v>0</v>
      </c>
      <c r="L23">
        <v>0</v>
      </c>
      <c r="M23">
        <v>1</v>
      </c>
      <c r="N23">
        <v>0</v>
      </c>
      <c r="O23" s="14">
        <f t="shared" si="1"/>
        <v>0</v>
      </c>
      <c r="P23">
        <f t="shared" si="0"/>
        <v>0.2146774278484837</v>
      </c>
      <c r="Q23">
        <f t="shared" si="2"/>
        <v>-0.24166072566596766</v>
      </c>
      <c r="S23" s="18" t="s">
        <v>2505</v>
      </c>
    </row>
    <row r="24" spans="1:19" x14ac:dyDescent="0.4">
      <c r="A24">
        <v>22</v>
      </c>
      <c r="B24">
        <v>0</v>
      </c>
      <c r="C24">
        <v>0</v>
      </c>
      <c r="D24">
        <v>13</v>
      </c>
      <c r="E24">
        <v>34</v>
      </c>
      <c r="F24">
        <v>0</v>
      </c>
      <c r="G24">
        <v>0</v>
      </c>
      <c r="H24">
        <v>1</v>
      </c>
      <c r="I24">
        <v>0</v>
      </c>
      <c r="J24">
        <v>1</v>
      </c>
      <c r="K24">
        <v>0</v>
      </c>
      <c r="L24">
        <v>0</v>
      </c>
      <c r="M24">
        <v>1</v>
      </c>
      <c r="N24">
        <v>1</v>
      </c>
      <c r="O24" s="14">
        <f t="shared" si="1"/>
        <v>0</v>
      </c>
      <c r="P24">
        <f t="shared" si="0"/>
        <v>0.21605011545420041</v>
      </c>
      <c r="Q24">
        <f t="shared" si="2"/>
        <v>-1.5322448822178512</v>
      </c>
      <c r="S24" s="18" t="s">
        <v>2506</v>
      </c>
    </row>
    <row r="25" spans="1:19" x14ac:dyDescent="0.4">
      <c r="A25">
        <v>23</v>
      </c>
      <c r="B25">
        <v>0</v>
      </c>
      <c r="C25">
        <v>0</v>
      </c>
      <c r="D25">
        <v>8.0291999999999994</v>
      </c>
      <c r="E25">
        <v>15</v>
      </c>
      <c r="F25">
        <v>1</v>
      </c>
      <c r="G25">
        <v>0</v>
      </c>
      <c r="H25">
        <v>0</v>
      </c>
      <c r="I25">
        <v>1</v>
      </c>
      <c r="J25">
        <v>0</v>
      </c>
      <c r="K25">
        <v>1</v>
      </c>
      <c r="L25">
        <v>0</v>
      </c>
      <c r="M25">
        <v>1</v>
      </c>
      <c r="N25">
        <v>1</v>
      </c>
      <c r="O25" s="14">
        <f t="shared" si="1"/>
        <v>1</v>
      </c>
      <c r="P25">
        <f t="shared" si="0"/>
        <v>0.78577759399239644</v>
      </c>
      <c r="Q25">
        <f t="shared" si="2"/>
        <v>-0.24108148589067141</v>
      </c>
      <c r="S25" s="18" t="s">
        <v>2508</v>
      </c>
    </row>
    <row r="26" spans="1:19" x14ac:dyDescent="0.4">
      <c r="A26">
        <v>24</v>
      </c>
      <c r="B26">
        <v>0</v>
      </c>
      <c r="C26">
        <v>0</v>
      </c>
      <c r="D26">
        <v>35.5</v>
      </c>
      <c r="E26">
        <v>28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1</v>
      </c>
      <c r="N26">
        <v>1</v>
      </c>
      <c r="O26" s="14">
        <f t="shared" si="1"/>
        <v>0</v>
      </c>
      <c r="P26">
        <f t="shared" si="0"/>
        <v>0.47873610157378688</v>
      </c>
      <c r="Q26">
        <f t="shared" si="2"/>
        <v>-0.7366057695639544</v>
      </c>
      <c r="S26" s="18" t="s">
        <v>2507</v>
      </c>
    </row>
    <row r="27" spans="1:19" x14ac:dyDescent="0.4">
      <c r="A27">
        <v>25</v>
      </c>
      <c r="B27">
        <v>3</v>
      </c>
      <c r="C27">
        <v>1</v>
      </c>
      <c r="D27">
        <v>21.074999999999999</v>
      </c>
      <c r="E27">
        <v>8</v>
      </c>
      <c r="F27">
        <v>1</v>
      </c>
      <c r="G27">
        <v>0</v>
      </c>
      <c r="H27">
        <v>0</v>
      </c>
      <c r="I27">
        <v>1</v>
      </c>
      <c r="J27">
        <v>1</v>
      </c>
      <c r="K27">
        <v>0</v>
      </c>
      <c r="L27">
        <v>0</v>
      </c>
      <c r="M27">
        <v>1</v>
      </c>
      <c r="N27">
        <v>0</v>
      </c>
      <c r="O27" s="14">
        <f t="shared" si="1"/>
        <v>1</v>
      </c>
      <c r="P27">
        <f t="shared" si="0"/>
        <v>0.5405270537864908</v>
      </c>
      <c r="Q27">
        <f t="shared" si="2"/>
        <v>-0.77767521549529461</v>
      </c>
      <c r="S27" s="17" t="s">
        <v>2502</v>
      </c>
    </row>
    <row r="28" spans="1:19" x14ac:dyDescent="0.4">
      <c r="A28">
        <v>26</v>
      </c>
      <c r="B28">
        <v>1</v>
      </c>
      <c r="C28">
        <v>5</v>
      </c>
      <c r="D28">
        <v>31.387499999999999</v>
      </c>
      <c r="E28">
        <v>38</v>
      </c>
      <c r="F28">
        <v>1</v>
      </c>
      <c r="G28">
        <v>0</v>
      </c>
      <c r="H28">
        <v>0</v>
      </c>
      <c r="I28">
        <v>1</v>
      </c>
      <c r="J28">
        <v>1</v>
      </c>
      <c r="K28">
        <v>0</v>
      </c>
      <c r="L28">
        <v>0</v>
      </c>
      <c r="M28">
        <v>1</v>
      </c>
      <c r="N28">
        <v>1</v>
      </c>
      <c r="O28" s="14">
        <f t="shared" si="1"/>
        <v>0</v>
      </c>
      <c r="P28">
        <f t="shared" si="0"/>
        <v>0.33208582052866636</v>
      </c>
      <c r="Q28">
        <f t="shared" si="2"/>
        <v>-1.1023618479015993</v>
      </c>
      <c r="S28" s="17" t="s">
        <v>2503</v>
      </c>
    </row>
    <row r="29" spans="1:19" x14ac:dyDescent="0.4">
      <c r="A29">
        <v>27</v>
      </c>
      <c r="B29">
        <v>0</v>
      </c>
      <c r="C29">
        <v>0</v>
      </c>
      <c r="D29">
        <v>7.2249999999999996</v>
      </c>
      <c r="E29">
        <v>28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1</v>
      </c>
      <c r="M29">
        <v>1</v>
      </c>
      <c r="N29">
        <v>0</v>
      </c>
      <c r="O29" s="14">
        <f t="shared" si="1"/>
        <v>0</v>
      </c>
      <c r="P29">
        <f t="shared" si="0"/>
        <v>0.13399878421988354</v>
      </c>
      <c r="Q29">
        <f t="shared" si="2"/>
        <v>-0.14386896651755057</v>
      </c>
    </row>
    <row r="30" spans="1:19" x14ac:dyDescent="0.4">
      <c r="A30">
        <v>28</v>
      </c>
      <c r="B30">
        <v>3</v>
      </c>
      <c r="C30">
        <v>2</v>
      </c>
      <c r="D30">
        <v>263</v>
      </c>
      <c r="E30">
        <v>19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1</v>
      </c>
      <c r="N30">
        <v>0</v>
      </c>
      <c r="O30" s="14">
        <f t="shared" si="1"/>
        <v>0</v>
      </c>
      <c r="P30">
        <f t="shared" si="0"/>
        <v>0.41123871555111308</v>
      </c>
      <c r="Q30">
        <f t="shared" si="2"/>
        <v>-0.5297344670430254</v>
      </c>
    </row>
    <row r="31" spans="1:19" x14ac:dyDescent="0.4">
      <c r="A31">
        <v>29</v>
      </c>
      <c r="B31">
        <v>0</v>
      </c>
      <c r="C31">
        <v>0</v>
      </c>
      <c r="D31">
        <v>7.8792</v>
      </c>
      <c r="E31">
        <v>28</v>
      </c>
      <c r="F31">
        <v>1</v>
      </c>
      <c r="G31">
        <v>0</v>
      </c>
      <c r="H31">
        <v>0</v>
      </c>
      <c r="I31">
        <v>1</v>
      </c>
      <c r="J31">
        <v>0</v>
      </c>
      <c r="K31">
        <v>1</v>
      </c>
      <c r="L31">
        <v>0</v>
      </c>
      <c r="M31">
        <v>1</v>
      </c>
      <c r="N31">
        <v>1</v>
      </c>
      <c r="O31" s="14">
        <f t="shared" si="1"/>
        <v>1</v>
      </c>
      <c r="P31">
        <f t="shared" si="0"/>
        <v>0.68964857885785291</v>
      </c>
      <c r="Q31">
        <f t="shared" si="2"/>
        <v>-0.37157311713429969</v>
      </c>
    </row>
    <row r="32" spans="1:19" x14ac:dyDescent="0.4">
      <c r="A32">
        <v>30</v>
      </c>
      <c r="B32">
        <v>0</v>
      </c>
      <c r="C32">
        <v>0</v>
      </c>
      <c r="D32">
        <v>7.8958000000000004</v>
      </c>
      <c r="E32">
        <v>28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 s="14">
        <f t="shared" si="1"/>
        <v>0</v>
      </c>
      <c r="P32">
        <f t="shared" si="0"/>
        <v>9.117888566880443E-2</v>
      </c>
      <c r="Q32">
        <f t="shared" si="2"/>
        <v>-9.5606998086197895E-2</v>
      </c>
    </row>
    <row r="33" spans="1:17" x14ac:dyDescent="0.4">
      <c r="A33">
        <v>31</v>
      </c>
      <c r="B33">
        <v>0</v>
      </c>
      <c r="C33">
        <v>0</v>
      </c>
      <c r="D33">
        <v>27.720800000000001</v>
      </c>
      <c r="E33">
        <v>40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1</v>
      </c>
      <c r="N33">
        <v>0</v>
      </c>
      <c r="O33" s="14">
        <f t="shared" si="1"/>
        <v>0</v>
      </c>
      <c r="P33">
        <f t="shared" si="0"/>
        <v>0.46735466356322231</v>
      </c>
      <c r="Q33">
        <f t="shared" si="2"/>
        <v>-0.62989948636215587</v>
      </c>
    </row>
    <row r="34" spans="1:17" x14ac:dyDescent="0.4">
      <c r="A34">
        <v>32</v>
      </c>
      <c r="B34">
        <v>1</v>
      </c>
      <c r="C34">
        <v>0</v>
      </c>
      <c r="D34">
        <v>146.52080000000001</v>
      </c>
      <c r="E34">
        <v>28</v>
      </c>
      <c r="F34">
        <v>1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1</v>
      </c>
      <c r="N34">
        <v>1</v>
      </c>
      <c r="O34" s="14">
        <f t="shared" si="1"/>
        <v>1</v>
      </c>
      <c r="P34">
        <f t="shared" si="0"/>
        <v>0.95289137526605006</v>
      </c>
      <c r="Q34">
        <f t="shared" si="2"/>
        <v>-4.8254363706787221E-2</v>
      </c>
    </row>
    <row r="35" spans="1:17" x14ac:dyDescent="0.4">
      <c r="A35">
        <v>33</v>
      </c>
      <c r="B35">
        <v>0</v>
      </c>
      <c r="C35">
        <v>0</v>
      </c>
      <c r="D35">
        <v>7.75</v>
      </c>
      <c r="E35">
        <v>28</v>
      </c>
      <c r="F35">
        <v>1</v>
      </c>
      <c r="G35">
        <v>0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1</v>
      </c>
      <c r="O35" s="14">
        <f t="shared" si="1"/>
        <v>1</v>
      </c>
      <c r="P35">
        <f t="shared" si="0"/>
        <v>0.68958390472100084</v>
      </c>
      <c r="Q35">
        <f t="shared" si="2"/>
        <v>-0.37166689992678675</v>
      </c>
    </row>
    <row r="36" spans="1:17" x14ac:dyDescent="0.4">
      <c r="A36">
        <v>34</v>
      </c>
      <c r="B36">
        <v>0</v>
      </c>
      <c r="C36">
        <v>0</v>
      </c>
      <c r="D36">
        <v>10.5</v>
      </c>
      <c r="E36">
        <v>66</v>
      </c>
      <c r="F36">
        <v>0</v>
      </c>
      <c r="G36">
        <v>0</v>
      </c>
      <c r="H36">
        <v>1</v>
      </c>
      <c r="I36">
        <v>0</v>
      </c>
      <c r="J36">
        <v>1</v>
      </c>
      <c r="K36">
        <v>0</v>
      </c>
      <c r="L36">
        <v>0</v>
      </c>
      <c r="M36">
        <v>1</v>
      </c>
      <c r="N36">
        <v>0</v>
      </c>
      <c r="O36" s="14">
        <f t="shared" si="1"/>
        <v>0</v>
      </c>
      <c r="P36">
        <f t="shared" si="0"/>
        <v>7.395288490899854E-2</v>
      </c>
      <c r="Q36">
        <f t="shared" si="2"/>
        <v>-7.6830165402449205E-2</v>
      </c>
    </row>
    <row r="37" spans="1:17" x14ac:dyDescent="0.4">
      <c r="A37">
        <v>35</v>
      </c>
      <c r="B37">
        <v>1</v>
      </c>
      <c r="C37">
        <v>0</v>
      </c>
      <c r="D37">
        <v>82.1708</v>
      </c>
      <c r="E37">
        <v>28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 s="14">
        <f t="shared" si="1"/>
        <v>1</v>
      </c>
      <c r="P37">
        <f t="shared" si="0"/>
        <v>0.5341835605528138</v>
      </c>
      <c r="Q37">
        <f t="shared" si="2"/>
        <v>-0.76396362922383532</v>
      </c>
    </row>
    <row r="38" spans="1:17" x14ac:dyDescent="0.4">
      <c r="A38">
        <v>36</v>
      </c>
      <c r="B38">
        <v>1</v>
      </c>
      <c r="C38">
        <v>0</v>
      </c>
      <c r="D38">
        <v>52</v>
      </c>
      <c r="E38">
        <v>42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1</v>
      </c>
      <c r="N38">
        <v>0</v>
      </c>
      <c r="O38" s="14">
        <f t="shared" si="1"/>
        <v>0</v>
      </c>
      <c r="P38">
        <f t="shared" si="0"/>
        <v>0.28744912566733372</v>
      </c>
      <c r="Q38">
        <f t="shared" si="2"/>
        <v>-0.3389039668162106</v>
      </c>
    </row>
    <row r="39" spans="1:17" x14ac:dyDescent="0.4">
      <c r="A39">
        <v>37</v>
      </c>
      <c r="B39">
        <v>0</v>
      </c>
      <c r="C39">
        <v>0</v>
      </c>
      <c r="D39">
        <v>7.2291999999999996</v>
      </c>
      <c r="E39">
        <v>28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1</v>
      </c>
      <c r="M39">
        <v>1</v>
      </c>
      <c r="N39">
        <v>1</v>
      </c>
      <c r="O39" s="14">
        <f t="shared" si="1"/>
        <v>0</v>
      </c>
      <c r="P39">
        <f t="shared" si="0"/>
        <v>0.13399992402833119</v>
      </c>
      <c r="Q39">
        <f t="shared" si="2"/>
        <v>-2.0099160459841388</v>
      </c>
    </row>
    <row r="40" spans="1:17" x14ac:dyDescent="0.4">
      <c r="A40">
        <v>38</v>
      </c>
      <c r="B40">
        <v>0</v>
      </c>
      <c r="C40">
        <v>0</v>
      </c>
      <c r="D40">
        <v>8.0500000000000007</v>
      </c>
      <c r="E40">
        <v>21</v>
      </c>
      <c r="F40">
        <v>0</v>
      </c>
      <c r="G40">
        <v>0</v>
      </c>
      <c r="H40">
        <v>0</v>
      </c>
      <c r="I40">
        <v>1</v>
      </c>
      <c r="J40">
        <v>1</v>
      </c>
      <c r="K40">
        <v>0</v>
      </c>
      <c r="L40">
        <v>0</v>
      </c>
      <c r="M40">
        <v>1</v>
      </c>
      <c r="N40">
        <v>0</v>
      </c>
      <c r="O40" s="14">
        <f t="shared" si="1"/>
        <v>0</v>
      </c>
      <c r="P40">
        <f t="shared" si="0"/>
        <v>0.11616221864333205</v>
      </c>
      <c r="Q40">
        <f t="shared" si="2"/>
        <v>-0.12348173843628069</v>
      </c>
    </row>
    <row r="41" spans="1:17" x14ac:dyDescent="0.4">
      <c r="A41">
        <v>39</v>
      </c>
      <c r="B41">
        <v>2</v>
      </c>
      <c r="C41">
        <v>0</v>
      </c>
      <c r="D41">
        <v>18</v>
      </c>
      <c r="E41">
        <v>18</v>
      </c>
      <c r="F41">
        <v>1</v>
      </c>
      <c r="G41">
        <v>0</v>
      </c>
      <c r="H41">
        <v>0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 s="14">
        <f t="shared" si="1"/>
        <v>1</v>
      </c>
      <c r="P41">
        <f t="shared" si="0"/>
        <v>0.54619485498697018</v>
      </c>
      <c r="Q41">
        <f t="shared" si="2"/>
        <v>-0.79008736907829979</v>
      </c>
    </row>
    <row r="42" spans="1:17" x14ac:dyDescent="0.4">
      <c r="A42">
        <v>40</v>
      </c>
      <c r="B42">
        <v>1</v>
      </c>
      <c r="C42">
        <v>0</v>
      </c>
      <c r="D42">
        <v>11.2417</v>
      </c>
      <c r="E42">
        <v>14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1</v>
      </c>
      <c r="M42">
        <v>1</v>
      </c>
      <c r="N42">
        <v>1</v>
      </c>
      <c r="O42" s="14">
        <f t="shared" si="1"/>
        <v>1</v>
      </c>
      <c r="P42">
        <f t="shared" si="0"/>
        <v>0.74656434078750322</v>
      </c>
      <c r="Q42">
        <f t="shared" si="2"/>
        <v>-0.2922734757806571</v>
      </c>
    </row>
    <row r="43" spans="1:17" x14ac:dyDescent="0.4">
      <c r="A43">
        <v>41</v>
      </c>
      <c r="B43">
        <v>1</v>
      </c>
      <c r="C43">
        <v>0</v>
      </c>
      <c r="D43">
        <v>9.4749999999999996</v>
      </c>
      <c r="E43">
        <v>40</v>
      </c>
      <c r="F43">
        <v>1</v>
      </c>
      <c r="G43">
        <v>0</v>
      </c>
      <c r="H43">
        <v>0</v>
      </c>
      <c r="I43">
        <v>1</v>
      </c>
      <c r="J43">
        <v>1</v>
      </c>
      <c r="K43">
        <v>0</v>
      </c>
      <c r="L43">
        <v>0</v>
      </c>
      <c r="M43">
        <v>1</v>
      </c>
      <c r="N43">
        <v>0</v>
      </c>
      <c r="O43" s="14">
        <f t="shared" si="1"/>
        <v>0</v>
      </c>
      <c r="P43">
        <f t="shared" si="0"/>
        <v>0.41089647430902371</v>
      </c>
      <c r="Q43">
        <f t="shared" si="2"/>
        <v>-0.52915334559551408</v>
      </c>
    </row>
    <row r="44" spans="1:17" x14ac:dyDescent="0.4">
      <c r="A44">
        <v>42</v>
      </c>
      <c r="B44">
        <v>1</v>
      </c>
      <c r="C44">
        <v>0</v>
      </c>
      <c r="D44">
        <v>21</v>
      </c>
      <c r="E44">
        <v>27</v>
      </c>
      <c r="F44">
        <v>1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1</v>
      </c>
      <c r="N44">
        <v>0</v>
      </c>
      <c r="O44" s="14">
        <f t="shared" si="1"/>
        <v>1</v>
      </c>
      <c r="P44">
        <f t="shared" si="0"/>
        <v>0.80174392467352928</v>
      </c>
      <c r="Q44">
        <f t="shared" si="2"/>
        <v>-1.6181957741625941</v>
      </c>
    </row>
    <row r="45" spans="1:17" x14ac:dyDescent="0.4">
      <c r="A45">
        <v>43</v>
      </c>
      <c r="B45">
        <v>0</v>
      </c>
      <c r="C45">
        <v>0</v>
      </c>
      <c r="D45">
        <v>7.8958000000000004</v>
      </c>
      <c r="E45">
        <v>28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>
        <v>1</v>
      </c>
      <c r="M45">
        <v>1</v>
      </c>
      <c r="N45">
        <v>0</v>
      </c>
      <c r="O45" s="14">
        <f t="shared" si="1"/>
        <v>0</v>
      </c>
      <c r="P45">
        <f t="shared" si="0"/>
        <v>0.13418093180305438</v>
      </c>
      <c r="Q45">
        <f t="shared" si="2"/>
        <v>-0.14407932042728094</v>
      </c>
    </row>
    <row r="46" spans="1:17" x14ac:dyDescent="0.4">
      <c r="A46">
        <v>44</v>
      </c>
      <c r="B46">
        <v>1</v>
      </c>
      <c r="C46">
        <v>2</v>
      </c>
      <c r="D46">
        <v>41.5792</v>
      </c>
      <c r="E46">
        <v>3</v>
      </c>
      <c r="F46">
        <v>1</v>
      </c>
      <c r="G46">
        <v>0</v>
      </c>
      <c r="H46">
        <v>1</v>
      </c>
      <c r="I46">
        <v>0</v>
      </c>
      <c r="J46">
        <v>0</v>
      </c>
      <c r="K46">
        <v>0</v>
      </c>
      <c r="L46">
        <v>1</v>
      </c>
      <c r="M46">
        <v>1</v>
      </c>
      <c r="N46">
        <v>1</v>
      </c>
      <c r="O46" s="14">
        <f t="shared" si="1"/>
        <v>1</v>
      </c>
      <c r="P46">
        <f t="shared" si="0"/>
        <v>0.93201653180628596</v>
      </c>
      <c r="Q46">
        <f t="shared" si="2"/>
        <v>-7.0404726464284931E-2</v>
      </c>
    </row>
    <row r="47" spans="1:17" x14ac:dyDescent="0.4">
      <c r="A47">
        <v>45</v>
      </c>
      <c r="B47">
        <v>0</v>
      </c>
      <c r="C47">
        <v>0</v>
      </c>
      <c r="D47">
        <v>7.8792</v>
      </c>
      <c r="E47">
        <v>19</v>
      </c>
      <c r="F47">
        <v>1</v>
      </c>
      <c r="G47">
        <v>0</v>
      </c>
      <c r="H47">
        <v>0</v>
      </c>
      <c r="I47">
        <v>1</v>
      </c>
      <c r="J47">
        <v>0</v>
      </c>
      <c r="K47">
        <v>1</v>
      </c>
      <c r="L47">
        <v>0</v>
      </c>
      <c r="M47">
        <v>1</v>
      </c>
      <c r="N47">
        <v>1</v>
      </c>
      <c r="O47" s="14">
        <f t="shared" si="1"/>
        <v>1</v>
      </c>
      <c r="P47">
        <f t="shared" si="0"/>
        <v>0.75863423694370002</v>
      </c>
      <c r="Q47">
        <f t="shared" si="2"/>
        <v>-0.27623551899818383</v>
      </c>
    </row>
    <row r="48" spans="1:17" x14ac:dyDescent="0.4">
      <c r="A48">
        <v>46</v>
      </c>
      <c r="B48">
        <v>0</v>
      </c>
      <c r="C48">
        <v>0</v>
      </c>
      <c r="D48">
        <v>8.0500000000000007</v>
      </c>
      <c r="E48">
        <v>28</v>
      </c>
      <c r="F48">
        <v>0</v>
      </c>
      <c r="G48">
        <v>0</v>
      </c>
      <c r="H48">
        <v>0</v>
      </c>
      <c r="I48">
        <v>1</v>
      </c>
      <c r="J48">
        <v>1</v>
      </c>
      <c r="K48">
        <v>0</v>
      </c>
      <c r="L48">
        <v>0</v>
      </c>
      <c r="M48">
        <v>1</v>
      </c>
      <c r="N48">
        <v>0</v>
      </c>
      <c r="O48" s="14">
        <f t="shared" si="1"/>
        <v>0</v>
      </c>
      <c r="P48">
        <f t="shared" si="0"/>
        <v>9.1208772698105012E-2</v>
      </c>
      <c r="Q48">
        <f t="shared" si="2"/>
        <v>-9.5639884118734919E-2</v>
      </c>
    </row>
    <row r="49" spans="1:17" x14ac:dyDescent="0.4">
      <c r="A49">
        <v>47</v>
      </c>
      <c r="B49">
        <v>1</v>
      </c>
      <c r="C49">
        <v>0</v>
      </c>
      <c r="D49">
        <v>15.5</v>
      </c>
      <c r="E49">
        <v>28</v>
      </c>
      <c r="F49">
        <v>0</v>
      </c>
      <c r="G49">
        <v>0</v>
      </c>
      <c r="H49">
        <v>0</v>
      </c>
      <c r="I49">
        <v>1</v>
      </c>
      <c r="J49">
        <v>0</v>
      </c>
      <c r="K49">
        <v>1</v>
      </c>
      <c r="L49">
        <v>0</v>
      </c>
      <c r="M49">
        <v>1</v>
      </c>
      <c r="N49">
        <v>0</v>
      </c>
      <c r="O49" s="14">
        <f t="shared" si="1"/>
        <v>0</v>
      </c>
      <c r="P49">
        <f t="shared" si="0"/>
        <v>9.7507068724175208E-2</v>
      </c>
      <c r="Q49">
        <f t="shared" si="2"/>
        <v>-0.10259442118713194</v>
      </c>
    </row>
    <row r="50" spans="1:17" x14ac:dyDescent="0.4">
      <c r="A50">
        <v>48</v>
      </c>
      <c r="B50">
        <v>0</v>
      </c>
      <c r="C50">
        <v>0</v>
      </c>
      <c r="D50">
        <v>7.75</v>
      </c>
      <c r="E50">
        <v>28</v>
      </c>
      <c r="F50">
        <v>1</v>
      </c>
      <c r="G50">
        <v>0</v>
      </c>
      <c r="H50">
        <v>0</v>
      </c>
      <c r="I50">
        <v>1</v>
      </c>
      <c r="J50">
        <v>0</v>
      </c>
      <c r="K50">
        <v>1</v>
      </c>
      <c r="L50">
        <v>0</v>
      </c>
      <c r="M50">
        <v>1</v>
      </c>
      <c r="N50">
        <v>1</v>
      </c>
      <c r="O50" s="14">
        <f t="shared" si="1"/>
        <v>1</v>
      </c>
      <c r="P50">
        <f t="shared" si="0"/>
        <v>0.68958390472100084</v>
      </c>
      <c r="Q50">
        <f t="shared" si="2"/>
        <v>-0.37166689992678675</v>
      </c>
    </row>
    <row r="51" spans="1:17" x14ac:dyDescent="0.4">
      <c r="A51">
        <v>49</v>
      </c>
      <c r="B51">
        <v>2</v>
      </c>
      <c r="C51">
        <v>0</v>
      </c>
      <c r="D51">
        <v>21.679200000000002</v>
      </c>
      <c r="E51">
        <v>28</v>
      </c>
      <c r="F51">
        <v>0</v>
      </c>
      <c r="G51">
        <v>0</v>
      </c>
      <c r="H51">
        <v>0</v>
      </c>
      <c r="I51">
        <v>1</v>
      </c>
      <c r="J51">
        <v>0</v>
      </c>
      <c r="K51">
        <v>0</v>
      </c>
      <c r="L51">
        <v>1</v>
      </c>
      <c r="M51">
        <v>1</v>
      </c>
      <c r="N51">
        <v>0</v>
      </c>
      <c r="O51" s="14">
        <f t="shared" si="1"/>
        <v>0</v>
      </c>
      <c r="P51">
        <f t="shared" si="0"/>
        <v>7.75499723647287E-2</v>
      </c>
      <c r="Q51">
        <f t="shared" si="2"/>
        <v>-8.0722075119805711E-2</v>
      </c>
    </row>
    <row r="52" spans="1:17" x14ac:dyDescent="0.4">
      <c r="A52">
        <v>50</v>
      </c>
      <c r="B52">
        <v>1</v>
      </c>
      <c r="C52">
        <v>0</v>
      </c>
      <c r="D52">
        <v>17.8</v>
      </c>
      <c r="E52">
        <v>18</v>
      </c>
      <c r="F52">
        <v>1</v>
      </c>
      <c r="G52">
        <v>0</v>
      </c>
      <c r="H52">
        <v>0</v>
      </c>
      <c r="I52">
        <v>1</v>
      </c>
      <c r="J52">
        <v>1</v>
      </c>
      <c r="K52">
        <v>0</v>
      </c>
      <c r="L52">
        <v>0</v>
      </c>
      <c r="M52">
        <v>1</v>
      </c>
      <c r="N52">
        <v>0</v>
      </c>
      <c r="O52" s="14">
        <f t="shared" si="1"/>
        <v>1</v>
      </c>
      <c r="P52">
        <f t="shared" si="0"/>
        <v>0.62404879802077262</v>
      </c>
      <c r="Q52">
        <f t="shared" si="2"/>
        <v>-0.97829592598479109</v>
      </c>
    </row>
    <row r="53" spans="1:17" x14ac:dyDescent="0.4">
      <c r="A53">
        <v>51</v>
      </c>
      <c r="B53">
        <v>4</v>
      </c>
      <c r="C53">
        <v>1</v>
      </c>
      <c r="D53">
        <v>39.6875</v>
      </c>
      <c r="E53">
        <v>7</v>
      </c>
      <c r="F53">
        <v>0</v>
      </c>
      <c r="G53">
        <v>0</v>
      </c>
      <c r="H53">
        <v>0</v>
      </c>
      <c r="I53">
        <v>1</v>
      </c>
      <c r="J53">
        <v>1</v>
      </c>
      <c r="K53">
        <v>0</v>
      </c>
      <c r="L53">
        <v>0</v>
      </c>
      <c r="M53">
        <v>1</v>
      </c>
      <c r="N53">
        <v>0</v>
      </c>
      <c r="O53" s="14">
        <f t="shared" si="1"/>
        <v>0</v>
      </c>
      <c r="P53">
        <f t="shared" si="0"/>
        <v>5.74855721340123E-2</v>
      </c>
      <c r="Q53">
        <f t="shared" si="2"/>
        <v>-5.9204051696515124E-2</v>
      </c>
    </row>
    <row r="54" spans="1:17" x14ac:dyDescent="0.4">
      <c r="A54">
        <v>52</v>
      </c>
      <c r="B54">
        <v>0</v>
      </c>
      <c r="C54">
        <v>0</v>
      </c>
      <c r="D54">
        <v>7.8</v>
      </c>
      <c r="E54">
        <v>21</v>
      </c>
      <c r="F54">
        <v>0</v>
      </c>
      <c r="G54">
        <v>0</v>
      </c>
      <c r="H54">
        <v>0</v>
      </c>
      <c r="I54">
        <v>1</v>
      </c>
      <c r="J54">
        <v>1</v>
      </c>
      <c r="K54">
        <v>0</v>
      </c>
      <c r="L54">
        <v>0</v>
      </c>
      <c r="M54">
        <v>1</v>
      </c>
      <c r="N54">
        <v>0</v>
      </c>
      <c r="O54" s="14">
        <f t="shared" si="1"/>
        <v>0</v>
      </c>
      <c r="P54">
        <f t="shared" si="0"/>
        <v>0.1161022061506168</v>
      </c>
      <c r="Q54">
        <f t="shared" si="2"/>
        <v>-0.12341384084618855</v>
      </c>
    </row>
    <row r="55" spans="1:17" x14ac:dyDescent="0.4">
      <c r="A55">
        <v>53</v>
      </c>
      <c r="B55">
        <v>1</v>
      </c>
      <c r="C55">
        <v>0</v>
      </c>
      <c r="D55">
        <v>76.729200000000006</v>
      </c>
      <c r="E55">
        <v>49</v>
      </c>
      <c r="F55">
        <v>1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1</v>
      </c>
      <c r="N55">
        <v>1</v>
      </c>
      <c r="O55" s="14">
        <f t="shared" si="1"/>
        <v>1</v>
      </c>
      <c r="P55">
        <f t="shared" si="0"/>
        <v>0.88440197081258942</v>
      </c>
      <c r="Q55">
        <f t="shared" si="2"/>
        <v>-0.1228436015836564</v>
      </c>
    </row>
    <row r="56" spans="1:17" x14ac:dyDescent="0.4">
      <c r="A56">
        <v>54</v>
      </c>
      <c r="B56">
        <v>1</v>
      </c>
      <c r="C56">
        <v>0</v>
      </c>
      <c r="D56">
        <v>26</v>
      </c>
      <c r="E56">
        <v>29</v>
      </c>
      <c r="F56">
        <v>1</v>
      </c>
      <c r="G56">
        <v>0</v>
      </c>
      <c r="H56">
        <v>1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 s="14">
        <f t="shared" si="1"/>
        <v>1</v>
      </c>
      <c r="P56">
        <f t="shared" si="0"/>
        <v>0.79115010581734568</v>
      </c>
      <c r="Q56">
        <f t="shared" si="2"/>
        <v>-0.23426756206584787</v>
      </c>
    </row>
    <row r="57" spans="1:17" x14ac:dyDescent="0.4">
      <c r="A57">
        <v>55</v>
      </c>
      <c r="B57">
        <v>0</v>
      </c>
      <c r="C57">
        <v>1</v>
      </c>
      <c r="D57">
        <v>61.979199999999999</v>
      </c>
      <c r="E57">
        <v>65</v>
      </c>
      <c r="F57">
        <v>0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0</v>
      </c>
      <c r="O57" s="14">
        <f t="shared" si="1"/>
        <v>0</v>
      </c>
      <c r="P57">
        <f t="shared" si="0"/>
        <v>0.24840311921232994</v>
      </c>
      <c r="Q57">
        <f t="shared" si="2"/>
        <v>-0.28555516154767308</v>
      </c>
    </row>
    <row r="58" spans="1:17" x14ac:dyDescent="0.4">
      <c r="A58">
        <v>56</v>
      </c>
      <c r="B58">
        <v>0</v>
      </c>
      <c r="C58">
        <v>0</v>
      </c>
      <c r="D58">
        <v>35.5</v>
      </c>
      <c r="E58">
        <v>28</v>
      </c>
      <c r="F58">
        <v>0</v>
      </c>
      <c r="G58">
        <v>1</v>
      </c>
      <c r="H58">
        <v>0</v>
      </c>
      <c r="I58">
        <v>0</v>
      </c>
      <c r="J58">
        <v>1</v>
      </c>
      <c r="K58">
        <v>0</v>
      </c>
      <c r="L58">
        <v>0</v>
      </c>
      <c r="M58">
        <v>1</v>
      </c>
      <c r="N58">
        <v>1</v>
      </c>
      <c r="O58" s="14">
        <f t="shared" si="1"/>
        <v>0</v>
      </c>
      <c r="P58">
        <f t="shared" si="0"/>
        <v>0.47873610157378688</v>
      </c>
      <c r="Q58">
        <f t="shared" si="2"/>
        <v>-0.7366057695639544</v>
      </c>
    </row>
    <row r="59" spans="1:17" x14ac:dyDescent="0.4">
      <c r="A59">
        <v>57</v>
      </c>
      <c r="B59">
        <v>0</v>
      </c>
      <c r="C59">
        <v>0</v>
      </c>
      <c r="D59">
        <v>10.5</v>
      </c>
      <c r="E59">
        <v>21</v>
      </c>
      <c r="F59">
        <v>1</v>
      </c>
      <c r="G59">
        <v>0</v>
      </c>
      <c r="H59">
        <v>1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 s="14">
        <f t="shared" si="1"/>
        <v>1</v>
      </c>
      <c r="P59">
        <f t="shared" si="0"/>
        <v>0.872778942705283</v>
      </c>
      <c r="Q59">
        <f t="shared" si="2"/>
        <v>-0.13607297089400089</v>
      </c>
    </row>
    <row r="60" spans="1:17" x14ac:dyDescent="0.4">
      <c r="A60">
        <v>58</v>
      </c>
      <c r="B60">
        <v>0</v>
      </c>
      <c r="C60">
        <v>0</v>
      </c>
      <c r="D60">
        <v>7.2291999999999996</v>
      </c>
      <c r="E60">
        <v>28.5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 s="14">
        <f t="shared" si="1"/>
        <v>0</v>
      </c>
      <c r="P60">
        <f t="shared" si="0"/>
        <v>0.13178031642926899</v>
      </c>
      <c r="Q60">
        <f t="shared" si="2"/>
        <v>-0.14131050467273193</v>
      </c>
    </row>
    <row r="61" spans="1:17" x14ac:dyDescent="0.4">
      <c r="A61">
        <v>59</v>
      </c>
      <c r="B61">
        <v>1</v>
      </c>
      <c r="C61">
        <v>2</v>
      </c>
      <c r="D61">
        <v>27.75</v>
      </c>
      <c r="E61">
        <v>5</v>
      </c>
      <c r="F61">
        <v>1</v>
      </c>
      <c r="G61">
        <v>0</v>
      </c>
      <c r="H61">
        <v>1</v>
      </c>
      <c r="I61">
        <v>0</v>
      </c>
      <c r="J61">
        <v>1</v>
      </c>
      <c r="K61">
        <v>0</v>
      </c>
      <c r="L61">
        <v>0</v>
      </c>
      <c r="M61">
        <v>1</v>
      </c>
      <c r="N61">
        <v>1</v>
      </c>
      <c r="O61" s="14">
        <f t="shared" si="1"/>
        <v>1</v>
      </c>
      <c r="P61">
        <f t="shared" si="0"/>
        <v>0.88833598400266678</v>
      </c>
      <c r="Q61">
        <f t="shared" si="2"/>
        <v>-0.11840524718683598</v>
      </c>
    </row>
    <row r="62" spans="1:17" x14ac:dyDescent="0.4">
      <c r="A62">
        <v>60</v>
      </c>
      <c r="B62">
        <v>5</v>
      </c>
      <c r="C62">
        <v>2</v>
      </c>
      <c r="D62">
        <v>46.9</v>
      </c>
      <c r="E62">
        <v>11</v>
      </c>
      <c r="F62">
        <v>0</v>
      </c>
      <c r="G62">
        <v>0</v>
      </c>
      <c r="H62">
        <v>0</v>
      </c>
      <c r="I62">
        <v>1</v>
      </c>
      <c r="J62">
        <v>1</v>
      </c>
      <c r="K62">
        <v>0</v>
      </c>
      <c r="L62">
        <v>0</v>
      </c>
      <c r="M62">
        <v>1</v>
      </c>
      <c r="N62">
        <v>0</v>
      </c>
      <c r="O62" s="14">
        <f t="shared" si="1"/>
        <v>0</v>
      </c>
      <c r="P62">
        <f t="shared" si="0"/>
        <v>3.3910190024696099E-2</v>
      </c>
      <c r="Q62">
        <f t="shared" si="2"/>
        <v>-3.449847810222615E-2</v>
      </c>
    </row>
    <row r="63" spans="1:17" x14ac:dyDescent="0.4">
      <c r="A63">
        <v>61</v>
      </c>
      <c r="B63">
        <v>0</v>
      </c>
      <c r="C63">
        <v>0</v>
      </c>
      <c r="D63">
        <v>7.2291999999999996</v>
      </c>
      <c r="E63">
        <v>22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1</v>
      </c>
      <c r="M63">
        <v>1</v>
      </c>
      <c r="N63">
        <v>0</v>
      </c>
      <c r="O63" s="14">
        <f t="shared" si="1"/>
        <v>0</v>
      </c>
      <c r="P63">
        <f t="shared" si="0"/>
        <v>0.16316119440062163</v>
      </c>
      <c r="Q63">
        <f t="shared" si="2"/>
        <v>-0.17812381294248172</v>
      </c>
    </row>
    <row r="64" spans="1:17" x14ac:dyDescent="0.4">
      <c r="A64">
        <v>62</v>
      </c>
      <c r="B64">
        <v>0</v>
      </c>
      <c r="C64">
        <v>0</v>
      </c>
      <c r="D64">
        <v>80</v>
      </c>
      <c r="E64">
        <v>38</v>
      </c>
      <c r="F64">
        <v>1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1</v>
      </c>
      <c r="N64">
        <v>1</v>
      </c>
      <c r="O64" s="14">
        <f t="shared" si="1"/>
        <v>1</v>
      </c>
      <c r="P64">
        <f t="shared" si="0"/>
        <v>0.91319722657061841</v>
      </c>
      <c r="Q64">
        <f t="shared" si="2"/>
        <v>-9.0803401375985318E-2</v>
      </c>
    </row>
    <row r="65" spans="1:17" x14ac:dyDescent="0.4">
      <c r="A65">
        <v>63</v>
      </c>
      <c r="B65">
        <v>1</v>
      </c>
      <c r="C65">
        <v>0</v>
      </c>
      <c r="D65">
        <v>83.474999999999994</v>
      </c>
      <c r="E65">
        <v>45</v>
      </c>
      <c r="F65">
        <v>0</v>
      </c>
      <c r="G65">
        <v>1</v>
      </c>
      <c r="H65">
        <v>0</v>
      </c>
      <c r="I65">
        <v>0</v>
      </c>
      <c r="J65">
        <v>1</v>
      </c>
      <c r="K65">
        <v>0</v>
      </c>
      <c r="L65">
        <v>0</v>
      </c>
      <c r="M65">
        <v>1</v>
      </c>
      <c r="N65">
        <v>0</v>
      </c>
      <c r="O65" s="14">
        <f t="shared" si="1"/>
        <v>0</v>
      </c>
      <c r="P65">
        <f t="shared" si="0"/>
        <v>0.27893037840275592</v>
      </c>
      <c r="Q65">
        <f t="shared" si="2"/>
        <v>-0.32701958381086199</v>
      </c>
    </row>
    <row r="66" spans="1:17" x14ac:dyDescent="0.4">
      <c r="A66">
        <v>64</v>
      </c>
      <c r="B66">
        <v>3</v>
      </c>
      <c r="C66">
        <v>2</v>
      </c>
      <c r="D66">
        <v>27.9</v>
      </c>
      <c r="E66">
        <v>4</v>
      </c>
      <c r="F66">
        <v>0</v>
      </c>
      <c r="G66">
        <v>0</v>
      </c>
      <c r="H66">
        <v>0</v>
      </c>
      <c r="I66">
        <v>1</v>
      </c>
      <c r="J66">
        <v>1</v>
      </c>
      <c r="K66">
        <v>0</v>
      </c>
      <c r="L66">
        <v>0</v>
      </c>
      <c r="M66">
        <v>1</v>
      </c>
      <c r="N66">
        <v>0</v>
      </c>
      <c r="O66" s="14">
        <f t="shared" si="1"/>
        <v>0</v>
      </c>
      <c r="P66">
        <f t="shared" si="0"/>
        <v>7.724092931589896E-2</v>
      </c>
      <c r="Q66">
        <f t="shared" si="2"/>
        <v>-8.0387107064422883E-2</v>
      </c>
    </row>
    <row r="67" spans="1:17" x14ac:dyDescent="0.4">
      <c r="A67">
        <v>65</v>
      </c>
      <c r="B67">
        <v>0</v>
      </c>
      <c r="C67">
        <v>0</v>
      </c>
      <c r="D67">
        <v>27.720800000000001</v>
      </c>
      <c r="E67">
        <v>28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1</v>
      </c>
      <c r="N67">
        <v>0</v>
      </c>
      <c r="O67" s="14">
        <f t="shared" si="1"/>
        <v>1</v>
      </c>
      <c r="P67">
        <f t="shared" ref="P67:P130" si="3">1/(1+EXP(-SUMPRODUCT(B$1:M$1,B67:M67)))</f>
        <v>0.58213366846516812</v>
      </c>
      <c r="Q67">
        <f t="shared" si="2"/>
        <v>-0.87259367861538173</v>
      </c>
    </row>
    <row r="68" spans="1:17" x14ac:dyDescent="0.4">
      <c r="A68">
        <v>66</v>
      </c>
      <c r="B68">
        <v>1</v>
      </c>
      <c r="C68">
        <v>1</v>
      </c>
      <c r="D68">
        <v>15.245799999999999</v>
      </c>
      <c r="E68">
        <v>28</v>
      </c>
      <c r="F68">
        <v>0</v>
      </c>
      <c r="G68">
        <v>0</v>
      </c>
      <c r="H68">
        <v>0</v>
      </c>
      <c r="I68">
        <v>1</v>
      </c>
      <c r="J68">
        <v>0</v>
      </c>
      <c r="K68">
        <v>0</v>
      </c>
      <c r="L68">
        <v>1</v>
      </c>
      <c r="M68">
        <v>1</v>
      </c>
      <c r="N68">
        <v>1</v>
      </c>
      <c r="O68" s="14">
        <f t="shared" ref="O68:O131" si="4">IF(P68&gt;0.5,1,0)</f>
        <v>0</v>
      </c>
      <c r="P68">
        <f t="shared" si="3"/>
        <v>9.4269224453440062E-2</v>
      </c>
      <c r="Q68">
        <f t="shared" ref="Q68:Q131" si="5">N68*LN(P68)+(1-N68)*LN(1-P68)</f>
        <v>-2.3616005004728806</v>
      </c>
    </row>
    <row r="69" spans="1:17" x14ac:dyDescent="0.4">
      <c r="A69">
        <v>67</v>
      </c>
      <c r="B69">
        <v>0</v>
      </c>
      <c r="C69">
        <v>0</v>
      </c>
      <c r="D69">
        <v>10.5</v>
      </c>
      <c r="E69">
        <v>29</v>
      </c>
      <c r="F69">
        <v>1</v>
      </c>
      <c r="G69">
        <v>0</v>
      </c>
      <c r="H69">
        <v>1</v>
      </c>
      <c r="I69">
        <v>0</v>
      </c>
      <c r="J69">
        <v>1</v>
      </c>
      <c r="K69">
        <v>0</v>
      </c>
      <c r="L69">
        <v>0</v>
      </c>
      <c r="M69">
        <v>1</v>
      </c>
      <c r="N69">
        <v>1</v>
      </c>
      <c r="O69" s="14">
        <f t="shared" si="4"/>
        <v>1</v>
      </c>
      <c r="P69">
        <f t="shared" si="3"/>
        <v>0.83445727386421664</v>
      </c>
      <c r="Q69">
        <f t="shared" si="5"/>
        <v>-0.18097373687437912</v>
      </c>
    </row>
    <row r="70" spans="1:17" x14ac:dyDescent="0.4">
      <c r="A70">
        <v>68</v>
      </c>
      <c r="B70">
        <v>0</v>
      </c>
      <c r="C70">
        <v>0</v>
      </c>
      <c r="D70">
        <v>8.1583000000000006</v>
      </c>
      <c r="E70">
        <v>19</v>
      </c>
      <c r="F70">
        <v>0</v>
      </c>
      <c r="G70">
        <v>0</v>
      </c>
      <c r="H70">
        <v>0</v>
      </c>
      <c r="I70">
        <v>1</v>
      </c>
      <c r="J70">
        <v>1</v>
      </c>
      <c r="K70">
        <v>0</v>
      </c>
      <c r="L70">
        <v>0</v>
      </c>
      <c r="M70">
        <v>1</v>
      </c>
      <c r="N70">
        <v>0</v>
      </c>
      <c r="O70" s="14">
        <f t="shared" si="4"/>
        <v>0</v>
      </c>
      <c r="P70">
        <f t="shared" si="3"/>
        <v>0.12433744137663716</v>
      </c>
      <c r="Q70">
        <f t="shared" si="5"/>
        <v>-0.13277446930799575</v>
      </c>
    </row>
    <row r="71" spans="1:17" x14ac:dyDescent="0.4">
      <c r="A71">
        <v>69</v>
      </c>
      <c r="B71">
        <v>4</v>
      </c>
      <c r="C71">
        <v>2</v>
      </c>
      <c r="D71">
        <v>7.9249999999999998</v>
      </c>
      <c r="E71">
        <v>17</v>
      </c>
      <c r="F71">
        <v>1</v>
      </c>
      <c r="G71">
        <v>0</v>
      </c>
      <c r="H71">
        <v>0</v>
      </c>
      <c r="I71">
        <v>1</v>
      </c>
      <c r="J71">
        <v>1</v>
      </c>
      <c r="K71">
        <v>0</v>
      </c>
      <c r="L71">
        <v>0</v>
      </c>
      <c r="M71">
        <v>1</v>
      </c>
      <c r="N71">
        <v>1</v>
      </c>
      <c r="O71" s="14">
        <f t="shared" si="4"/>
        <v>0</v>
      </c>
      <c r="P71">
        <f t="shared" si="3"/>
        <v>0.34744088496695952</v>
      </c>
      <c r="Q71">
        <f t="shared" si="5"/>
        <v>-1.0571607436515167</v>
      </c>
    </row>
    <row r="72" spans="1:17" x14ac:dyDescent="0.4">
      <c r="A72">
        <v>70</v>
      </c>
      <c r="B72">
        <v>2</v>
      </c>
      <c r="C72">
        <v>0</v>
      </c>
      <c r="D72">
        <v>8.6624999999999996</v>
      </c>
      <c r="E72">
        <v>26</v>
      </c>
      <c r="F72">
        <v>0</v>
      </c>
      <c r="G72">
        <v>0</v>
      </c>
      <c r="H72">
        <v>0</v>
      </c>
      <c r="I72">
        <v>1</v>
      </c>
      <c r="J72">
        <v>1</v>
      </c>
      <c r="K72">
        <v>0</v>
      </c>
      <c r="L72">
        <v>0</v>
      </c>
      <c r="M72">
        <v>1</v>
      </c>
      <c r="N72">
        <v>0</v>
      </c>
      <c r="O72" s="14">
        <f t="shared" si="4"/>
        <v>0</v>
      </c>
      <c r="P72">
        <f t="shared" si="3"/>
        <v>5.3944829242234836E-2</v>
      </c>
      <c r="Q72">
        <f t="shared" si="5"/>
        <v>-5.5454391590885332E-2</v>
      </c>
    </row>
    <row r="73" spans="1:17" x14ac:dyDescent="0.4">
      <c r="A73">
        <v>71</v>
      </c>
      <c r="B73">
        <v>0</v>
      </c>
      <c r="C73">
        <v>0</v>
      </c>
      <c r="D73">
        <v>10.5</v>
      </c>
      <c r="E73">
        <v>32</v>
      </c>
      <c r="F73">
        <v>0</v>
      </c>
      <c r="G73">
        <v>0</v>
      </c>
      <c r="H73">
        <v>1</v>
      </c>
      <c r="I73">
        <v>0</v>
      </c>
      <c r="J73">
        <v>1</v>
      </c>
      <c r="K73">
        <v>0</v>
      </c>
      <c r="L73">
        <v>0</v>
      </c>
      <c r="M73">
        <v>1</v>
      </c>
      <c r="N73">
        <v>0</v>
      </c>
      <c r="O73" s="14">
        <f t="shared" si="4"/>
        <v>0</v>
      </c>
      <c r="P73">
        <f t="shared" si="3"/>
        <v>0.22835374288624674</v>
      </c>
      <c r="Q73">
        <f t="shared" si="5"/>
        <v>-0.25922905014436703</v>
      </c>
    </row>
    <row r="74" spans="1:17" x14ac:dyDescent="0.4">
      <c r="A74">
        <v>72</v>
      </c>
      <c r="B74">
        <v>5</v>
      </c>
      <c r="C74">
        <v>2</v>
      </c>
      <c r="D74">
        <v>46.9</v>
      </c>
      <c r="E74">
        <v>16</v>
      </c>
      <c r="F74">
        <v>1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</v>
      </c>
      <c r="N74">
        <v>0</v>
      </c>
      <c r="O74" s="14">
        <f t="shared" si="4"/>
        <v>0</v>
      </c>
      <c r="P74">
        <f t="shared" si="3"/>
        <v>0.30521995444518119</v>
      </c>
      <c r="Q74">
        <f t="shared" si="5"/>
        <v>-0.36415996472418188</v>
      </c>
    </row>
    <row r="75" spans="1:17" x14ac:dyDescent="0.4">
      <c r="A75">
        <v>73</v>
      </c>
      <c r="B75">
        <v>0</v>
      </c>
      <c r="C75">
        <v>0</v>
      </c>
      <c r="D75">
        <v>73.5</v>
      </c>
      <c r="E75">
        <v>21</v>
      </c>
      <c r="F75">
        <v>0</v>
      </c>
      <c r="G75">
        <v>0</v>
      </c>
      <c r="H75">
        <v>1</v>
      </c>
      <c r="I75">
        <v>0</v>
      </c>
      <c r="J75">
        <v>1</v>
      </c>
      <c r="K75">
        <v>0</v>
      </c>
      <c r="L75">
        <v>0</v>
      </c>
      <c r="M75">
        <v>1</v>
      </c>
      <c r="N75">
        <v>0</v>
      </c>
      <c r="O75" s="14">
        <f t="shared" si="4"/>
        <v>0</v>
      </c>
      <c r="P75">
        <f t="shared" si="3"/>
        <v>0.34377503613954769</v>
      </c>
      <c r="Q75">
        <f t="shared" si="5"/>
        <v>-0.42125161611192735</v>
      </c>
    </row>
    <row r="76" spans="1:17" x14ac:dyDescent="0.4">
      <c r="A76">
        <v>74</v>
      </c>
      <c r="B76">
        <v>1</v>
      </c>
      <c r="C76">
        <v>0</v>
      </c>
      <c r="D76">
        <v>14.4542</v>
      </c>
      <c r="E76">
        <v>26</v>
      </c>
      <c r="F76">
        <v>0</v>
      </c>
      <c r="G76">
        <v>0</v>
      </c>
      <c r="H76">
        <v>0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 s="14">
        <f t="shared" si="4"/>
        <v>0</v>
      </c>
      <c r="P76">
        <f t="shared" si="3"/>
        <v>0.10967869870278489</v>
      </c>
      <c r="Q76">
        <f t="shared" si="5"/>
        <v>-0.11617286871185449</v>
      </c>
    </row>
    <row r="77" spans="1:17" x14ac:dyDescent="0.4">
      <c r="A77">
        <v>75</v>
      </c>
      <c r="B77">
        <v>0</v>
      </c>
      <c r="C77">
        <v>0</v>
      </c>
      <c r="D77">
        <v>56.495800000000003</v>
      </c>
      <c r="E77">
        <v>32</v>
      </c>
      <c r="F77">
        <v>0</v>
      </c>
      <c r="G77">
        <v>0</v>
      </c>
      <c r="H77">
        <v>0</v>
      </c>
      <c r="I77">
        <v>1</v>
      </c>
      <c r="J77">
        <v>1</v>
      </c>
      <c r="K77">
        <v>0</v>
      </c>
      <c r="L77">
        <v>0</v>
      </c>
      <c r="M77">
        <v>1</v>
      </c>
      <c r="N77">
        <v>1</v>
      </c>
      <c r="O77" s="14">
        <f t="shared" si="4"/>
        <v>0</v>
      </c>
      <c r="P77">
        <f t="shared" si="3"/>
        <v>8.7882395625793627E-2</v>
      </c>
      <c r="Q77">
        <f t="shared" si="5"/>
        <v>-2.4317557716439069</v>
      </c>
    </row>
    <row r="78" spans="1:17" x14ac:dyDescent="0.4">
      <c r="A78">
        <v>76</v>
      </c>
      <c r="B78">
        <v>0</v>
      </c>
      <c r="C78">
        <v>0</v>
      </c>
      <c r="D78">
        <v>7.65</v>
      </c>
      <c r="E78">
        <v>25</v>
      </c>
      <c r="F78">
        <v>0</v>
      </c>
      <c r="G78">
        <v>0</v>
      </c>
      <c r="H78">
        <v>0</v>
      </c>
      <c r="I78">
        <v>1</v>
      </c>
      <c r="J78">
        <v>1</v>
      </c>
      <c r="K78">
        <v>0</v>
      </c>
      <c r="L78">
        <v>0</v>
      </c>
      <c r="M78">
        <v>1</v>
      </c>
      <c r="N78">
        <v>0</v>
      </c>
      <c r="O78" s="14">
        <f t="shared" si="4"/>
        <v>0</v>
      </c>
      <c r="P78">
        <f t="shared" si="3"/>
        <v>0.10116712200711021</v>
      </c>
      <c r="Q78">
        <f t="shared" si="5"/>
        <v>-0.10665815946361092</v>
      </c>
    </row>
    <row r="79" spans="1:17" x14ac:dyDescent="0.4">
      <c r="A79">
        <v>77</v>
      </c>
      <c r="B79">
        <v>0</v>
      </c>
      <c r="C79">
        <v>0</v>
      </c>
      <c r="D79">
        <v>7.8958000000000004</v>
      </c>
      <c r="E79">
        <v>28</v>
      </c>
      <c r="F79">
        <v>0</v>
      </c>
      <c r="G79">
        <v>0</v>
      </c>
      <c r="H79">
        <v>0</v>
      </c>
      <c r="I79">
        <v>1</v>
      </c>
      <c r="J79">
        <v>1</v>
      </c>
      <c r="K79">
        <v>0</v>
      </c>
      <c r="L79">
        <v>0</v>
      </c>
      <c r="M79">
        <v>1</v>
      </c>
      <c r="N79">
        <v>0</v>
      </c>
      <c r="O79" s="14">
        <f t="shared" si="4"/>
        <v>0</v>
      </c>
      <c r="P79">
        <f t="shared" si="3"/>
        <v>9.117888566880443E-2</v>
      </c>
      <c r="Q79">
        <f t="shared" si="5"/>
        <v>-9.5606998086197895E-2</v>
      </c>
    </row>
    <row r="80" spans="1:17" x14ac:dyDescent="0.4">
      <c r="A80">
        <v>78</v>
      </c>
      <c r="B80">
        <v>0</v>
      </c>
      <c r="C80">
        <v>0</v>
      </c>
      <c r="D80">
        <v>8.0500000000000007</v>
      </c>
      <c r="E80">
        <v>28</v>
      </c>
      <c r="F80">
        <v>0</v>
      </c>
      <c r="G80">
        <v>0</v>
      </c>
      <c r="H80">
        <v>0</v>
      </c>
      <c r="I80">
        <v>1</v>
      </c>
      <c r="J80">
        <v>1</v>
      </c>
      <c r="K80">
        <v>0</v>
      </c>
      <c r="L80">
        <v>0</v>
      </c>
      <c r="M80">
        <v>1</v>
      </c>
      <c r="N80">
        <v>0</v>
      </c>
      <c r="O80" s="14">
        <f t="shared" si="4"/>
        <v>0</v>
      </c>
      <c r="P80">
        <f t="shared" si="3"/>
        <v>9.1208772698105012E-2</v>
      </c>
      <c r="Q80">
        <f t="shared" si="5"/>
        <v>-9.5639884118734919E-2</v>
      </c>
    </row>
    <row r="81" spans="1:17" x14ac:dyDescent="0.4">
      <c r="A81">
        <v>79</v>
      </c>
      <c r="B81">
        <v>0</v>
      </c>
      <c r="C81">
        <v>2</v>
      </c>
      <c r="D81">
        <v>29</v>
      </c>
      <c r="E81">
        <v>0.83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>
        <v>0</v>
      </c>
      <c r="M81">
        <v>1</v>
      </c>
      <c r="N81">
        <v>1</v>
      </c>
      <c r="O81" s="14">
        <f t="shared" si="4"/>
        <v>0</v>
      </c>
      <c r="P81">
        <f t="shared" si="3"/>
        <v>0.46002378803277105</v>
      </c>
      <c r="Q81">
        <f t="shared" si="5"/>
        <v>-0.77647707772135366</v>
      </c>
    </row>
    <row r="82" spans="1:17" x14ac:dyDescent="0.4">
      <c r="A82">
        <v>80</v>
      </c>
      <c r="B82">
        <v>0</v>
      </c>
      <c r="C82">
        <v>0</v>
      </c>
      <c r="D82">
        <v>12.475</v>
      </c>
      <c r="E82">
        <v>30</v>
      </c>
      <c r="F82">
        <v>1</v>
      </c>
      <c r="G82">
        <v>0</v>
      </c>
      <c r="H82">
        <v>0</v>
      </c>
      <c r="I82">
        <v>1</v>
      </c>
      <c r="J82">
        <v>1</v>
      </c>
      <c r="K82">
        <v>0</v>
      </c>
      <c r="L82">
        <v>0</v>
      </c>
      <c r="M82">
        <v>1</v>
      </c>
      <c r="N82">
        <v>1</v>
      </c>
      <c r="O82" s="14">
        <f t="shared" si="4"/>
        <v>1</v>
      </c>
      <c r="P82">
        <f t="shared" si="3"/>
        <v>0.58757249812976831</v>
      </c>
      <c r="Q82">
        <f t="shared" si="5"/>
        <v>-0.53175563950516291</v>
      </c>
    </row>
    <row r="83" spans="1:17" x14ac:dyDescent="0.4">
      <c r="A83">
        <v>81</v>
      </c>
      <c r="B83">
        <v>0</v>
      </c>
      <c r="C83">
        <v>0</v>
      </c>
      <c r="D83">
        <v>9</v>
      </c>
      <c r="E83">
        <v>22</v>
      </c>
      <c r="F83">
        <v>0</v>
      </c>
      <c r="G83">
        <v>0</v>
      </c>
      <c r="H83">
        <v>0</v>
      </c>
      <c r="I83">
        <v>1</v>
      </c>
      <c r="J83">
        <v>1</v>
      </c>
      <c r="K83">
        <v>0</v>
      </c>
      <c r="L83">
        <v>0</v>
      </c>
      <c r="M83">
        <v>1</v>
      </c>
      <c r="N83">
        <v>0</v>
      </c>
      <c r="O83" s="14">
        <f t="shared" si="4"/>
        <v>0</v>
      </c>
      <c r="P83">
        <f t="shared" si="3"/>
        <v>0.11248658374493532</v>
      </c>
      <c r="Q83">
        <f t="shared" si="5"/>
        <v>-0.1193316408397104</v>
      </c>
    </row>
    <row r="84" spans="1:17" x14ac:dyDescent="0.4">
      <c r="A84">
        <v>82</v>
      </c>
      <c r="B84">
        <v>0</v>
      </c>
      <c r="C84">
        <v>0</v>
      </c>
      <c r="D84">
        <v>9.5</v>
      </c>
      <c r="E84">
        <v>29</v>
      </c>
      <c r="F84">
        <v>0</v>
      </c>
      <c r="G84">
        <v>0</v>
      </c>
      <c r="H84">
        <v>0</v>
      </c>
      <c r="I84">
        <v>1</v>
      </c>
      <c r="J84">
        <v>1</v>
      </c>
      <c r="K84">
        <v>0</v>
      </c>
      <c r="L84">
        <v>0</v>
      </c>
      <c r="M84">
        <v>1</v>
      </c>
      <c r="N84">
        <v>1</v>
      </c>
      <c r="O84" s="14">
        <f t="shared" si="4"/>
        <v>0</v>
      </c>
      <c r="P84">
        <f t="shared" si="3"/>
        <v>8.8338012613833644E-2</v>
      </c>
      <c r="Q84">
        <f t="shared" si="5"/>
        <v>-2.4265847700802476</v>
      </c>
    </row>
    <row r="85" spans="1:17" x14ac:dyDescent="0.4">
      <c r="A85">
        <v>83</v>
      </c>
      <c r="B85">
        <v>0</v>
      </c>
      <c r="C85">
        <v>0</v>
      </c>
      <c r="D85">
        <v>7.7874999999999996</v>
      </c>
      <c r="E85">
        <v>28</v>
      </c>
      <c r="F85">
        <v>1</v>
      </c>
      <c r="G85">
        <v>0</v>
      </c>
      <c r="H85">
        <v>0</v>
      </c>
      <c r="I85">
        <v>1</v>
      </c>
      <c r="J85">
        <v>0</v>
      </c>
      <c r="K85">
        <v>1</v>
      </c>
      <c r="L85">
        <v>0</v>
      </c>
      <c r="M85">
        <v>1</v>
      </c>
      <c r="N85">
        <v>1</v>
      </c>
      <c r="O85" s="14">
        <f t="shared" si="4"/>
        <v>1</v>
      </c>
      <c r="P85">
        <f t="shared" si="3"/>
        <v>0.68960267700235667</v>
      </c>
      <c r="Q85">
        <f t="shared" si="5"/>
        <v>-0.37163967767621425</v>
      </c>
    </row>
    <row r="86" spans="1:17" x14ac:dyDescent="0.4">
      <c r="A86">
        <v>84</v>
      </c>
      <c r="B86">
        <v>0</v>
      </c>
      <c r="C86">
        <v>0</v>
      </c>
      <c r="D86">
        <v>47.1</v>
      </c>
      <c r="E86">
        <v>28</v>
      </c>
      <c r="F86">
        <v>0</v>
      </c>
      <c r="G86">
        <v>1</v>
      </c>
      <c r="H86">
        <v>0</v>
      </c>
      <c r="I86">
        <v>0</v>
      </c>
      <c r="J86">
        <v>1</v>
      </c>
      <c r="K86">
        <v>0</v>
      </c>
      <c r="L86">
        <v>0</v>
      </c>
      <c r="M86">
        <v>1</v>
      </c>
      <c r="N86">
        <v>0</v>
      </c>
      <c r="O86" s="14">
        <f t="shared" si="4"/>
        <v>0</v>
      </c>
      <c r="P86">
        <f t="shared" si="3"/>
        <v>0.48550935650958121</v>
      </c>
      <c r="Q86">
        <f t="shared" si="5"/>
        <v>-0.66457790950911966</v>
      </c>
    </row>
    <row r="87" spans="1:17" x14ac:dyDescent="0.4">
      <c r="A87">
        <v>85</v>
      </c>
      <c r="B87">
        <v>0</v>
      </c>
      <c r="C87">
        <v>0</v>
      </c>
      <c r="D87">
        <v>10.5</v>
      </c>
      <c r="E87">
        <v>17</v>
      </c>
      <c r="F87">
        <v>1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>
        <v>1</v>
      </c>
      <c r="N87">
        <v>1</v>
      </c>
      <c r="O87" s="14">
        <f t="shared" si="4"/>
        <v>1</v>
      </c>
      <c r="P87">
        <f t="shared" si="3"/>
        <v>0.88893002189605774</v>
      </c>
      <c r="Q87">
        <f t="shared" si="5"/>
        <v>-0.1177367620939563</v>
      </c>
    </row>
    <row r="88" spans="1:17" x14ac:dyDescent="0.4">
      <c r="A88">
        <v>86</v>
      </c>
      <c r="B88">
        <v>3</v>
      </c>
      <c r="C88">
        <v>0</v>
      </c>
      <c r="D88">
        <v>15.85</v>
      </c>
      <c r="E88">
        <v>33</v>
      </c>
      <c r="F88">
        <v>1</v>
      </c>
      <c r="G88">
        <v>0</v>
      </c>
      <c r="H88">
        <v>0</v>
      </c>
      <c r="I88">
        <v>1</v>
      </c>
      <c r="J88">
        <v>1</v>
      </c>
      <c r="K88">
        <v>0</v>
      </c>
      <c r="L88">
        <v>0</v>
      </c>
      <c r="M88">
        <v>1</v>
      </c>
      <c r="N88">
        <v>1</v>
      </c>
      <c r="O88" s="14">
        <f t="shared" si="4"/>
        <v>0</v>
      </c>
      <c r="P88">
        <f t="shared" si="3"/>
        <v>0.32749614320136677</v>
      </c>
      <c r="Q88">
        <f t="shared" si="5"/>
        <v>-1.1162790004605501</v>
      </c>
    </row>
    <row r="89" spans="1:17" x14ac:dyDescent="0.4">
      <c r="A89">
        <v>87</v>
      </c>
      <c r="B89">
        <v>1</v>
      </c>
      <c r="C89">
        <v>3</v>
      </c>
      <c r="D89">
        <v>34.375</v>
      </c>
      <c r="E89">
        <v>16</v>
      </c>
      <c r="F89">
        <v>0</v>
      </c>
      <c r="G89">
        <v>0</v>
      </c>
      <c r="H89">
        <v>0</v>
      </c>
      <c r="I89">
        <v>1</v>
      </c>
      <c r="J89">
        <v>1</v>
      </c>
      <c r="K89">
        <v>0</v>
      </c>
      <c r="L89">
        <v>0</v>
      </c>
      <c r="M89">
        <v>1</v>
      </c>
      <c r="N89">
        <v>0</v>
      </c>
      <c r="O89" s="14">
        <f t="shared" si="4"/>
        <v>0</v>
      </c>
      <c r="P89">
        <f t="shared" si="3"/>
        <v>8.4935363948512616E-2</v>
      </c>
      <c r="Q89">
        <f t="shared" si="5"/>
        <v>-8.8760575708109093E-2</v>
      </c>
    </row>
    <row r="90" spans="1:17" x14ac:dyDescent="0.4">
      <c r="A90">
        <v>88</v>
      </c>
      <c r="B90">
        <v>0</v>
      </c>
      <c r="C90">
        <v>0</v>
      </c>
      <c r="D90">
        <v>8.0500000000000007</v>
      </c>
      <c r="E90">
        <v>28</v>
      </c>
      <c r="F90">
        <v>0</v>
      </c>
      <c r="G90">
        <v>0</v>
      </c>
      <c r="H90">
        <v>0</v>
      </c>
      <c r="I90">
        <v>1</v>
      </c>
      <c r="J90">
        <v>1</v>
      </c>
      <c r="K90">
        <v>0</v>
      </c>
      <c r="L90">
        <v>0</v>
      </c>
      <c r="M90">
        <v>1</v>
      </c>
      <c r="N90">
        <v>0</v>
      </c>
      <c r="O90" s="14">
        <f t="shared" si="4"/>
        <v>0</v>
      </c>
      <c r="P90">
        <f t="shared" si="3"/>
        <v>9.1208772698105012E-2</v>
      </c>
      <c r="Q90">
        <f t="shared" si="5"/>
        <v>-9.5639884118734919E-2</v>
      </c>
    </row>
    <row r="91" spans="1:17" x14ac:dyDescent="0.4">
      <c r="A91">
        <v>89</v>
      </c>
      <c r="B91">
        <v>3</v>
      </c>
      <c r="C91">
        <v>2</v>
      </c>
      <c r="D91">
        <v>263</v>
      </c>
      <c r="E91">
        <v>23</v>
      </c>
      <c r="F91">
        <v>1</v>
      </c>
      <c r="G91">
        <v>1</v>
      </c>
      <c r="H91">
        <v>0</v>
      </c>
      <c r="I91">
        <v>0</v>
      </c>
      <c r="J91">
        <v>1</v>
      </c>
      <c r="K91">
        <v>0</v>
      </c>
      <c r="L91">
        <v>0</v>
      </c>
      <c r="M91">
        <v>1</v>
      </c>
      <c r="N91">
        <v>1</v>
      </c>
      <c r="O91" s="14">
        <f t="shared" si="4"/>
        <v>1</v>
      </c>
      <c r="P91">
        <f t="shared" si="3"/>
        <v>0.90084573380429611</v>
      </c>
      <c r="Q91">
        <f t="shared" si="5"/>
        <v>-0.10442125267644246</v>
      </c>
    </row>
    <row r="92" spans="1:17" x14ac:dyDescent="0.4">
      <c r="A92">
        <v>90</v>
      </c>
      <c r="B92">
        <v>0</v>
      </c>
      <c r="C92">
        <v>0</v>
      </c>
      <c r="D92">
        <v>8.0500000000000007</v>
      </c>
      <c r="E92">
        <v>24</v>
      </c>
      <c r="F92">
        <v>0</v>
      </c>
      <c r="G92">
        <v>0</v>
      </c>
      <c r="H92">
        <v>0</v>
      </c>
      <c r="I92">
        <v>1</v>
      </c>
      <c r="J92">
        <v>1</v>
      </c>
      <c r="K92">
        <v>0</v>
      </c>
      <c r="L92">
        <v>0</v>
      </c>
      <c r="M92">
        <v>1</v>
      </c>
      <c r="N92">
        <v>0</v>
      </c>
      <c r="O92" s="14">
        <f t="shared" si="4"/>
        <v>0</v>
      </c>
      <c r="P92">
        <f t="shared" si="3"/>
        <v>0.10481229340716472</v>
      </c>
      <c r="Q92">
        <f t="shared" si="5"/>
        <v>-0.11072185466044433</v>
      </c>
    </row>
    <row r="93" spans="1:17" x14ac:dyDescent="0.4">
      <c r="A93">
        <v>91</v>
      </c>
      <c r="B93">
        <v>0</v>
      </c>
      <c r="C93">
        <v>0</v>
      </c>
      <c r="D93">
        <v>8.0500000000000007</v>
      </c>
      <c r="E93">
        <v>29</v>
      </c>
      <c r="F93">
        <v>0</v>
      </c>
      <c r="G93">
        <v>0</v>
      </c>
      <c r="H93">
        <v>0</v>
      </c>
      <c r="I93">
        <v>1</v>
      </c>
      <c r="J93">
        <v>1</v>
      </c>
      <c r="K93">
        <v>0</v>
      </c>
      <c r="L93">
        <v>0</v>
      </c>
      <c r="M93">
        <v>1</v>
      </c>
      <c r="N93">
        <v>0</v>
      </c>
      <c r="O93" s="14">
        <f t="shared" si="4"/>
        <v>0</v>
      </c>
      <c r="P93">
        <f t="shared" si="3"/>
        <v>8.8065300213072822E-2</v>
      </c>
      <c r="Q93">
        <f t="shared" si="5"/>
        <v>-9.2186892582113003E-2</v>
      </c>
    </row>
    <row r="94" spans="1:17" x14ac:dyDescent="0.4">
      <c r="A94">
        <v>92</v>
      </c>
      <c r="B94">
        <v>0</v>
      </c>
      <c r="C94">
        <v>0</v>
      </c>
      <c r="D94">
        <v>7.8541999999999996</v>
      </c>
      <c r="E94">
        <v>20</v>
      </c>
      <c r="F94">
        <v>0</v>
      </c>
      <c r="G94">
        <v>0</v>
      </c>
      <c r="H94">
        <v>0</v>
      </c>
      <c r="I94">
        <v>1</v>
      </c>
      <c r="J94">
        <v>1</v>
      </c>
      <c r="K94">
        <v>0</v>
      </c>
      <c r="L94">
        <v>0</v>
      </c>
      <c r="M94">
        <v>1</v>
      </c>
      <c r="N94">
        <v>0</v>
      </c>
      <c r="O94" s="14">
        <f t="shared" si="4"/>
        <v>0</v>
      </c>
      <c r="P94">
        <f t="shared" si="3"/>
        <v>0.12012803132871538</v>
      </c>
      <c r="Q94">
        <f t="shared" si="5"/>
        <v>-0.1279788722408704</v>
      </c>
    </row>
    <row r="95" spans="1:17" x14ac:dyDescent="0.4">
      <c r="A95">
        <v>93</v>
      </c>
      <c r="B95">
        <v>1</v>
      </c>
      <c r="C95">
        <v>0</v>
      </c>
      <c r="D95">
        <v>61.174999999999997</v>
      </c>
      <c r="E95">
        <v>46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1</v>
      </c>
      <c r="N95">
        <v>0</v>
      </c>
      <c r="O95" s="14">
        <f t="shared" si="4"/>
        <v>0</v>
      </c>
      <c r="P95">
        <f t="shared" si="3"/>
        <v>0.26106309072312878</v>
      </c>
      <c r="Q95">
        <f t="shared" si="5"/>
        <v>-0.30254273478144206</v>
      </c>
    </row>
    <row r="96" spans="1:17" x14ac:dyDescent="0.4">
      <c r="A96">
        <v>94</v>
      </c>
      <c r="B96">
        <v>1</v>
      </c>
      <c r="C96">
        <v>2</v>
      </c>
      <c r="D96">
        <v>20.574999999999999</v>
      </c>
      <c r="E96">
        <v>26</v>
      </c>
      <c r="F96">
        <v>0</v>
      </c>
      <c r="G96">
        <v>0</v>
      </c>
      <c r="H96">
        <v>0</v>
      </c>
      <c r="I96">
        <v>1</v>
      </c>
      <c r="J96">
        <v>1</v>
      </c>
      <c r="K96">
        <v>0</v>
      </c>
      <c r="L96">
        <v>0</v>
      </c>
      <c r="M96">
        <v>1</v>
      </c>
      <c r="N96">
        <v>0</v>
      </c>
      <c r="O96" s="14">
        <f t="shared" si="4"/>
        <v>0</v>
      </c>
      <c r="P96">
        <f t="shared" si="3"/>
        <v>6.2898352785835526E-2</v>
      </c>
      <c r="Q96">
        <f t="shared" si="5"/>
        <v>-6.4963521075476469E-2</v>
      </c>
    </row>
    <row r="97" spans="1:17" x14ac:dyDescent="0.4">
      <c r="A97">
        <v>95</v>
      </c>
      <c r="B97">
        <v>0</v>
      </c>
      <c r="C97">
        <v>0</v>
      </c>
      <c r="D97">
        <v>7.25</v>
      </c>
      <c r="E97">
        <v>59</v>
      </c>
      <c r="F97">
        <v>0</v>
      </c>
      <c r="G97">
        <v>0</v>
      </c>
      <c r="H97">
        <v>0</v>
      </c>
      <c r="I97">
        <v>1</v>
      </c>
      <c r="J97">
        <v>1</v>
      </c>
      <c r="K97">
        <v>0</v>
      </c>
      <c r="L97">
        <v>0</v>
      </c>
      <c r="M97">
        <v>1</v>
      </c>
      <c r="N97">
        <v>0</v>
      </c>
      <c r="O97" s="14">
        <f t="shared" si="4"/>
        <v>0</v>
      </c>
      <c r="P97">
        <f t="shared" si="3"/>
        <v>2.945124756531068E-2</v>
      </c>
      <c r="Q97">
        <f t="shared" si="5"/>
        <v>-2.989364328682077E-2</v>
      </c>
    </row>
    <row r="98" spans="1:17" x14ac:dyDescent="0.4">
      <c r="A98">
        <v>96</v>
      </c>
      <c r="B98">
        <v>0</v>
      </c>
      <c r="C98">
        <v>0</v>
      </c>
      <c r="D98">
        <v>8.0500000000000007</v>
      </c>
      <c r="E98">
        <v>28</v>
      </c>
      <c r="F98">
        <v>0</v>
      </c>
      <c r="G98">
        <v>0</v>
      </c>
      <c r="H98">
        <v>0</v>
      </c>
      <c r="I98">
        <v>1</v>
      </c>
      <c r="J98">
        <v>1</v>
      </c>
      <c r="K98">
        <v>0</v>
      </c>
      <c r="L98">
        <v>0</v>
      </c>
      <c r="M98">
        <v>1</v>
      </c>
      <c r="N98">
        <v>0</v>
      </c>
      <c r="O98" s="14">
        <f t="shared" si="4"/>
        <v>0</v>
      </c>
      <c r="P98">
        <f t="shared" si="3"/>
        <v>9.1208772698105012E-2</v>
      </c>
      <c r="Q98">
        <f t="shared" si="5"/>
        <v>-9.5639884118734919E-2</v>
      </c>
    </row>
    <row r="99" spans="1:17" x14ac:dyDescent="0.4">
      <c r="A99">
        <v>97</v>
      </c>
      <c r="B99">
        <v>0</v>
      </c>
      <c r="C99">
        <v>0</v>
      </c>
      <c r="D99">
        <v>34.654200000000003</v>
      </c>
      <c r="E99">
        <v>71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1</v>
      </c>
      <c r="M99">
        <v>1</v>
      </c>
      <c r="N99">
        <v>0</v>
      </c>
      <c r="O99" s="14">
        <f t="shared" si="4"/>
        <v>0</v>
      </c>
      <c r="P99">
        <f t="shared" si="3"/>
        <v>0.21268054012198176</v>
      </c>
      <c r="Q99">
        <f t="shared" si="5"/>
        <v>-0.23912119186357506</v>
      </c>
    </row>
    <row r="100" spans="1:17" x14ac:dyDescent="0.4">
      <c r="A100">
        <v>98</v>
      </c>
      <c r="B100">
        <v>0</v>
      </c>
      <c r="C100">
        <v>1</v>
      </c>
      <c r="D100">
        <v>63.3583</v>
      </c>
      <c r="E100">
        <v>23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1</v>
      </c>
      <c r="O100" s="14">
        <f t="shared" si="4"/>
        <v>1</v>
      </c>
      <c r="P100">
        <f t="shared" si="3"/>
        <v>0.62577847977500656</v>
      </c>
      <c r="Q100">
        <f t="shared" si="5"/>
        <v>-0.46875883668155849</v>
      </c>
    </row>
    <row r="101" spans="1:17" x14ac:dyDescent="0.4">
      <c r="A101">
        <v>99</v>
      </c>
      <c r="B101">
        <v>0</v>
      </c>
      <c r="C101">
        <v>1</v>
      </c>
      <c r="D101">
        <v>23</v>
      </c>
      <c r="E101">
        <v>34</v>
      </c>
      <c r="F101">
        <v>1</v>
      </c>
      <c r="G101">
        <v>0</v>
      </c>
      <c r="H101">
        <v>1</v>
      </c>
      <c r="I101">
        <v>0</v>
      </c>
      <c r="J101">
        <v>1</v>
      </c>
      <c r="K101">
        <v>0</v>
      </c>
      <c r="L101">
        <v>0</v>
      </c>
      <c r="M101">
        <v>1</v>
      </c>
      <c r="N101">
        <v>1</v>
      </c>
      <c r="O101" s="14">
        <f t="shared" si="4"/>
        <v>1</v>
      </c>
      <c r="P101">
        <f t="shared" si="3"/>
        <v>0.79588924744336931</v>
      </c>
      <c r="Q101">
        <f t="shared" si="5"/>
        <v>-0.22829523919579453</v>
      </c>
    </row>
    <row r="102" spans="1:17" x14ac:dyDescent="0.4">
      <c r="A102">
        <v>100</v>
      </c>
      <c r="B102">
        <v>1</v>
      </c>
      <c r="C102">
        <v>0</v>
      </c>
      <c r="D102">
        <v>26</v>
      </c>
      <c r="E102">
        <v>34</v>
      </c>
      <c r="F102">
        <v>0</v>
      </c>
      <c r="G102">
        <v>0</v>
      </c>
      <c r="H102">
        <v>1</v>
      </c>
      <c r="I102">
        <v>0</v>
      </c>
      <c r="J102">
        <v>1</v>
      </c>
      <c r="K102">
        <v>0</v>
      </c>
      <c r="L102">
        <v>0</v>
      </c>
      <c r="M102">
        <v>1</v>
      </c>
      <c r="N102">
        <v>0</v>
      </c>
      <c r="O102" s="14">
        <f t="shared" si="4"/>
        <v>0</v>
      </c>
      <c r="P102">
        <f t="shared" si="3"/>
        <v>0.1707442824455957</v>
      </c>
      <c r="Q102">
        <f t="shared" si="5"/>
        <v>-0.1872267063286942</v>
      </c>
    </row>
    <row r="103" spans="1:17" x14ac:dyDescent="0.4">
      <c r="A103">
        <v>101</v>
      </c>
      <c r="B103">
        <v>0</v>
      </c>
      <c r="C103">
        <v>0</v>
      </c>
      <c r="D103">
        <v>7.8958000000000004</v>
      </c>
      <c r="E103">
        <v>28</v>
      </c>
      <c r="F103">
        <v>1</v>
      </c>
      <c r="G103">
        <v>0</v>
      </c>
      <c r="H103">
        <v>0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 s="14">
        <f t="shared" si="4"/>
        <v>1</v>
      </c>
      <c r="P103">
        <f t="shared" si="3"/>
        <v>0.60355051781862679</v>
      </c>
      <c r="Q103">
        <f t="shared" si="5"/>
        <v>-0.92520665540312874</v>
      </c>
    </row>
    <row r="104" spans="1:17" x14ac:dyDescent="0.4">
      <c r="A104">
        <v>102</v>
      </c>
      <c r="B104">
        <v>0</v>
      </c>
      <c r="C104">
        <v>0</v>
      </c>
      <c r="D104">
        <v>7.8958000000000004</v>
      </c>
      <c r="E104">
        <v>28</v>
      </c>
      <c r="F104">
        <v>0</v>
      </c>
      <c r="G104">
        <v>0</v>
      </c>
      <c r="H104">
        <v>0</v>
      </c>
      <c r="I104">
        <v>1</v>
      </c>
      <c r="J104">
        <v>1</v>
      </c>
      <c r="K104">
        <v>0</v>
      </c>
      <c r="L104">
        <v>0</v>
      </c>
      <c r="M104">
        <v>1</v>
      </c>
      <c r="N104">
        <v>0</v>
      </c>
      <c r="O104" s="14">
        <f t="shared" si="4"/>
        <v>0</v>
      </c>
      <c r="P104">
        <f t="shared" si="3"/>
        <v>9.117888566880443E-2</v>
      </c>
      <c r="Q104">
        <f t="shared" si="5"/>
        <v>-9.5606998086197895E-2</v>
      </c>
    </row>
    <row r="105" spans="1:17" x14ac:dyDescent="0.4">
      <c r="A105">
        <v>103</v>
      </c>
      <c r="B105">
        <v>0</v>
      </c>
      <c r="C105">
        <v>1</v>
      </c>
      <c r="D105">
        <v>77.287499999999994</v>
      </c>
      <c r="E105">
        <v>21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1</v>
      </c>
      <c r="N105">
        <v>0</v>
      </c>
      <c r="O105" s="14">
        <f t="shared" si="4"/>
        <v>1</v>
      </c>
      <c r="P105">
        <f t="shared" si="3"/>
        <v>0.54709415417848939</v>
      </c>
      <c r="Q105">
        <f t="shared" si="5"/>
        <v>-0.79207102097067905</v>
      </c>
    </row>
    <row r="106" spans="1:17" x14ac:dyDescent="0.4">
      <c r="A106">
        <v>104</v>
      </c>
      <c r="B106">
        <v>0</v>
      </c>
      <c r="C106">
        <v>0</v>
      </c>
      <c r="D106">
        <v>8.6541999999999994</v>
      </c>
      <c r="E106">
        <v>33</v>
      </c>
      <c r="F106">
        <v>0</v>
      </c>
      <c r="G106">
        <v>0</v>
      </c>
      <c r="H106">
        <v>0</v>
      </c>
      <c r="I106">
        <v>1</v>
      </c>
      <c r="J106">
        <v>1</v>
      </c>
      <c r="K106">
        <v>0</v>
      </c>
      <c r="L106">
        <v>0</v>
      </c>
      <c r="M106">
        <v>1</v>
      </c>
      <c r="N106">
        <v>0</v>
      </c>
      <c r="O106" s="14">
        <f t="shared" si="4"/>
        <v>0</v>
      </c>
      <c r="P106">
        <f t="shared" si="3"/>
        <v>7.6549560377352194E-2</v>
      </c>
      <c r="Q106">
        <f t="shared" si="5"/>
        <v>-7.9638146594871298E-2</v>
      </c>
    </row>
    <row r="107" spans="1:17" x14ac:dyDescent="0.4">
      <c r="A107">
        <v>105</v>
      </c>
      <c r="B107">
        <v>2</v>
      </c>
      <c r="C107">
        <v>0</v>
      </c>
      <c r="D107">
        <v>7.9249999999999998</v>
      </c>
      <c r="E107">
        <v>37</v>
      </c>
      <c r="F107">
        <v>0</v>
      </c>
      <c r="G107">
        <v>0</v>
      </c>
      <c r="H107">
        <v>0</v>
      </c>
      <c r="I107">
        <v>1</v>
      </c>
      <c r="J107">
        <v>1</v>
      </c>
      <c r="K107">
        <v>0</v>
      </c>
      <c r="L107">
        <v>0</v>
      </c>
      <c r="M107">
        <v>1</v>
      </c>
      <c r="N107">
        <v>0</v>
      </c>
      <c r="O107" s="14">
        <f t="shared" si="4"/>
        <v>0</v>
      </c>
      <c r="P107">
        <f t="shared" si="3"/>
        <v>3.592124238996415E-2</v>
      </c>
      <c r="Q107">
        <f t="shared" si="5"/>
        <v>-3.6582288943156516E-2</v>
      </c>
    </row>
    <row r="108" spans="1:17" x14ac:dyDescent="0.4">
      <c r="A108">
        <v>106</v>
      </c>
      <c r="B108">
        <v>0</v>
      </c>
      <c r="C108">
        <v>0</v>
      </c>
      <c r="D108">
        <v>7.8958000000000004</v>
      </c>
      <c r="E108">
        <v>28</v>
      </c>
      <c r="F108">
        <v>0</v>
      </c>
      <c r="G108">
        <v>0</v>
      </c>
      <c r="H108">
        <v>0</v>
      </c>
      <c r="I108">
        <v>1</v>
      </c>
      <c r="J108">
        <v>1</v>
      </c>
      <c r="K108">
        <v>0</v>
      </c>
      <c r="L108">
        <v>0</v>
      </c>
      <c r="M108">
        <v>1</v>
      </c>
      <c r="N108">
        <v>0</v>
      </c>
      <c r="O108" s="14">
        <f t="shared" si="4"/>
        <v>0</v>
      </c>
      <c r="P108">
        <f t="shared" si="3"/>
        <v>9.117888566880443E-2</v>
      </c>
      <c r="Q108">
        <f t="shared" si="5"/>
        <v>-9.5606998086197895E-2</v>
      </c>
    </row>
    <row r="109" spans="1:17" x14ac:dyDescent="0.4">
      <c r="A109">
        <v>107</v>
      </c>
      <c r="B109">
        <v>0</v>
      </c>
      <c r="C109">
        <v>0</v>
      </c>
      <c r="D109">
        <v>7.65</v>
      </c>
      <c r="E109">
        <v>21</v>
      </c>
      <c r="F109">
        <v>1</v>
      </c>
      <c r="G109">
        <v>0</v>
      </c>
      <c r="H109">
        <v>0</v>
      </c>
      <c r="I109">
        <v>1</v>
      </c>
      <c r="J109">
        <v>1</v>
      </c>
      <c r="K109">
        <v>0</v>
      </c>
      <c r="L109">
        <v>0</v>
      </c>
      <c r="M109">
        <v>1</v>
      </c>
      <c r="N109">
        <v>1</v>
      </c>
      <c r="O109" s="14">
        <f t="shared" si="4"/>
        <v>1</v>
      </c>
      <c r="P109">
        <f t="shared" si="3"/>
        <v>0.66583003775500726</v>
      </c>
      <c r="Q109">
        <f t="shared" si="5"/>
        <v>-0.40672083957649824</v>
      </c>
    </row>
    <row r="110" spans="1:17" x14ac:dyDescent="0.4">
      <c r="A110">
        <v>108</v>
      </c>
      <c r="B110">
        <v>0</v>
      </c>
      <c r="C110">
        <v>0</v>
      </c>
      <c r="D110">
        <v>7.7750000000000004</v>
      </c>
      <c r="E110">
        <v>28</v>
      </c>
      <c r="F110">
        <v>0</v>
      </c>
      <c r="G110">
        <v>0</v>
      </c>
      <c r="H110">
        <v>0</v>
      </c>
      <c r="I110">
        <v>1</v>
      </c>
      <c r="J110">
        <v>1</v>
      </c>
      <c r="K110">
        <v>0</v>
      </c>
      <c r="L110">
        <v>0</v>
      </c>
      <c r="M110">
        <v>1</v>
      </c>
      <c r="N110">
        <v>1</v>
      </c>
      <c r="O110" s="14">
        <f t="shared" si="4"/>
        <v>0</v>
      </c>
      <c r="P110">
        <f t="shared" si="3"/>
        <v>9.1155478379431165E-2</v>
      </c>
      <c r="Q110">
        <f t="shared" si="5"/>
        <v>-2.3951886767625168</v>
      </c>
    </row>
    <row r="111" spans="1:17" x14ac:dyDescent="0.4">
      <c r="A111">
        <v>109</v>
      </c>
      <c r="B111">
        <v>0</v>
      </c>
      <c r="C111">
        <v>0</v>
      </c>
      <c r="D111">
        <v>7.8958000000000004</v>
      </c>
      <c r="E111">
        <v>38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1</v>
      </c>
      <c r="N111">
        <v>0</v>
      </c>
      <c r="O111" s="14">
        <f t="shared" si="4"/>
        <v>0</v>
      </c>
      <c r="P111">
        <f t="shared" si="3"/>
        <v>6.3889421184945866E-2</v>
      </c>
      <c r="Q111">
        <f t="shared" si="5"/>
        <v>-6.6021669722823639E-2</v>
      </c>
    </row>
    <row r="112" spans="1:17" x14ac:dyDescent="0.4">
      <c r="A112">
        <v>110</v>
      </c>
      <c r="B112">
        <v>1</v>
      </c>
      <c r="C112">
        <v>0</v>
      </c>
      <c r="D112">
        <v>24.15</v>
      </c>
      <c r="E112">
        <v>28</v>
      </c>
      <c r="F112">
        <v>1</v>
      </c>
      <c r="G112">
        <v>0</v>
      </c>
      <c r="H112">
        <v>0</v>
      </c>
      <c r="I112">
        <v>1</v>
      </c>
      <c r="J112">
        <v>0</v>
      </c>
      <c r="K112">
        <v>1</v>
      </c>
      <c r="L112">
        <v>0</v>
      </c>
      <c r="M112">
        <v>1</v>
      </c>
      <c r="N112">
        <v>1</v>
      </c>
      <c r="O112" s="14">
        <f t="shared" si="4"/>
        <v>1</v>
      </c>
      <c r="P112">
        <f t="shared" si="3"/>
        <v>0.62588401914661718</v>
      </c>
      <c r="Q112">
        <f t="shared" si="5"/>
        <v>-0.46859019797591434</v>
      </c>
    </row>
    <row r="113" spans="1:17" x14ac:dyDescent="0.4">
      <c r="A113">
        <v>111</v>
      </c>
      <c r="B113">
        <v>0</v>
      </c>
      <c r="C113">
        <v>0</v>
      </c>
      <c r="D113">
        <v>52</v>
      </c>
      <c r="E113">
        <v>47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1</v>
      </c>
      <c r="N113">
        <v>0</v>
      </c>
      <c r="O113" s="14">
        <f t="shared" si="4"/>
        <v>0</v>
      </c>
      <c r="P113">
        <f t="shared" si="3"/>
        <v>0.31464244005803593</v>
      </c>
      <c r="Q113">
        <f t="shared" si="5"/>
        <v>-0.3778145915901216</v>
      </c>
    </row>
    <row r="114" spans="1:17" x14ac:dyDescent="0.4">
      <c r="A114">
        <v>112</v>
      </c>
      <c r="B114">
        <v>1</v>
      </c>
      <c r="C114">
        <v>0</v>
      </c>
      <c r="D114">
        <v>14.4542</v>
      </c>
      <c r="E114">
        <v>14.5</v>
      </c>
      <c r="F114">
        <v>1</v>
      </c>
      <c r="G114">
        <v>0</v>
      </c>
      <c r="H114">
        <v>0</v>
      </c>
      <c r="I114">
        <v>1</v>
      </c>
      <c r="J114">
        <v>0</v>
      </c>
      <c r="K114">
        <v>0</v>
      </c>
      <c r="L114">
        <v>1</v>
      </c>
      <c r="M114">
        <v>1</v>
      </c>
      <c r="N114">
        <v>0</v>
      </c>
      <c r="O114" s="14">
        <f t="shared" si="4"/>
        <v>1</v>
      </c>
      <c r="P114">
        <f t="shared" si="3"/>
        <v>0.74433475654426962</v>
      </c>
      <c r="Q114">
        <f t="shared" si="5"/>
        <v>-1.3638863329644673</v>
      </c>
    </row>
    <row r="115" spans="1:17" x14ac:dyDescent="0.4">
      <c r="A115">
        <v>113</v>
      </c>
      <c r="B115">
        <v>0</v>
      </c>
      <c r="C115">
        <v>0</v>
      </c>
      <c r="D115">
        <v>8.0500000000000007</v>
      </c>
      <c r="E115">
        <v>22</v>
      </c>
      <c r="F115">
        <v>0</v>
      </c>
      <c r="G115">
        <v>0</v>
      </c>
      <c r="H115">
        <v>0</v>
      </c>
      <c r="I115">
        <v>1</v>
      </c>
      <c r="J115">
        <v>1</v>
      </c>
      <c r="K115">
        <v>0</v>
      </c>
      <c r="L115">
        <v>0</v>
      </c>
      <c r="M115">
        <v>1</v>
      </c>
      <c r="N115">
        <v>0</v>
      </c>
      <c r="O115" s="14">
        <f t="shared" si="4"/>
        <v>0</v>
      </c>
      <c r="P115">
        <f t="shared" si="3"/>
        <v>0.11226497494541311</v>
      </c>
      <c r="Q115">
        <f t="shared" si="5"/>
        <v>-0.11908197572747416</v>
      </c>
    </row>
    <row r="116" spans="1:17" x14ac:dyDescent="0.4">
      <c r="A116">
        <v>114</v>
      </c>
      <c r="B116">
        <v>1</v>
      </c>
      <c r="C116">
        <v>0</v>
      </c>
      <c r="D116">
        <v>9.8249999999999993</v>
      </c>
      <c r="E116">
        <v>20</v>
      </c>
      <c r="F116">
        <v>1</v>
      </c>
      <c r="G116">
        <v>0</v>
      </c>
      <c r="H116">
        <v>0</v>
      </c>
      <c r="I116">
        <v>1</v>
      </c>
      <c r="J116">
        <v>1</v>
      </c>
      <c r="K116">
        <v>0</v>
      </c>
      <c r="L116">
        <v>0</v>
      </c>
      <c r="M116">
        <v>1</v>
      </c>
      <c r="N116">
        <v>0</v>
      </c>
      <c r="O116" s="14">
        <f t="shared" si="4"/>
        <v>1</v>
      </c>
      <c r="P116">
        <f t="shared" si="3"/>
        <v>0.60134385519550415</v>
      </c>
      <c r="Q116">
        <f t="shared" si="5"/>
        <v>-0.91965602611882458</v>
      </c>
    </row>
    <row r="117" spans="1:17" x14ac:dyDescent="0.4">
      <c r="A117">
        <v>115</v>
      </c>
      <c r="B117">
        <v>0</v>
      </c>
      <c r="C117">
        <v>0</v>
      </c>
      <c r="D117">
        <v>14.458299999999999</v>
      </c>
      <c r="E117">
        <v>17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1</v>
      </c>
      <c r="M117">
        <v>1</v>
      </c>
      <c r="N117">
        <v>0</v>
      </c>
      <c r="O117" s="14">
        <f t="shared" si="4"/>
        <v>1</v>
      </c>
      <c r="P117">
        <f t="shared" si="3"/>
        <v>0.78486514630316084</v>
      </c>
      <c r="Q117">
        <f t="shared" si="5"/>
        <v>-1.5364902209818727</v>
      </c>
    </row>
    <row r="118" spans="1:17" x14ac:dyDescent="0.4">
      <c r="A118">
        <v>116</v>
      </c>
      <c r="B118">
        <v>0</v>
      </c>
      <c r="C118">
        <v>0</v>
      </c>
      <c r="D118">
        <v>7.9249999999999998</v>
      </c>
      <c r="E118">
        <v>21</v>
      </c>
      <c r="F118">
        <v>0</v>
      </c>
      <c r="G118">
        <v>0</v>
      </c>
      <c r="H118">
        <v>0</v>
      </c>
      <c r="I118">
        <v>1</v>
      </c>
      <c r="J118">
        <v>1</v>
      </c>
      <c r="K118">
        <v>0</v>
      </c>
      <c r="L118">
        <v>0</v>
      </c>
      <c r="M118">
        <v>1</v>
      </c>
      <c r="N118">
        <v>0</v>
      </c>
      <c r="O118" s="14">
        <f t="shared" si="4"/>
        <v>0</v>
      </c>
      <c r="P118">
        <f t="shared" si="3"/>
        <v>0.11613220902980467</v>
      </c>
      <c r="Q118">
        <f t="shared" si="5"/>
        <v>-0.12344778525538895</v>
      </c>
    </row>
    <row r="119" spans="1:17" x14ac:dyDescent="0.4">
      <c r="A119">
        <v>117</v>
      </c>
      <c r="B119">
        <v>0</v>
      </c>
      <c r="C119">
        <v>0</v>
      </c>
      <c r="D119">
        <v>7.75</v>
      </c>
      <c r="E119">
        <v>70.5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1</v>
      </c>
      <c r="N119">
        <v>0</v>
      </c>
      <c r="O119" s="14">
        <f t="shared" si="4"/>
        <v>0</v>
      </c>
      <c r="P119">
        <f t="shared" si="3"/>
        <v>2.7685659418453176E-2</v>
      </c>
      <c r="Q119">
        <f t="shared" si="5"/>
        <v>-2.8076131142775448E-2</v>
      </c>
    </row>
    <row r="120" spans="1:17" x14ac:dyDescent="0.4">
      <c r="A120">
        <v>118</v>
      </c>
      <c r="B120">
        <v>1</v>
      </c>
      <c r="C120">
        <v>0</v>
      </c>
      <c r="D120">
        <v>21</v>
      </c>
      <c r="E120">
        <v>29</v>
      </c>
      <c r="F120">
        <v>0</v>
      </c>
      <c r="G120">
        <v>0</v>
      </c>
      <c r="H120">
        <v>1</v>
      </c>
      <c r="I120">
        <v>0</v>
      </c>
      <c r="J120">
        <v>1</v>
      </c>
      <c r="K120">
        <v>0</v>
      </c>
      <c r="L120">
        <v>0</v>
      </c>
      <c r="M120">
        <v>1</v>
      </c>
      <c r="N120">
        <v>0</v>
      </c>
      <c r="O120" s="14">
        <f t="shared" si="4"/>
        <v>0</v>
      </c>
      <c r="P120">
        <f t="shared" si="3"/>
        <v>0.19790701074751008</v>
      </c>
      <c r="Q120">
        <f t="shared" si="5"/>
        <v>-0.22053073113805624</v>
      </c>
    </row>
    <row r="121" spans="1:17" x14ac:dyDescent="0.4">
      <c r="A121">
        <v>119</v>
      </c>
      <c r="B121">
        <v>0</v>
      </c>
      <c r="C121">
        <v>1</v>
      </c>
      <c r="D121">
        <v>247.52080000000001</v>
      </c>
      <c r="E121">
        <v>24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1</v>
      </c>
      <c r="N121">
        <v>0</v>
      </c>
      <c r="O121" s="14">
        <f t="shared" si="4"/>
        <v>1</v>
      </c>
      <c r="P121">
        <f t="shared" si="3"/>
        <v>0.71224471131693823</v>
      </c>
      <c r="Q121">
        <f t="shared" si="5"/>
        <v>-1.2456448521118189</v>
      </c>
    </row>
    <row r="122" spans="1:17" x14ac:dyDescent="0.4">
      <c r="A122">
        <v>120</v>
      </c>
      <c r="B122">
        <v>4</v>
      </c>
      <c r="C122">
        <v>2</v>
      </c>
      <c r="D122">
        <v>31.274999999999999</v>
      </c>
      <c r="E122">
        <v>2</v>
      </c>
      <c r="F122">
        <v>1</v>
      </c>
      <c r="G122">
        <v>0</v>
      </c>
      <c r="H122">
        <v>0</v>
      </c>
      <c r="I122">
        <v>1</v>
      </c>
      <c r="J122">
        <v>1</v>
      </c>
      <c r="K122">
        <v>0</v>
      </c>
      <c r="L122">
        <v>0</v>
      </c>
      <c r="M122">
        <v>1</v>
      </c>
      <c r="N122">
        <v>0</v>
      </c>
      <c r="O122" s="14">
        <f t="shared" si="4"/>
        <v>1</v>
      </c>
      <c r="P122">
        <f t="shared" si="3"/>
        <v>0.500545540103289</v>
      </c>
      <c r="Q122">
        <f t="shared" si="5"/>
        <v>-0.69423885642784755</v>
      </c>
    </row>
    <row r="123" spans="1:17" x14ac:dyDescent="0.4">
      <c r="A123">
        <v>121</v>
      </c>
      <c r="B123">
        <v>2</v>
      </c>
      <c r="C123">
        <v>0</v>
      </c>
      <c r="D123">
        <v>73.5</v>
      </c>
      <c r="E123">
        <v>21</v>
      </c>
      <c r="F123">
        <v>0</v>
      </c>
      <c r="G123">
        <v>0</v>
      </c>
      <c r="H123">
        <v>1</v>
      </c>
      <c r="I123">
        <v>0</v>
      </c>
      <c r="J123">
        <v>1</v>
      </c>
      <c r="K123">
        <v>0</v>
      </c>
      <c r="L123">
        <v>0</v>
      </c>
      <c r="M123">
        <v>1</v>
      </c>
      <c r="N123">
        <v>0</v>
      </c>
      <c r="O123" s="14">
        <f t="shared" si="4"/>
        <v>0</v>
      </c>
      <c r="P123">
        <f t="shared" si="3"/>
        <v>0.21578946236933327</v>
      </c>
      <c r="Q123">
        <f t="shared" si="5"/>
        <v>-0.24307775178666013</v>
      </c>
    </row>
    <row r="124" spans="1:17" x14ac:dyDescent="0.4">
      <c r="A124">
        <v>122</v>
      </c>
      <c r="B124">
        <v>0</v>
      </c>
      <c r="C124">
        <v>0</v>
      </c>
      <c r="D124">
        <v>8.0500000000000007</v>
      </c>
      <c r="E124">
        <v>28</v>
      </c>
      <c r="F124">
        <v>0</v>
      </c>
      <c r="G124">
        <v>0</v>
      </c>
      <c r="H124">
        <v>0</v>
      </c>
      <c r="I124">
        <v>1</v>
      </c>
      <c r="J124">
        <v>1</v>
      </c>
      <c r="K124">
        <v>0</v>
      </c>
      <c r="L124">
        <v>0</v>
      </c>
      <c r="M124">
        <v>1</v>
      </c>
      <c r="N124">
        <v>0</v>
      </c>
      <c r="O124" s="14">
        <f t="shared" si="4"/>
        <v>0</v>
      </c>
      <c r="P124">
        <f t="shared" si="3"/>
        <v>9.1208772698105012E-2</v>
      </c>
      <c r="Q124">
        <f t="shared" si="5"/>
        <v>-9.5639884118734919E-2</v>
      </c>
    </row>
    <row r="125" spans="1:17" x14ac:dyDescent="0.4">
      <c r="A125">
        <v>123</v>
      </c>
      <c r="B125">
        <v>1</v>
      </c>
      <c r="C125">
        <v>0</v>
      </c>
      <c r="D125">
        <v>30.070799999999998</v>
      </c>
      <c r="E125">
        <v>32.5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 s="14">
        <f t="shared" si="4"/>
        <v>0</v>
      </c>
      <c r="P125">
        <f t="shared" si="3"/>
        <v>0.25384393472500733</v>
      </c>
      <c r="Q125">
        <f t="shared" si="5"/>
        <v>-0.29282049787673509</v>
      </c>
    </row>
    <row r="126" spans="1:17" x14ac:dyDescent="0.4">
      <c r="A126">
        <v>124</v>
      </c>
      <c r="B126">
        <v>0</v>
      </c>
      <c r="C126">
        <v>0</v>
      </c>
      <c r="D126">
        <v>13</v>
      </c>
      <c r="E126">
        <v>32.5</v>
      </c>
      <c r="F126">
        <v>1</v>
      </c>
      <c r="G126">
        <v>0</v>
      </c>
      <c r="H126">
        <v>1</v>
      </c>
      <c r="I126">
        <v>0</v>
      </c>
      <c r="J126">
        <v>1</v>
      </c>
      <c r="K126">
        <v>0</v>
      </c>
      <c r="L126">
        <v>0</v>
      </c>
      <c r="M126">
        <v>1</v>
      </c>
      <c r="N126">
        <v>1</v>
      </c>
      <c r="O126" s="14">
        <f t="shared" si="4"/>
        <v>1</v>
      </c>
      <c r="P126">
        <f t="shared" si="3"/>
        <v>0.81586197546296368</v>
      </c>
      <c r="Q126">
        <f t="shared" si="5"/>
        <v>-0.20351008604207474</v>
      </c>
    </row>
    <row r="127" spans="1:17" x14ac:dyDescent="0.4">
      <c r="A127">
        <v>125</v>
      </c>
      <c r="B127">
        <v>0</v>
      </c>
      <c r="C127">
        <v>1</v>
      </c>
      <c r="D127">
        <v>77.287499999999994</v>
      </c>
      <c r="E127">
        <v>54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1</v>
      </c>
      <c r="N127">
        <v>0</v>
      </c>
      <c r="O127" s="14">
        <f t="shared" si="4"/>
        <v>0</v>
      </c>
      <c r="P127">
        <f t="shared" si="3"/>
        <v>0.25305126303783798</v>
      </c>
      <c r="Q127">
        <f t="shared" si="5"/>
        <v>-0.291758721422127</v>
      </c>
    </row>
    <row r="128" spans="1:17" x14ac:dyDescent="0.4">
      <c r="A128">
        <v>126</v>
      </c>
      <c r="B128">
        <v>1</v>
      </c>
      <c r="C128">
        <v>0</v>
      </c>
      <c r="D128">
        <v>11.2417</v>
      </c>
      <c r="E128">
        <v>12</v>
      </c>
      <c r="F128">
        <v>0</v>
      </c>
      <c r="G128">
        <v>0</v>
      </c>
      <c r="H128">
        <v>0</v>
      </c>
      <c r="I128">
        <v>1</v>
      </c>
      <c r="J128">
        <v>0</v>
      </c>
      <c r="K128">
        <v>0</v>
      </c>
      <c r="L128">
        <v>1</v>
      </c>
      <c r="M128">
        <v>1</v>
      </c>
      <c r="N128">
        <v>1</v>
      </c>
      <c r="O128" s="14">
        <f t="shared" si="4"/>
        <v>0</v>
      </c>
      <c r="P128">
        <f t="shared" si="3"/>
        <v>0.17333358813213867</v>
      </c>
      <c r="Q128">
        <f t="shared" si="5"/>
        <v>-1.7525372860827464</v>
      </c>
    </row>
    <row r="129" spans="1:17" x14ac:dyDescent="0.4">
      <c r="A129">
        <v>127</v>
      </c>
      <c r="B129">
        <v>0</v>
      </c>
      <c r="C129">
        <v>0</v>
      </c>
      <c r="D129">
        <v>7.75</v>
      </c>
      <c r="E129">
        <v>28</v>
      </c>
      <c r="F129">
        <v>0</v>
      </c>
      <c r="G129">
        <v>0</v>
      </c>
      <c r="H129">
        <v>0</v>
      </c>
      <c r="I129">
        <v>1</v>
      </c>
      <c r="J129">
        <v>0</v>
      </c>
      <c r="K129">
        <v>1</v>
      </c>
      <c r="L129">
        <v>0</v>
      </c>
      <c r="M129">
        <v>1</v>
      </c>
      <c r="N129">
        <v>0</v>
      </c>
      <c r="O129" s="14">
        <f t="shared" si="4"/>
        <v>0</v>
      </c>
      <c r="P129">
        <f t="shared" si="3"/>
        <v>0.12770204164315915</v>
      </c>
      <c r="Q129">
        <f t="shared" si="5"/>
        <v>-0.13662421807437358</v>
      </c>
    </row>
    <row r="130" spans="1:17" x14ac:dyDescent="0.4">
      <c r="A130">
        <v>128</v>
      </c>
      <c r="B130">
        <v>0</v>
      </c>
      <c r="C130">
        <v>0</v>
      </c>
      <c r="D130">
        <v>7.1417000000000002</v>
      </c>
      <c r="E130">
        <v>24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>
        <v>0</v>
      </c>
      <c r="M130">
        <v>1</v>
      </c>
      <c r="N130">
        <v>1</v>
      </c>
      <c r="O130" s="14">
        <f t="shared" si="4"/>
        <v>0</v>
      </c>
      <c r="P130">
        <f t="shared" si="3"/>
        <v>0.10461315605452355</v>
      </c>
      <c r="Q130">
        <f t="shared" si="5"/>
        <v>-2.2574859603604716</v>
      </c>
    </row>
    <row r="131" spans="1:17" x14ac:dyDescent="0.4">
      <c r="A131">
        <v>129</v>
      </c>
      <c r="B131">
        <v>1</v>
      </c>
      <c r="C131">
        <v>1</v>
      </c>
      <c r="D131">
        <v>22.3583</v>
      </c>
      <c r="E131">
        <v>28</v>
      </c>
      <c r="F131">
        <v>1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1</v>
      </c>
      <c r="O131" s="14">
        <f t="shared" si="4"/>
        <v>1</v>
      </c>
      <c r="P131">
        <f t="shared" ref="P131:P194" si="6">1/(1+EXP(-SUMPRODUCT(B$1:M$1,B131:M131)))</f>
        <v>0.61624782614966267</v>
      </c>
      <c r="Q131">
        <f t="shared" si="5"/>
        <v>-0.48410608117764531</v>
      </c>
    </row>
    <row r="132" spans="1:17" x14ac:dyDescent="0.4">
      <c r="A132">
        <v>130</v>
      </c>
      <c r="B132">
        <v>0</v>
      </c>
      <c r="C132">
        <v>0</v>
      </c>
      <c r="D132">
        <v>6.9749999999999996</v>
      </c>
      <c r="E132">
        <v>45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>
        <v>0</v>
      </c>
      <c r="M132">
        <v>1</v>
      </c>
      <c r="N132">
        <v>0</v>
      </c>
      <c r="O132" s="14">
        <f t="shared" ref="O132:O195" si="7">IF(P132&gt;0.5,1,0)</f>
        <v>0</v>
      </c>
      <c r="P132">
        <f t="shared" si="6"/>
        <v>4.9434352609364594E-2</v>
      </c>
      <c r="Q132">
        <f t="shared" ref="Q132:Q195" si="8">N132*LN(P132)+(1-N132)*LN(1-P132)</f>
        <v>-5.0698053272766282E-2</v>
      </c>
    </row>
    <row r="133" spans="1:17" x14ac:dyDescent="0.4">
      <c r="A133">
        <v>131</v>
      </c>
      <c r="B133">
        <v>0</v>
      </c>
      <c r="C133">
        <v>0</v>
      </c>
      <c r="D133">
        <v>7.8958000000000004</v>
      </c>
      <c r="E133">
        <v>33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1</v>
      </c>
      <c r="M133">
        <v>1</v>
      </c>
      <c r="N133">
        <v>0</v>
      </c>
      <c r="O133" s="14">
        <f t="shared" si="7"/>
        <v>0</v>
      </c>
      <c r="P133">
        <f t="shared" si="6"/>
        <v>0.11333549473973963</v>
      </c>
      <c r="Q133">
        <f t="shared" si="8"/>
        <v>-0.12028860355387115</v>
      </c>
    </row>
    <row r="134" spans="1:17" x14ac:dyDescent="0.4">
      <c r="A134">
        <v>132</v>
      </c>
      <c r="B134">
        <v>0</v>
      </c>
      <c r="C134">
        <v>0</v>
      </c>
      <c r="D134">
        <v>7.05</v>
      </c>
      <c r="E134">
        <v>20</v>
      </c>
      <c r="F134">
        <v>0</v>
      </c>
      <c r="G134">
        <v>0</v>
      </c>
      <c r="H134">
        <v>0</v>
      </c>
      <c r="I134">
        <v>1</v>
      </c>
      <c r="J134">
        <v>1</v>
      </c>
      <c r="K134">
        <v>0</v>
      </c>
      <c r="L134">
        <v>0</v>
      </c>
      <c r="M134">
        <v>1</v>
      </c>
      <c r="N134">
        <v>0</v>
      </c>
      <c r="O134" s="14">
        <f t="shared" si="7"/>
        <v>0</v>
      </c>
      <c r="P134">
        <f t="shared" si="6"/>
        <v>0.11992938557856572</v>
      </c>
      <c r="Q134">
        <f t="shared" si="8"/>
        <v>-0.12775313106851441</v>
      </c>
    </row>
    <row r="135" spans="1:17" x14ac:dyDescent="0.4">
      <c r="A135">
        <v>133</v>
      </c>
      <c r="B135">
        <v>1</v>
      </c>
      <c r="C135">
        <v>0</v>
      </c>
      <c r="D135">
        <v>14.5</v>
      </c>
      <c r="E135">
        <v>47</v>
      </c>
      <c r="F135">
        <v>1</v>
      </c>
      <c r="G135">
        <v>0</v>
      </c>
      <c r="H135">
        <v>0</v>
      </c>
      <c r="I135">
        <v>1</v>
      </c>
      <c r="J135">
        <v>1</v>
      </c>
      <c r="K135">
        <v>0</v>
      </c>
      <c r="L135">
        <v>0</v>
      </c>
      <c r="M135">
        <v>1</v>
      </c>
      <c r="N135">
        <v>0</v>
      </c>
      <c r="O135" s="14">
        <f t="shared" si="7"/>
        <v>0</v>
      </c>
      <c r="P135">
        <f t="shared" si="6"/>
        <v>0.35019380226769276</v>
      </c>
      <c r="Q135">
        <f t="shared" si="8"/>
        <v>-0.43108111788510145</v>
      </c>
    </row>
    <row r="136" spans="1:17" x14ac:dyDescent="0.4">
      <c r="A136">
        <v>134</v>
      </c>
      <c r="B136">
        <v>1</v>
      </c>
      <c r="C136">
        <v>0</v>
      </c>
      <c r="D136">
        <v>26</v>
      </c>
      <c r="E136">
        <v>29</v>
      </c>
      <c r="F136">
        <v>1</v>
      </c>
      <c r="G136">
        <v>0</v>
      </c>
      <c r="H136">
        <v>1</v>
      </c>
      <c r="I136">
        <v>0</v>
      </c>
      <c r="J136">
        <v>1</v>
      </c>
      <c r="K136">
        <v>0</v>
      </c>
      <c r="L136">
        <v>0</v>
      </c>
      <c r="M136">
        <v>1</v>
      </c>
      <c r="N136">
        <v>1</v>
      </c>
      <c r="O136" s="14">
        <f t="shared" si="7"/>
        <v>1</v>
      </c>
      <c r="P136">
        <f t="shared" si="6"/>
        <v>0.79115010581734568</v>
      </c>
      <c r="Q136">
        <f t="shared" si="8"/>
        <v>-0.23426756206584787</v>
      </c>
    </row>
    <row r="137" spans="1:17" x14ac:dyDescent="0.4">
      <c r="A137">
        <v>135</v>
      </c>
      <c r="B137">
        <v>0</v>
      </c>
      <c r="C137">
        <v>0</v>
      </c>
      <c r="D137">
        <v>13</v>
      </c>
      <c r="E137">
        <v>25</v>
      </c>
      <c r="F137">
        <v>0</v>
      </c>
      <c r="G137">
        <v>0</v>
      </c>
      <c r="H137">
        <v>1</v>
      </c>
      <c r="I137">
        <v>0</v>
      </c>
      <c r="J137">
        <v>1</v>
      </c>
      <c r="K137">
        <v>0</v>
      </c>
      <c r="L137">
        <v>0</v>
      </c>
      <c r="M137">
        <v>1</v>
      </c>
      <c r="N137">
        <v>0</v>
      </c>
      <c r="O137" s="14">
        <f t="shared" si="7"/>
        <v>0</v>
      </c>
      <c r="P137">
        <f t="shared" si="6"/>
        <v>0.28047527789571319</v>
      </c>
      <c r="Q137">
        <f t="shared" si="8"/>
        <v>-0.32916439312786339</v>
      </c>
    </row>
    <row r="138" spans="1:17" x14ac:dyDescent="0.4">
      <c r="A138">
        <v>136</v>
      </c>
      <c r="B138">
        <v>0</v>
      </c>
      <c r="C138">
        <v>0</v>
      </c>
      <c r="D138">
        <v>15.0458</v>
      </c>
      <c r="E138">
        <v>23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0</v>
      </c>
      <c r="L138">
        <v>1</v>
      </c>
      <c r="M138">
        <v>1</v>
      </c>
      <c r="N138">
        <v>0</v>
      </c>
      <c r="O138" s="14">
        <f t="shared" si="7"/>
        <v>0</v>
      </c>
      <c r="P138">
        <f t="shared" si="6"/>
        <v>0.39521768786165229</v>
      </c>
      <c r="Q138">
        <f t="shared" si="8"/>
        <v>-0.50288670034747707</v>
      </c>
    </row>
    <row r="139" spans="1:17" x14ac:dyDescent="0.4">
      <c r="A139">
        <v>137</v>
      </c>
      <c r="B139">
        <v>0</v>
      </c>
      <c r="C139">
        <v>2</v>
      </c>
      <c r="D139">
        <v>26.283300000000001</v>
      </c>
      <c r="E139">
        <v>19</v>
      </c>
      <c r="F139">
        <v>1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1</v>
      </c>
      <c r="N139">
        <v>1</v>
      </c>
      <c r="O139" s="14">
        <f t="shared" si="7"/>
        <v>1</v>
      </c>
      <c r="P139">
        <f t="shared" si="6"/>
        <v>0.94119665286286658</v>
      </c>
      <c r="Q139">
        <f t="shared" si="8"/>
        <v>-6.0603178379551238E-2</v>
      </c>
    </row>
    <row r="140" spans="1:17" x14ac:dyDescent="0.4">
      <c r="A140">
        <v>138</v>
      </c>
      <c r="B140">
        <v>1</v>
      </c>
      <c r="C140">
        <v>0</v>
      </c>
      <c r="D140">
        <v>53.1</v>
      </c>
      <c r="E140">
        <v>37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1</v>
      </c>
      <c r="N140">
        <v>0</v>
      </c>
      <c r="O140" s="14">
        <f t="shared" si="7"/>
        <v>0</v>
      </c>
      <c r="P140">
        <f t="shared" si="6"/>
        <v>0.32902337917356483</v>
      </c>
      <c r="Q140">
        <f t="shared" si="8"/>
        <v>-0.39902098490295335</v>
      </c>
    </row>
    <row r="141" spans="1:17" x14ac:dyDescent="0.4">
      <c r="A141">
        <v>139</v>
      </c>
      <c r="B141">
        <v>0</v>
      </c>
      <c r="C141">
        <v>0</v>
      </c>
      <c r="D141">
        <v>9.2166999999999994</v>
      </c>
      <c r="E141">
        <v>16</v>
      </c>
      <c r="F141">
        <v>0</v>
      </c>
      <c r="G141">
        <v>0</v>
      </c>
      <c r="H141">
        <v>0</v>
      </c>
      <c r="I141">
        <v>1</v>
      </c>
      <c r="J141">
        <v>1</v>
      </c>
      <c r="K141">
        <v>0</v>
      </c>
      <c r="L141">
        <v>0</v>
      </c>
      <c r="M141">
        <v>1</v>
      </c>
      <c r="N141">
        <v>0</v>
      </c>
      <c r="O141" s="14">
        <f t="shared" si="7"/>
        <v>0</v>
      </c>
      <c r="P141">
        <f t="shared" si="6"/>
        <v>0.13777076768330968</v>
      </c>
      <c r="Q141">
        <f t="shared" si="8"/>
        <v>-0.14823411290993968</v>
      </c>
    </row>
    <row r="142" spans="1:17" x14ac:dyDescent="0.4">
      <c r="A142">
        <v>140</v>
      </c>
      <c r="B142">
        <v>0</v>
      </c>
      <c r="C142">
        <v>0</v>
      </c>
      <c r="D142">
        <v>79.2</v>
      </c>
      <c r="E142">
        <v>24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1</v>
      </c>
      <c r="N142">
        <v>0</v>
      </c>
      <c r="O142" s="14">
        <f t="shared" si="7"/>
        <v>1</v>
      </c>
      <c r="P142">
        <f t="shared" si="6"/>
        <v>0.64703495453339266</v>
      </c>
      <c r="Q142">
        <f t="shared" si="8"/>
        <v>-1.0413862482928327</v>
      </c>
    </row>
    <row r="143" spans="1:17" x14ac:dyDescent="0.4">
      <c r="A143">
        <v>141</v>
      </c>
      <c r="B143">
        <v>0</v>
      </c>
      <c r="C143">
        <v>2</v>
      </c>
      <c r="D143">
        <v>15.245799999999999</v>
      </c>
      <c r="E143">
        <v>28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0</v>
      </c>
      <c r="L143">
        <v>1</v>
      </c>
      <c r="M143">
        <v>1</v>
      </c>
      <c r="N143">
        <v>0</v>
      </c>
      <c r="O143" s="14">
        <f t="shared" si="7"/>
        <v>1</v>
      </c>
      <c r="P143">
        <f t="shared" si="6"/>
        <v>0.66498460732573006</v>
      </c>
      <c r="Q143">
        <f t="shared" si="8"/>
        <v>-1.0935787999312578</v>
      </c>
    </row>
    <row r="144" spans="1:17" x14ac:dyDescent="0.4">
      <c r="A144">
        <v>142</v>
      </c>
      <c r="B144">
        <v>0</v>
      </c>
      <c r="C144">
        <v>0</v>
      </c>
      <c r="D144">
        <v>7.75</v>
      </c>
      <c r="E144">
        <v>22</v>
      </c>
      <c r="F144">
        <v>1</v>
      </c>
      <c r="G144">
        <v>0</v>
      </c>
      <c r="H144">
        <v>0</v>
      </c>
      <c r="I144">
        <v>1</v>
      </c>
      <c r="J144">
        <v>1</v>
      </c>
      <c r="K144">
        <v>0</v>
      </c>
      <c r="L144">
        <v>0</v>
      </c>
      <c r="M144">
        <v>1</v>
      </c>
      <c r="N144">
        <v>1</v>
      </c>
      <c r="O144" s="14">
        <f t="shared" si="7"/>
        <v>1</v>
      </c>
      <c r="P144">
        <f t="shared" si="6"/>
        <v>0.6572567437438257</v>
      </c>
      <c r="Q144">
        <f t="shared" si="8"/>
        <v>-0.41968055487883543</v>
      </c>
    </row>
    <row r="145" spans="1:17" x14ac:dyDescent="0.4">
      <c r="A145">
        <v>143</v>
      </c>
      <c r="B145">
        <v>1</v>
      </c>
      <c r="C145">
        <v>0</v>
      </c>
      <c r="D145">
        <v>15.85</v>
      </c>
      <c r="E145">
        <v>24</v>
      </c>
      <c r="F145">
        <v>1</v>
      </c>
      <c r="G145">
        <v>0</v>
      </c>
      <c r="H145">
        <v>0</v>
      </c>
      <c r="I145">
        <v>1</v>
      </c>
      <c r="J145">
        <v>1</v>
      </c>
      <c r="K145">
        <v>0</v>
      </c>
      <c r="L145">
        <v>0</v>
      </c>
      <c r="M145">
        <v>1</v>
      </c>
      <c r="N145">
        <v>1</v>
      </c>
      <c r="O145" s="14">
        <f t="shared" si="7"/>
        <v>1</v>
      </c>
      <c r="P145">
        <f t="shared" si="6"/>
        <v>0.56735212129350332</v>
      </c>
      <c r="Q145">
        <f t="shared" si="8"/>
        <v>-0.56677514280173924</v>
      </c>
    </row>
    <row r="146" spans="1:17" x14ac:dyDescent="0.4">
      <c r="A146">
        <v>144</v>
      </c>
      <c r="B146">
        <v>0</v>
      </c>
      <c r="C146">
        <v>0</v>
      </c>
      <c r="D146">
        <v>6.75</v>
      </c>
      <c r="E146">
        <v>19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1</v>
      </c>
      <c r="L146">
        <v>0</v>
      </c>
      <c r="M146">
        <v>1</v>
      </c>
      <c r="N146">
        <v>0</v>
      </c>
      <c r="O146" s="14">
        <f t="shared" si="7"/>
        <v>0</v>
      </c>
      <c r="P146">
        <f t="shared" si="6"/>
        <v>0.17121502176505346</v>
      </c>
      <c r="Q146">
        <f t="shared" si="8"/>
        <v>-0.18779453235769511</v>
      </c>
    </row>
    <row r="147" spans="1:17" x14ac:dyDescent="0.4">
      <c r="A147">
        <v>145</v>
      </c>
      <c r="B147">
        <v>0</v>
      </c>
      <c r="C147">
        <v>0</v>
      </c>
      <c r="D147">
        <v>11.5</v>
      </c>
      <c r="E147">
        <v>18</v>
      </c>
      <c r="F147">
        <v>0</v>
      </c>
      <c r="G147">
        <v>0</v>
      </c>
      <c r="H147">
        <v>1</v>
      </c>
      <c r="I147">
        <v>0</v>
      </c>
      <c r="J147">
        <v>1</v>
      </c>
      <c r="K147">
        <v>0</v>
      </c>
      <c r="L147">
        <v>0</v>
      </c>
      <c r="M147">
        <v>1</v>
      </c>
      <c r="N147">
        <v>0</v>
      </c>
      <c r="O147" s="14">
        <f t="shared" si="7"/>
        <v>0</v>
      </c>
      <c r="P147">
        <f t="shared" si="6"/>
        <v>0.33716921039100695</v>
      </c>
      <c r="Q147">
        <f t="shared" si="8"/>
        <v>-0.41123554066288043</v>
      </c>
    </row>
    <row r="148" spans="1:17" x14ac:dyDescent="0.4">
      <c r="A148">
        <v>146</v>
      </c>
      <c r="B148">
        <v>1</v>
      </c>
      <c r="C148">
        <v>1</v>
      </c>
      <c r="D148">
        <v>36.75</v>
      </c>
      <c r="E148">
        <v>19</v>
      </c>
      <c r="F148">
        <v>0</v>
      </c>
      <c r="G148">
        <v>0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1</v>
      </c>
      <c r="N148">
        <v>0</v>
      </c>
      <c r="O148" s="14">
        <f t="shared" si="7"/>
        <v>0</v>
      </c>
      <c r="P148">
        <f t="shared" si="6"/>
        <v>0.2552701159816016</v>
      </c>
      <c r="Q148">
        <f t="shared" si="8"/>
        <v>-0.29473369813500466</v>
      </c>
    </row>
    <row r="149" spans="1:17" x14ac:dyDescent="0.4">
      <c r="A149">
        <v>147</v>
      </c>
      <c r="B149">
        <v>0</v>
      </c>
      <c r="C149">
        <v>0</v>
      </c>
      <c r="D149">
        <v>7.7957999999999998</v>
      </c>
      <c r="E149">
        <v>27</v>
      </c>
      <c r="F149">
        <v>0</v>
      </c>
      <c r="G149">
        <v>0</v>
      </c>
      <c r="H149">
        <v>0</v>
      </c>
      <c r="I149">
        <v>1</v>
      </c>
      <c r="J149">
        <v>1</v>
      </c>
      <c r="K149">
        <v>0</v>
      </c>
      <c r="L149">
        <v>0</v>
      </c>
      <c r="M149">
        <v>1</v>
      </c>
      <c r="N149">
        <v>1</v>
      </c>
      <c r="O149" s="14">
        <f t="shared" si="7"/>
        <v>0</v>
      </c>
      <c r="P149">
        <f t="shared" si="6"/>
        <v>9.4401994682080895E-2</v>
      </c>
      <c r="Q149">
        <f t="shared" si="8"/>
        <v>-2.3601930759471306</v>
      </c>
    </row>
    <row r="150" spans="1:17" x14ac:dyDescent="0.4">
      <c r="A150">
        <v>148</v>
      </c>
      <c r="B150">
        <v>2</v>
      </c>
      <c r="C150">
        <v>2</v>
      </c>
      <c r="D150">
        <v>34.375</v>
      </c>
      <c r="E150">
        <v>9</v>
      </c>
      <c r="F150">
        <v>1</v>
      </c>
      <c r="G150">
        <v>0</v>
      </c>
      <c r="H150">
        <v>0</v>
      </c>
      <c r="I150">
        <v>1</v>
      </c>
      <c r="J150">
        <v>1</v>
      </c>
      <c r="K150">
        <v>0</v>
      </c>
      <c r="L150">
        <v>0</v>
      </c>
      <c r="M150">
        <v>1</v>
      </c>
      <c r="N150">
        <v>0</v>
      </c>
      <c r="O150" s="14">
        <f t="shared" si="7"/>
        <v>1</v>
      </c>
      <c r="P150">
        <f t="shared" si="6"/>
        <v>0.59474388507559861</v>
      </c>
      <c r="Q150">
        <f t="shared" si="8"/>
        <v>-0.90323602921578527</v>
      </c>
    </row>
    <row r="151" spans="1:17" x14ac:dyDescent="0.4">
      <c r="A151">
        <v>149</v>
      </c>
      <c r="B151">
        <v>0</v>
      </c>
      <c r="C151">
        <v>2</v>
      </c>
      <c r="D151">
        <v>26</v>
      </c>
      <c r="E151">
        <v>36.5</v>
      </c>
      <c r="F151">
        <v>0</v>
      </c>
      <c r="G151">
        <v>0</v>
      </c>
      <c r="H151">
        <v>1</v>
      </c>
      <c r="I151">
        <v>0</v>
      </c>
      <c r="J151">
        <v>1</v>
      </c>
      <c r="K151">
        <v>0</v>
      </c>
      <c r="L151">
        <v>0</v>
      </c>
      <c r="M151">
        <v>1</v>
      </c>
      <c r="N151">
        <v>0</v>
      </c>
      <c r="O151" s="14">
        <f t="shared" si="7"/>
        <v>0</v>
      </c>
      <c r="P151">
        <f t="shared" si="6"/>
        <v>0.176322123281768</v>
      </c>
      <c r="Q151">
        <f t="shared" si="8"/>
        <v>-0.19397575181710169</v>
      </c>
    </row>
    <row r="152" spans="1:17" x14ac:dyDescent="0.4">
      <c r="A152">
        <v>150</v>
      </c>
      <c r="B152">
        <v>0</v>
      </c>
      <c r="C152">
        <v>0</v>
      </c>
      <c r="D152">
        <v>13</v>
      </c>
      <c r="E152">
        <v>42</v>
      </c>
      <c r="F152">
        <v>0</v>
      </c>
      <c r="G152">
        <v>0</v>
      </c>
      <c r="H152">
        <v>1</v>
      </c>
      <c r="I152">
        <v>0</v>
      </c>
      <c r="J152">
        <v>1</v>
      </c>
      <c r="K152">
        <v>0</v>
      </c>
      <c r="L152">
        <v>0</v>
      </c>
      <c r="M152">
        <v>1</v>
      </c>
      <c r="N152">
        <v>0</v>
      </c>
      <c r="O152" s="14">
        <f t="shared" si="7"/>
        <v>0</v>
      </c>
      <c r="P152">
        <f t="shared" si="6"/>
        <v>0.1683959172628289</v>
      </c>
      <c r="Q152">
        <f t="shared" si="8"/>
        <v>-0.18439881351397297</v>
      </c>
    </row>
    <row r="153" spans="1:17" x14ac:dyDescent="0.4">
      <c r="A153">
        <v>151</v>
      </c>
      <c r="B153">
        <v>0</v>
      </c>
      <c r="C153">
        <v>0</v>
      </c>
      <c r="D153">
        <v>12.525</v>
      </c>
      <c r="E153">
        <v>51</v>
      </c>
      <c r="F153">
        <v>0</v>
      </c>
      <c r="G153">
        <v>0</v>
      </c>
      <c r="H153">
        <v>1</v>
      </c>
      <c r="I153">
        <v>0</v>
      </c>
      <c r="J153">
        <v>1</v>
      </c>
      <c r="K153">
        <v>0</v>
      </c>
      <c r="L153">
        <v>0</v>
      </c>
      <c r="M153">
        <v>1</v>
      </c>
      <c r="N153">
        <v>0</v>
      </c>
      <c r="O153" s="14">
        <f t="shared" si="7"/>
        <v>0</v>
      </c>
      <c r="P153">
        <f t="shared" si="6"/>
        <v>0.12511284130723802</v>
      </c>
      <c r="Q153">
        <f t="shared" si="8"/>
        <v>-0.13366036243475735</v>
      </c>
    </row>
    <row r="154" spans="1:17" x14ac:dyDescent="0.4">
      <c r="A154">
        <v>152</v>
      </c>
      <c r="B154">
        <v>1</v>
      </c>
      <c r="C154">
        <v>0</v>
      </c>
      <c r="D154">
        <v>66.599999999999994</v>
      </c>
      <c r="E154">
        <v>22</v>
      </c>
      <c r="F154">
        <v>1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1</v>
      </c>
      <c r="N154">
        <v>1</v>
      </c>
      <c r="O154" s="14">
        <f t="shared" si="7"/>
        <v>1</v>
      </c>
      <c r="P154">
        <f t="shared" si="6"/>
        <v>0.93191307909785537</v>
      </c>
      <c r="Q154">
        <f t="shared" si="8"/>
        <v>-7.0515731416329927E-2</v>
      </c>
    </row>
    <row r="155" spans="1:17" x14ac:dyDescent="0.4">
      <c r="A155">
        <v>153</v>
      </c>
      <c r="B155">
        <v>0</v>
      </c>
      <c r="C155">
        <v>0</v>
      </c>
      <c r="D155">
        <v>8.0500000000000007</v>
      </c>
      <c r="E155">
        <v>55.5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>
        <v>0</v>
      </c>
      <c r="M155">
        <v>1</v>
      </c>
      <c r="N155">
        <v>0</v>
      </c>
      <c r="O155" s="14">
        <f t="shared" si="7"/>
        <v>0</v>
      </c>
      <c r="P155">
        <f t="shared" si="6"/>
        <v>3.3620674306971285E-2</v>
      </c>
      <c r="Q155">
        <f t="shared" si="8"/>
        <v>-3.4198845146079841E-2</v>
      </c>
    </row>
    <row r="156" spans="1:17" x14ac:dyDescent="0.4">
      <c r="A156">
        <v>154</v>
      </c>
      <c r="B156">
        <v>0</v>
      </c>
      <c r="C156">
        <v>2</v>
      </c>
      <c r="D156">
        <v>14.5</v>
      </c>
      <c r="E156">
        <v>40.5</v>
      </c>
      <c r="F156">
        <v>0</v>
      </c>
      <c r="G156">
        <v>0</v>
      </c>
      <c r="H156">
        <v>0</v>
      </c>
      <c r="I156">
        <v>1</v>
      </c>
      <c r="J156">
        <v>1</v>
      </c>
      <c r="K156">
        <v>0</v>
      </c>
      <c r="L156">
        <v>0</v>
      </c>
      <c r="M156">
        <v>1</v>
      </c>
      <c r="N156">
        <v>0</v>
      </c>
      <c r="O156" s="14">
        <f t="shared" si="7"/>
        <v>0</v>
      </c>
      <c r="P156">
        <f t="shared" si="6"/>
        <v>4.9634075546228076E-2</v>
      </c>
      <c r="Q156">
        <f t="shared" si="8"/>
        <v>-5.0908184916173792E-2</v>
      </c>
    </row>
    <row r="157" spans="1:17" x14ac:dyDescent="0.4">
      <c r="A157">
        <v>155</v>
      </c>
      <c r="B157">
        <v>0</v>
      </c>
      <c r="C157">
        <v>0</v>
      </c>
      <c r="D157">
        <v>7.3125</v>
      </c>
      <c r="E157">
        <v>28</v>
      </c>
      <c r="F157">
        <v>0</v>
      </c>
      <c r="G157">
        <v>0</v>
      </c>
      <c r="H157">
        <v>0</v>
      </c>
      <c r="I157">
        <v>1</v>
      </c>
      <c r="J157">
        <v>1</v>
      </c>
      <c r="K157">
        <v>0</v>
      </c>
      <c r="L157">
        <v>0</v>
      </c>
      <c r="M157">
        <v>1</v>
      </c>
      <c r="N157">
        <v>0</v>
      </c>
      <c r="O157" s="14">
        <f t="shared" si="7"/>
        <v>0</v>
      </c>
      <c r="P157">
        <f t="shared" si="6"/>
        <v>9.1065910206602402E-2</v>
      </c>
      <c r="Q157">
        <f t="shared" si="8"/>
        <v>-9.5482695911635412E-2</v>
      </c>
    </row>
    <row r="158" spans="1:17" x14ac:dyDescent="0.4">
      <c r="A158">
        <v>156</v>
      </c>
      <c r="B158">
        <v>0</v>
      </c>
      <c r="C158">
        <v>1</v>
      </c>
      <c r="D158">
        <v>61.379199999999997</v>
      </c>
      <c r="E158">
        <v>51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1</v>
      </c>
      <c r="N158">
        <v>0</v>
      </c>
      <c r="O158" s="14">
        <f t="shared" si="7"/>
        <v>0</v>
      </c>
      <c r="P158">
        <f t="shared" si="6"/>
        <v>0.36142293045715118</v>
      </c>
      <c r="Q158">
        <f t="shared" si="8"/>
        <v>-0.44851290673284827</v>
      </c>
    </row>
    <row r="159" spans="1:17" x14ac:dyDescent="0.4">
      <c r="A159">
        <v>157</v>
      </c>
      <c r="B159">
        <v>0</v>
      </c>
      <c r="C159">
        <v>0</v>
      </c>
      <c r="D159">
        <v>7.7332999999999998</v>
      </c>
      <c r="E159">
        <v>16</v>
      </c>
      <c r="F159">
        <v>1</v>
      </c>
      <c r="G159">
        <v>0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1</v>
      </c>
      <c r="N159">
        <v>1</v>
      </c>
      <c r="O159" s="14">
        <f t="shared" si="7"/>
        <v>1</v>
      </c>
      <c r="P159">
        <f t="shared" si="6"/>
        <v>0.77910210841150895</v>
      </c>
      <c r="Q159">
        <f t="shared" si="8"/>
        <v>-0.24961316543475337</v>
      </c>
    </row>
    <row r="160" spans="1:17" x14ac:dyDescent="0.4">
      <c r="A160">
        <v>158</v>
      </c>
      <c r="B160">
        <v>0</v>
      </c>
      <c r="C160">
        <v>0</v>
      </c>
      <c r="D160">
        <v>8.0500000000000007</v>
      </c>
      <c r="E160">
        <v>30</v>
      </c>
      <c r="F160">
        <v>0</v>
      </c>
      <c r="G160">
        <v>0</v>
      </c>
      <c r="H160">
        <v>0</v>
      </c>
      <c r="I160">
        <v>1</v>
      </c>
      <c r="J160">
        <v>1</v>
      </c>
      <c r="K160">
        <v>0</v>
      </c>
      <c r="L160">
        <v>0</v>
      </c>
      <c r="M160">
        <v>1</v>
      </c>
      <c r="N160">
        <v>0</v>
      </c>
      <c r="O160" s="14">
        <f t="shared" si="7"/>
        <v>0</v>
      </c>
      <c r="P160">
        <f t="shared" si="6"/>
        <v>8.5020030826620727E-2</v>
      </c>
      <c r="Q160">
        <f t="shared" si="8"/>
        <v>-8.8853105560033716E-2</v>
      </c>
    </row>
    <row r="161" spans="1:17" x14ac:dyDescent="0.4">
      <c r="A161">
        <v>159</v>
      </c>
      <c r="B161">
        <v>0</v>
      </c>
      <c r="C161">
        <v>0</v>
      </c>
      <c r="D161">
        <v>8.6624999999999996</v>
      </c>
      <c r="E161">
        <v>28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1</v>
      </c>
      <c r="N161">
        <v>0</v>
      </c>
      <c r="O161" s="14">
        <f t="shared" si="7"/>
        <v>0</v>
      </c>
      <c r="P161">
        <f t="shared" si="6"/>
        <v>9.1327574436468134E-2</v>
      </c>
      <c r="Q161">
        <f t="shared" si="8"/>
        <v>-9.5770617669686545E-2</v>
      </c>
    </row>
    <row r="162" spans="1:17" x14ac:dyDescent="0.4">
      <c r="A162">
        <v>160</v>
      </c>
      <c r="B162">
        <v>8</v>
      </c>
      <c r="C162">
        <v>2</v>
      </c>
      <c r="D162">
        <v>69.55</v>
      </c>
      <c r="E162">
        <v>28</v>
      </c>
      <c r="F162">
        <v>0</v>
      </c>
      <c r="G162">
        <v>0</v>
      </c>
      <c r="H162">
        <v>0</v>
      </c>
      <c r="I162">
        <v>1</v>
      </c>
      <c r="J162">
        <v>1</v>
      </c>
      <c r="K162">
        <v>0</v>
      </c>
      <c r="L162">
        <v>0</v>
      </c>
      <c r="M162">
        <v>1</v>
      </c>
      <c r="N162">
        <v>0</v>
      </c>
      <c r="O162" s="14">
        <f t="shared" si="7"/>
        <v>0</v>
      </c>
      <c r="P162">
        <f t="shared" si="6"/>
        <v>7.265748081018826E-3</v>
      </c>
      <c r="Q162">
        <f t="shared" si="8"/>
        <v>-7.2922721850061699E-3</v>
      </c>
    </row>
    <row r="163" spans="1:17" x14ac:dyDescent="0.4">
      <c r="A163">
        <v>161</v>
      </c>
      <c r="B163">
        <v>0</v>
      </c>
      <c r="C163">
        <v>1</v>
      </c>
      <c r="D163">
        <v>16.100000000000001</v>
      </c>
      <c r="E163">
        <v>44</v>
      </c>
      <c r="F163">
        <v>0</v>
      </c>
      <c r="G163">
        <v>0</v>
      </c>
      <c r="H163">
        <v>0</v>
      </c>
      <c r="I163">
        <v>1</v>
      </c>
      <c r="J163">
        <v>1</v>
      </c>
      <c r="K163">
        <v>0</v>
      </c>
      <c r="L163">
        <v>0</v>
      </c>
      <c r="M163">
        <v>1</v>
      </c>
      <c r="N163">
        <v>0</v>
      </c>
      <c r="O163" s="14">
        <f t="shared" si="7"/>
        <v>0</v>
      </c>
      <c r="P163">
        <f t="shared" si="6"/>
        <v>4.788395147487895E-2</v>
      </c>
      <c r="Q163">
        <f t="shared" si="8"/>
        <v>-4.9068351908676255E-2</v>
      </c>
    </row>
    <row r="164" spans="1:17" x14ac:dyDescent="0.4">
      <c r="A164">
        <v>162</v>
      </c>
      <c r="B164">
        <v>0</v>
      </c>
      <c r="C164">
        <v>0</v>
      </c>
      <c r="D164">
        <v>15.75</v>
      </c>
      <c r="E164">
        <v>40</v>
      </c>
      <c r="F164">
        <v>1</v>
      </c>
      <c r="G164">
        <v>0</v>
      </c>
      <c r="H164">
        <v>1</v>
      </c>
      <c r="I164">
        <v>0</v>
      </c>
      <c r="J164">
        <v>1</v>
      </c>
      <c r="K164">
        <v>0</v>
      </c>
      <c r="L164">
        <v>0</v>
      </c>
      <c r="M164">
        <v>1</v>
      </c>
      <c r="N164">
        <v>1</v>
      </c>
      <c r="O164" s="14">
        <f t="shared" si="7"/>
        <v>1</v>
      </c>
      <c r="P164">
        <f t="shared" si="6"/>
        <v>0.76959923437722122</v>
      </c>
      <c r="Q164">
        <f t="shared" si="8"/>
        <v>-0.26188537446322818</v>
      </c>
    </row>
    <row r="165" spans="1:17" x14ac:dyDescent="0.4">
      <c r="A165">
        <v>163</v>
      </c>
      <c r="B165">
        <v>0</v>
      </c>
      <c r="C165">
        <v>0</v>
      </c>
      <c r="D165">
        <v>7.7750000000000004</v>
      </c>
      <c r="E165">
        <v>26</v>
      </c>
      <c r="F165">
        <v>0</v>
      </c>
      <c r="G165">
        <v>0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1</v>
      </c>
      <c r="N165">
        <v>0</v>
      </c>
      <c r="O165" s="14">
        <f t="shared" si="7"/>
        <v>0</v>
      </c>
      <c r="P165">
        <f t="shared" si="6"/>
        <v>9.7743119953979718E-2</v>
      </c>
      <c r="Q165">
        <f t="shared" si="8"/>
        <v>-0.10285601005631452</v>
      </c>
    </row>
    <row r="166" spans="1:17" x14ac:dyDescent="0.4">
      <c r="A166">
        <v>164</v>
      </c>
      <c r="B166">
        <v>0</v>
      </c>
      <c r="C166">
        <v>0</v>
      </c>
      <c r="D166">
        <v>8.6624999999999996</v>
      </c>
      <c r="E166">
        <v>17</v>
      </c>
      <c r="F166">
        <v>0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1</v>
      </c>
      <c r="N166">
        <v>0</v>
      </c>
      <c r="O166" s="14">
        <f t="shared" si="7"/>
        <v>0</v>
      </c>
      <c r="P166">
        <f t="shared" si="6"/>
        <v>0.1331082364451126</v>
      </c>
      <c r="Q166">
        <f t="shared" si="8"/>
        <v>-0.14284115018522167</v>
      </c>
    </row>
    <row r="167" spans="1:17" x14ac:dyDescent="0.4">
      <c r="A167">
        <v>165</v>
      </c>
      <c r="B167">
        <v>4</v>
      </c>
      <c r="C167">
        <v>1</v>
      </c>
      <c r="D167">
        <v>39.6875</v>
      </c>
      <c r="E167">
        <v>1</v>
      </c>
      <c r="F167">
        <v>0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1</v>
      </c>
      <c r="N167">
        <v>0</v>
      </c>
      <c r="O167" s="14">
        <f t="shared" si="7"/>
        <v>0</v>
      </c>
      <c r="P167">
        <f t="shared" si="6"/>
        <v>7.1367910369099077E-2</v>
      </c>
      <c r="Q167">
        <f t="shared" si="8"/>
        <v>-7.4042646992640279E-2</v>
      </c>
    </row>
    <row r="168" spans="1:17" x14ac:dyDescent="0.4">
      <c r="A168">
        <v>166</v>
      </c>
      <c r="B168">
        <v>0</v>
      </c>
      <c r="C168">
        <v>2</v>
      </c>
      <c r="D168">
        <v>20.524999999999999</v>
      </c>
      <c r="E168">
        <v>9</v>
      </c>
      <c r="F168">
        <v>0</v>
      </c>
      <c r="G168">
        <v>0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1</v>
      </c>
      <c r="N168">
        <v>1</v>
      </c>
      <c r="O168" s="14">
        <f t="shared" si="7"/>
        <v>0</v>
      </c>
      <c r="P168">
        <f t="shared" si="6"/>
        <v>0.15128906004946288</v>
      </c>
      <c r="Q168">
        <f t="shared" si="8"/>
        <v>-1.8885629671506168</v>
      </c>
    </row>
    <row r="169" spans="1:17" x14ac:dyDescent="0.4">
      <c r="A169">
        <v>167</v>
      </c>
      <c r="B169">
        <v>0</v>
      </c>
      <c r="C169">
        <v>1</v>
      </c>
      <c r="D169">
        <v>55</v>
      </c>
      <c r="E169">
        <v>28</v>
      </c>
      <c r="F169">
        <v>1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1</v>
      </c>
      <c r="N169">
        <v>1</v>
      </c>
      <c r="O169" s="14">
        <f t="shared" si="7"/>
        <v>1</v>
      </c>
      <c r="P169">
        <f t="shared" si="6"/>
        <v>0.93000343125198037</v>
      </c>
      <c r="Q169">
        <f t="shared" si="8"/>
        <v>-7.2567003323383228E-2</v>
      </c>
    </row>
    <row r="170" spans="1:17" x14ac:dyDescent="0.4">
      <c r="A170">
        <v>168</v>
      </c>
      <c r="B170">
        <v>1</v>
      </c>
      <c r="C170">
        <v>4</v>
      </c>
      <c r="D170">
        <v>27.9</v>
      </c>
      <c r="E170">
        <v>45</v>
      </c>
      <c r="F170">
        <v>1</v>
      </c>
      <c r="G170">
        <v>0</v>
      </c>
      <c r="H170">
        <v>0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 s="14">
        <f t="shared" si="7"/>
        <v>0</v>
      </c>
      <c r="P170">
        <f t="shared" si="6"/>
        <v>0.29250676218167809</v>
      </c>
      <c r="Q170">
        <f t="shared" si="8"/>
        <v>-0.34602720736438297</v>
      </c>
    </row>
    <row r="171" spans="1:17" x14ac:dyDescent="0.4">
      <c r="A171">
        <v>169</v>
      </c>
      <c r="B171">
        <v>0</v>
      </c>
      <c r="C171">
        <v>0</v>
      </c>
      <c r="D171">
        <v>25.925000000000001</v>
      </c>
      <c r="E171">
        <v>28</v>
      </c>
      <c r="F171">
        <v>0</v>
      </c>
      <c r="G171">
        <v>1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1</v>
      </c>
      <c r="N171">
        <v>0</v>
      </c>
      <c r="O171" s="14">
        <f t="shared" si="7"/>
        <v>0</v>
      </c>
      <c r="P171">
        <f t="shared" si="6"/>
        <v>0.47315102165932033</v>
      </c>
      <c r="Q171">
        <f t="shared" si="8"/>
        <v>-0.64084134012291705</v>
      </c>
    </row>
    <row r="172" spans="1:17" x14ac:dyDescent="0.4">
      <c r="A172">
        <v>170</v>
      </c>
      <c r="B172">
        <v>0</v>
      </c>
      <c r="C172">
        <v>0</v>
      </c>
      <c r="D172">
        <v>56.495800000000003</v>
      </c>
      <c r="E172">
        <v>28</v>
      </c>
      <c r="F172">
        <v>0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1</v>
      </c>
      <c r="N172">
        <v>0</v>
      </c>
      <c r="O172" s="14">
        <f t="shared" si="7"/>
        <v>0</v>
      </c>
      <c r="P172">
        <f t="shared" si="6"/>
        <v>0.10104495854089617</v>
      </c>
      <c r="Q172">
        <f t="shared" si="8"/>
        <v>-0.10652225526147417</v>
      </c>
    </row>
    <row r="173" spans="1:17" x14ac:dyDescent="0.4">
      <c r="A173">
        <v>171</v>
      </c>
      <c r="B173">
        <v>0</v>
      </c>
      <c r="C173">
        <v>0</v>
      </c>
      <c r="D173">
        <v>33.5</v>
      </c>
      <c r="E173">
        <v>61</v>
      </c>
      <c r="F173">
        <v>0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1</v>
      </c>
      <c r="N173">
        <v>0</v>
      </c>
      <c r="O173" s="14">
        <f t="shared" si="7"/>
        <v>0</v>
      </c>
      <c r="P173">
        <f t="shared" si="6"/>
        <v>0.20405746996874582</v>
      </c>
      <c r="Q173">
        <f t="shared" si="8"/>
        <v>-0.22822829419738613</v>
      </c>
    </row>
    <row r="174" spans="1:17" x14ac:dyDescent="0.4">
      <c r="A174">
        <v>172</v>
      </c>
      <c r="B174">
        <v>4</v>
      </c>
      <c r="C174">
        <v>1</v>
      </c>
      <c r="D174">
        <v>29.125</v>
      </c>
      <c r="E174">
        <v>4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1</v>
      </c>
      <c r="L174">
        <v>0</v>
      </c>
      <c r="M174">
        <v>1</v>
      </c>
      <c r="N174">
        <v>0</v>
      </c>
      <c r="O174" s="14">
        <f t="shared" si="7"/>
        <v>0</v>
      </c>
      <c r="P174">
        <f t="shared" si="6"/>
        <v>8.8837859101602454E-2</v>
      </c>
      <c r="Q174">
        <f t="shared" si="8"/>
        <v>-9.3034416331299163E-2</v>
      </c>
    </row>
    <row r="175" spans="1:17" x14ac:dyDescent="0.4">
      <c r="A175">
        <v>173</v>
      </c>
      <c r="B175">
        <v>1</v>
      </c>
      <c r="C175">
        <v>1</v>
      </c>
      <c r="D175">
        <v>11.1333</v>
      </c>
      <c r="E175">
        <v>1</v>
      </c>
      <c r="F175">
        <v>1</v>
      </c>
      <c r="G175">
        <v>0</v>
      </c>
      <c r="H175">
        <v>0</v>
      </c>
      <c r="I175">
        <v>1</v>
      </c>
      <c r="J175">
        <v>1</v>
      </c>
      <c r="K175">
        <v>0</v>
      </c>
      <c r="L175">
        <v>0</v>
      </c>
      <c r="M175">
        <v>1</v>
      </c>
      <c r="N175">
        <v>1</v>
      </c>
      <c r="O175" s="14">
        <f t="shared" si="7"/>
        <v>1</v>
      </c>
      <c r="P175">
        <f t="shared" si="6"/>
        <v>0.74130285557186171</v>
      </c>
      <c r="Q175">
        <f t="shared" si="8"/>
        <v>-0.29934602521321485</v>
      </c>
    </row>
    <row r="176" spans="1:17" x14ac:dyDescent="0.4">
      <c r="A176">
        <v>174</v>
      </c>
      <c r="B176">
        <v>0</v>
      </c>
      <c r="C176">
        <v>0</v>
      </c>
      <c r="D176">
        <v>7.9249999999999998</v>
      </c>
      <c r="E176">
        <v>21</v>
      </c>
      <c r="F176">
        <v>0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1</v>
      </c>
      <c r="N176">
        <v>0</v>
      </c>
      <c r="O176" s="14">
        <f t="shared" si="7"/>
        <v>0</v>
      </c>
      <c r="P176">
        <f t="shared" si="6"/>
        <v>0.11613220902980467</v>
      </c>
      <c r="Q176">
        <f t="shared" si="8"/>
        <v>-0.12344778525538895</v>
      </c>
    </row>
    <row r="177" spans="1:17" x14ac:dyDescent="0.4">
      <c r="A177">
        <v>175</v>
      </c>
      <c r="B177">
        <v>0</v>
      </c>
      <c r="C177">
        <v>0</v>
      </c>
      <c r="D177">
        <v>30.695799999999998</v>
      </c>
      <c r="E177">
        <v>56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1</v>
      </c>
      <c r="N177">
        <v>0</v>
      </c>
      <c r="O177" s="14">
        <f t="shared" si="7"/>
        <v>0</v>
      </c>
      <c r="P177">
        <f t="shared" si="6"/>
        <v>0.32295652645561823</v>
      </c>
      <c r="Q177">
        <f t="shared" si="8"/>
        <v>-0.39001979314724017</v>
      </c>
    </row>
    <row r="178" spans="1:17" x14ac:dyDescent="0.4">
      <c r="A178">
        <v>176</v>
      </c>
      <c r="B178">
        <v>1</v>
      </c>
      <c r="C178">
        <v>1</v>
      </c>
      <c r="D178">
        <v>7.8541999999999996</v>
      </c>
      <c r="E178">
        <v>18</v>
      </c>
      <c r="F178">
        <v>0</v>
      </c>
      <c r="G178">
        <v>0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1</v>
      </c>
      <c r="N178">
        <v>0</v>
      </c>
      <c r="O178" s="14">
        <f t="shared" si="7"/>
        <v>0</v>
      </c>
      <c r="P178">
        <f t="shared" si="6"/>
        <v>8.8712570573232841E-2</v>
      </c>
      <c r="Q178">
        <f t="shared" si="8"/>
        <v>-9.2896921686062187E-2</v>
      </c>
    </row>
    <row r="179" spans="1:17" x14ac:dyDescent="0.4">
      <c r="A179">
        <v>177</v>
      </c>
      <c r="B179">
        <v>3</v>
      </c>
      <c r="C179">
        <v>1</v>
      </c>
      <c r="D179">
        <v>25.466699999999999</v>
      </c>
      <c r="E179">
        <v>28</v>
      </c>
      <c r="F179">
        <v>0</v>
      </c>
      <c r="G179">
        <v>0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1</v>
      </c>
      <c r="N179">
        <v>0</v>
      </c>
      <c r="O179" s="14">
        <f t="shared" si="7"/>
        <v>0</v>
      </c>
      <c r="P179">
        <f t="shared" si="6"/>
        <v>3.4979720656323099E-2</v>
      </c>
      <c r="Q179">
        <f t="shared" si="8"/>
        <v>-3.5606163000046452E-2</v>
      </c>
    </row>
    <row r="180" spans="1:17" x14ac:dyDescent="0.4">
      <c r="A180">
        <v>178</v>
      </c>
      <c r="B180">
        <v>0</v>
      </c>
      <c r="C180">
        <v>0</v>
      </c>
      <c r="D180">
        <v>28.712499999999999</v>
      </c>
      <c r="E180">
        <v>50</v>
      </c>
      <c r="F180">
        <v>1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 s="14">
        <f t="shared" si="7"/>
        <v>1</v>
      </c>
      <c r="P180">
        <f t="shared" si="6"/>
        <v>0.90077835209806456</v>
      </c>
      <c r="Q180">
        <f t="shared" si="8"/>
        <v>-2.3103990636809844</v>
      </c>
    </row>
    <row r="181" spans="1:17" x14ac:dyDescent="0.4">
      <c r="A181">
        <v>179</v>
      </c>
      <c r="B181">
        <v>0</v>
      </c>
      <c r="C181">
        <v>0</v>
      </c>
      <c r="D181">
        <v>13</v>
      </c>
      <c r="E181">
        <v>30</v>
      </c>
      <c r="F181">
        <v>0</v>
      </c>
      <c r="G181">
        <v>0</v>
      </c>
      <c r="H181">
        <v>1</v>
      </c>
      <c r="I181">
        <v>0</v>
      </c>
      <c r="J181">
        <v>1</v>
      </c>
      <c r="K181">
        <v>0</v>
      </c>
      <c r="L181">
        <v>0</v>
      </c>
      <c r="M181">
        <v>1</v>
      </c>
      <c r="N181">
        <v>0</v>
      </c>
      <c r="O181" s="14">
        <f t="shared" si="7"/>
        <v>0</v>
      </c>
      <c r="P181">
        <f t="shared" si="6"/>
        <v>0.24328874764912325</v>
      </c>
      <c r="Q181">
        <f t="shared" si="8"/>
        <v>-0.27877353509900654</v>
      </c>
    </row>
    <row r="182" spans="1:17" x14ac:dyDescent="0.4">
      <c r="A182">
        <v>180</v>
      </c>
      <c r="B182">
        <v>0</v>
      </c>
      <c r="C182">
        <v>0</v>
      </c>
      <c r="D182">
        <v>0</v>
      </c>
      <c r="E182">
        <v>36</v>
      </c>
      <c r="F182">
        <v>0</v>
      </c>
      <c r="G182">
        <v>0</v>
      </c>
      <c r="H182">
        <v>0</v>
      </c>
      <c r="I182">
        <v>1</v>
      </c>
      <c r="J182">
        <v>1</v>
      </c>
      <c r="K182">
        <v>0</v>
      </c>
      <c r="L182">
        <v>0</v>
      </c>
      <c r="M182">
        <v>1</v>
      </c>
      <c r="N182">
        <v>0</v>
      </c>
      <c r="O182" s="14">
        <f t="shared" si="7"/>
        <v>0</v>
      </c>
      <c r="P182">
        <f t="shared" si="6"/>
        <v>6.7484099370974618E-2</v>
      </c>
      <c r="Q182">
        <f t="shared" si="8"/>
        <v>-6.9869075996647739E-2</v>
      </c>
    </row>
    <row r="183" spans="1:17" x14ac:dyDescent="0.4">
      <c r="A183">
        <v>181</v>
      </c>
      <c r="B183">
        <v>8</v>
      </c>
      <c r="C183">
        <v>2</v>
      </c>
      <c r="D183">
        <v>69.55</v>
      </c>
      <c r="E183">
        <v>28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1</v>
      </c>
      <c r="N183">
        <v>0</v>
      </c>
      <c r="O183" s="14">
        <f t="shared" si="7"/>
        <v>0</v>
      </c>
      <c r="P183">
        <f t="shared" si="6"/>
        <v>9.9958507010454611E-2</v>
      </c>
      <c r="Q183">
        <f t="shared" si="8"/>
        <v>-0.10531441339883467</v>
      </c>
    </row>
    <row r="184" spans="1:17" x14ac:dyDescent="0.4">
      <c r="A184">
        <v>182</v>
      </c>
      <c r="B184">
        <v>0</v>
      </c>
      <c r="C184">
        <v>0</v>
      </c>
      <c r="D184">
        <v>15.05</v>
      </c>
      <c r="E184">
        <v>28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 s="14">
        <f t="shared" si="7"/>
        <v>0</v>
      </c>
      <c r="P184">
        <f t="shared" si="6"/>
        <v>0.35022519703733829</v>
      </c>
      <c r="Q184">
        <f t="shared" si="8"/>
        <v>-0.4311294331030599</v>
      </c>
    </row>
    <row r="185" spans="1:17" x14ac:dyDescent="0.4">
      <c r="A185">
        <v>183</v>
      </c>
      <c r="B185">
        <v>4</v>
      </c>
      <c r="C185">
        <v>2</v>
      </c>
      <c r="D185">
        <v>31.387499999999999</v>
      </c>
      <c r="E185">
        <v>9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1</v>
      </c>
      <c r="N185">
        <v>0</v>
      </c>
      <c r="O185" s="14">
        <f t="shared" si="7"/>
        <v>0</v>
      </c>
      <c r="P185">
        <f t="shared" si="6"/>
        <v>4.8023987471797654E-2</v>
      </c>
      <c r="Q185">
        <f t="shared" si="8"/>
        <v>-4.9215441432376814E-2</v>
      </c>
    </row>
    <row r="186" spans="1:17" x14ac:dyDescent="0.4">
      <c r="A186">
        <v>184</v>
      </c>
      <c r="B186">
        <v>2</v>
      </c>
      <c r="C186">
        <v>1</v>
      </c>
      <c r="D186">
        <v>39</v>
      </c>
      <c r="E186">
        <v>1</v>
      </c>
      <c r="F186">
        <v>0</v>
      </c>
      <c r="G186">
        <v>0</v>
      </c>
      <c r="H186">
        <v>1</v>
      </c>
      <c r="I186">
        <v>0</v>
      </c>
      <c r="J186">
        <v>1</v>
      </c>
      <c r="K186">
        <v>0</v>
      </c>
      <c r="L186">
        <v>0</v>
      </c>
      <c r="M186">
        <v>1</v>
      </c>
      <c r="N186">
        <v>1</v>
      </c>
      <c r="O186" s="14">
        <f t="shared" si="7"/>
        <v>0</v>
      </c>
      <c r="P186">
        <f t="shared" si="6"/>
        <v>0.33316435856857141</v>
      </c>
      <c r="Q186">
        <f t="shared" si="8"/>
        <v>-1.0991193414919538</v>
      </c>
    </row>
    <row r="187" spans="1:17" x14ac:dyDescent="0.4">
      <c r="A187">
        <v>185</v>
      </c>
      <c r="B187">
        <v>0</v>
      </c>
      <c r="C187">
        <v>2</v>
      </c>
      <c r="D187">
        <v>22.024999999999999</v>
      </c>
      <c r="E187">
        <v>4</v>
      </c>
      <c r="F187">
        <v>1</v>
      </c>
      <c r="G187">
        <v>0</v>
      </c>
      <c r="H187">
        <v>0</v>
      </c>
      <c r="I187">
        <v>1</v>
      </c>
      <c r="J187">
        <v>1</v>
      </c>
      <c r="K187">
        <v>0</v>
      </c>
      <c r="L187">
        <v>0</v>
      </c>
      <c r="M187">
        <v>1</v>
      </c>
      <c r="N187">
        <v>1</v>
      </c>
      <c r="O187" s="14">
        <f t="shared" si="7"/>
        <v>1</v>
      </c>
      <c r="P187">
        <f t="shared" si="6"/>
        <v>0.76695831224116773</v>
      </c>
      <c r="Q187">
        <f t="shared" si="8"/>
        <v>-0.26532283079841901</v>
      </c>
    </row>
    <row r="188" spans="1:17" x14ac:dyDescent="0.4">
      <c r="A188">
        <v>186</v>
      </c>
      <c r="B188">
        <v>0</v>
      </c>
      <c r="C188">
        <v>0</v>
      </c>
      <c r="D188">
        <v>50</v>
      </c>
      <c r="E188">
        <v>28</v>
      </c>
      <c r="F188">
        <v>0</v>
      </c>
      <c r="G188">
        <v>1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1</v>
      </c>
      <c r="N188">
        <v>0</v>
      </c>
      <c r="O188" s="14">
        <f t="shared" si="7"/>
        <v>0</v>
      </c>
      <c r="P188">
        <f t="shared" si="6"/>
        <v>0.48720359974718186</v>
      </c>
      <c r="Q188">
        <f t="shared" si="8"/>
        <v>-0.66787639318811176</v>
      </c>
    </row>
    <row r="189" spans="1:17" x14ac:dyDescent="0.4">
      <c r="A189">
        <v>187</v>
      </c>
      <c r="B189">
        <v>1</v>
      </c>
      <c r="C189">
        <v>0</v>
      </c>
      <c r="D189">
        <v>15.5</v>
      </c>
      <c r="E189">
        <v>28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1</v>
      </c>
      <c r="N189">
        <v>1</v>
      </c>
      <c r="O189" s="14">
        <f t="shared" si="7"/>
        <v>1</v>
      </c>
      <c r="P189">
        <f t="shared" si="6"/>
        <v>0.6211353665762529</v>
      </c>
      <c r="Q189">
        <f t="shared" si="8"/>
        <v>-0.47620623919892424</v>
      </c>
    </row>
    <row r="190" spans="1:17" x14ac:dyDescent="0.4">
      <c r="A190">
        <v>188</v>
      </c>
      <c r="B190">
        <v>0</v>
      </c>
      <c r="C190">
        <v>0</v>
      </c>
      <c r="D190">
        <v>26.55</v>
      </c>
      <c r="E190">
        <v>45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1</v>
      </c>
      <c r="N190">
        <v>1</v>
      </c>
      <c r="O190" s="14">
        <f t="shared" si="7"/>
        <v>0</v>
      </c>
      <c r="P190">
        <f t="shared" si="6"/>
        <v>0.31843549307142122</v>
      </c>
      <c r="Q190">
        <f t="shared" si="8"/>
        <v>-1.1443353580103235</v>
      </c>
    </row>
    <row r="191" spans="1:17" x14ac:dyDescent="0.4">
      <c r="A191">
        <v>189</v>
      </c>
      <c r="B191">
        <v>1</v>
      </c>
      <c r="C191">
        <v>1</v>
      </c>
      <c r="D191">
        <v>15.5</v>
      </c>
      <c r="E191">
        <v>40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1</v>
      </c>
      <c r="L191">
        <v>0</v>
      </c>
      <c r="M191">
        <v>1</v>
      </c>
      <c r="N191">
        <v>0</v>
      </c>
      <c r="O191" s="14">
        <f t="shared" si="7"/>
        <v>0</v>
      </c>
      <c r="P191">
        <f t="shared" si="6"/>
        <v>5.8364951346477185E-2</v>
      </c>
      <c r="Q191">
        <f t="shared" si="8"/>
        <v>-6.0137501284540061E-2</v>
      </c>
    </row>
    <row r="192" spans="1:17" x14ac:dyDescent="0.4">
      <c r="A192">
        <v>190</v>
      </c>
      <c r="B192">
        <v>0</v>
      </c>
      <c r="C192">
        <v>0</v>
      </c>
      <c r="D192">
        <v>7.8958000000000004</v>
      </c>
      <c r="E192">
        <v>36</v>
      </c>
      <c r="F192">
        <v>0</v>
      </c>
      <c r="G192">
        <v>0</v>
      </c>
      <c r="H192">
        <v>0</v>
      </c>
      <c r="I192">
        <v>1</v>
      </c>
      <c r="J192">
        <v>1</v>
      </c>
      <c r="K192">
        <v>0</v>
      </c>
      <c r="L192">
        <v>0</v>
      </c>
      <c r="M192">
        <v>1</v>
      </c>
      <c r="N192">
        <v>0</v>
      </c>
      <c r="O192" s="14">
        <f t="shared" si="7"/>
        <v>0</v>
      </c>
      <c r="P192">
        <f t="shared" si="6"/>
        <v>6.8655446201951853E-2</v>
      </c>
      <c r="Q192">
        <f t="shared" si="8"/>
        <v>-7.1125980162840635E-2</v>
      </c>
    </row>
    <row r="193" spans="1:17" x14ac:dyDescent="0.4">
      <c r="A193">
        <v>191</v>
      </c>
      <c r="B193">
        <v>0</v>
      </c>
      <c r="C193">
        <v>0</v>
      </c>
      <c r="D193">
        <v>13</v>
      </c>
      <c r="E193">
        <v>32</v>
      </c>
      <c r="F193">
        <v>1</v>
      </c>
      <c r="G193">
        <v>0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1</v>
      </c>
      <c r="N193">
        <v>1</v>
      </c>
      <c r="O193" s="14">
        <f t="shared" si="7"/>
        <v>1</v>
      </c>
      <c r="P193">
        <f t="shared" si="6"/>
        <v>0.81873825163944192</v>
      </c>
      <c r="Q193">
        <f t="shared" si="8"/>
        <v>-0.19999084127829167</v>
      </c>
    </row>
    <row r="194" spans="1:17" x14ac:dyDescent="0.4">
      <c r="A194">
        <v>192</v>
      </c>
      <c r="B194">
        <v>0</v>
      </c>
      <c r="C194">
        <v>0</v>
      </c>
      <c r="D194">
        <v>13</v>
      </c>
      <c r="E194">
        <v>19</v>
      </c>
      <c r="F194">
        <v>0</v>
      </c>
      <c r="G194">
        <v>0</v>
      </c>
      <c r="H194">
        <v>1</v>
      </c>
      <c r="I194">
        <v>0</v>
      </c>
      <c r="J194">
        <v>1</v>
      </c>
      <c r="K194">
        <v>0</v>
      </c>
      <c r="L194">
        <v>0</v>
      </c>
      <c r="M194">
        <v>1</v>
      </c>
      <c r="N194">
        <v>0</v>
      </c>
      <c r="O194" s="14">
        <f t="shared" si="7"/>
        <v>0</v>
      </c>
      <c r="P194">
        <f t="shared" si="6"/>
        <v>0.32938843572363424</v>
      </c>
      <c r="Q194">
        <f t="shared" si="8"/>
        <v>-0.39956520042770682</v>
      </c>
    </row>
    <row r="195" spans="1:17" x14ac:dyDescent="0.4">
      <c r="A195">
        <v>193</v>
      </c>
      <c r="B195">
        <v>1</v>
      </c>
      <c r="C195">
        <v>0</v>
      </c>
      <c r="D195">
        <v>7.8541999999999996</v>
      </c>
      <c r="E195">
        <v>19</v>
      </c>
      <c r="F195">
        <v>1</v>
      </c>
      <c r="G195">
        <v>0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1</v>
      </c>
      <c r="N195">
        <v>1</v>
      </c>
      <c r="O195" s="14">
        <f t="shared" si="7"/>
        <v>1</v>
      </c>
      <c r="P195">
        <f t="shared" ref="P195:P258" si="9">1/(1+EXP(-SUMPRODUCT(B$1:M$1,B195:M195)))</f>
        <v>0.60944601614565685</v>
      </c>
      <c r="Q195">
        <f t="shared" si="8"/>
        <v>-0.49520490470425427</v>
      </c>
    </row>
    <row r="196" spans="1:17" x14ac:dyDescent="0.4">
      <c r="A196">
        <v>194</v>
      </c>
      <c r="B196">
        <v>1</v>
      </c>
      <c r="C196">
        <v>1</v>
      </c>
      <c r="D196">
        <v>26</v>
      </c>
      <c r="E196">
        <v>3</v>
      </c>
      <c r="F196">
        <v>0</v>
      </c>
      <c r="G196">
        <v>0</v>
      </c>
      <c r="H196">
        <v>1</v>
      </c>
      <c r="I196">
        <v>0</v>
      </c>
      <c r="J196">
        <v>1</v>
      </c>
      <c r="K196">
        <v>0</v>
      </c>
      <c r="L196">
        <v>0</v>
      </c>
      <c r="M196">
        <v>1</v>
      </c>
      <c r="N196">
        <v>1</v>
      </c>
      <c r="O196" s="14">
        <f t="shared" ref="O196:O259" si="10">IF(P196&gt;0.5,1,0)</f>
        <v>0</v>
      </c>
      <c r="P196">
        <f t="shared" si="9"/>
        <v>0.3823863111207747</v>
      </c>
      <c r="Q196">
        <f t="shared" ref="Q196:Q259" si="11">N196*LN(P196)+(1-N196)*LN(1-P196)</f>
        <v>-0.9613238957239375</v>
      </c>
    </row>
    <row r="197" spans="1:17" x14ac:dyDescent="0.4">
      <c r="A197">
        <v>195</v>
      </c>
      <c r="B197">
        <v>0</v>
      </c>
      <c r="C197">
        <v>0</v>
      </c>
      <c r="D197">
        <v>27.720800000000001</v>
      </c>
      <c r="E197">
        <v>44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1</v>
      </c>
      <c r="N197">
        <v>1</v>
      </c>
      <c r="O197" s="14">
        <f t="shared" si="10"/>
        <v>1</v>
      </c>
      <c r="P197">
        <f t="shared" si="9"/>
        <v>0.91943808758188972</v>
      </c>
      <c r="Q197">
        <f t="shared" si="11"/>
        <v>-8.3992569905209882E-2</v>
      </c>
    </row>
    <row r="198" spans="1:17" x14ac:dyDescent="0.4">
      <c r="A198">
        <v>196</v>
      </c>
      <c r="B198">
        <v>0</v>
      </c>
      <c r="C198">
        <v>0</v>
      </c>
      <c r="D198">
        <v>146.52080000000001</v>
      </c>
      <c r="E198">
        <v>58</v>
      </c>
      <c r="F198">
        <v>1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1</v>
      </c>
      <c r="N198">
        <v>1</v>
      </c>
      <c r="O198" s="14">
        <f t="shared" si="10"/>
        <v>1</v>
      </c>
      <c r="P198">
        <f t="shared" si="9"/>
        <v>0.89781775945420239</v>
      </c>
      <c r="Q198">
        <f t="shared" si="11"/>
        <v>-0.10778817174930407</v>
      </c>
    </row>
    <row r="199" spans="1:17" x14ac:dyDescent="0.4">
      <c r="A199">
        <v>197</v>
      </c>
      <c r="B199">
        <v>0</v>
      </c>
      <c r="C199">
        <v>0</v>
      </c>
      <c r="D199">
        <v>7.75</v>
      </c>
      <c r="E199">
        <v>28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1</v>
      </c>
      <c r="L199">
        <v>0</v>
      </c>
      <c r="M199">
        <v>1</v>
      </c>
      <c r="N199">
        <v>0</v>
      </c>
      <c r="O199" s="14">
        <f t="shared" si="10"/>
        <v>0</v>
      </c>
      <c r="P199">
        <f t="shared" si="9"/>
        <v>0.12770204164315915</v>
      </c>
      <c r="Q199">
        <f t="shared" si="11"/>
        <v>-0.13662421807437358</v>
      </c>
    </row>
    <row r="200" spans="1:17" x14ac:dyDescent="0.4">
      <c r="A200">
        <v>198</v>
      </c>
      <c r="B200">
        <v>0</v>
      </c>
      <c r="C200">
        <v>1</v>
      </c>
      <c r="D200">
        <v>8.4041999999999994</v>
      </c>
      <c r="E200">
        <v>42</v>
      </c>
      <c r="F200">
        <v>0</v>
      </c>
      <c r="G200">
        <v>0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1</v>
      </c>
      <c r="N200">
        <v>0</v>
      </c>
      <c r="O200" s="14">
        <f t="shared" si="10"/>
        <v>0</v>
      </c>
      <c r="P200">
        <f t="shared" si="9"/>
        <v>5.0649285024932961E-2</v>
      </c>
      <c r="Q200">
        <f t="shared" si="11"/>
        <v>-5.1976985972369778E-2</v>
      </c>
    </row>
    <row r="201" spans="1:17" x14ac:dyDescent="0.4">
      <c r="A201">
        <v>199</v>
      </c>
      <c r="B201">
        <v>0</v>
      </c>
      <c r="C201">
        <v>0</v>
      </c>
      <c r="D201">
        <v>7.75</v>
      </c>
      <c r="E201">
        <v>28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1</v>
      </c>
      <c r="L201">
        <v>0</v>
      </c>
      <c r="M201">
        <v>1</v>
      </c>
      <c r="N201">
        <v>1</v>
      </c>
      <c r="O201" s="14">
        <f t="shared" si="10"/>
        <v>1</v>
      </c>
      <c r="P201">
        <f t="shared" si="9"/>
        <v>0.68958390472100084</v>
      </c>
      <c r="Q201">
        <f t="shared" si="11"/>
        <v>-0.37166689992678675</v>
      </c>
    </row>
    <row r="202" spans="1:17" x14ac:dyDescent="0.4">
      <c r="A202">
        <v>200</v>
      </c>
      <c r="B202">
        <v>0</v>
      </c>
      <c r="C202">
        <v>0</v>
      </c>
      <c r="D202">
        <v>13</v>
      </c>
      <c r="E202">
        <v>24</v>
      </c>
      <c r="F202">
        <v>1</v>
      </c>
      <c r="G202">
        <v>0</v>
      </c>
      <c r="H202">
        <v>1</v>
      </c>
      <c r="I202">
        <v>0</v>
      </c>
      <c r="J202">
        <v>1</v>
      </c>
      <c r="K202">
        <v>0</v>
      </c>
      <c r="L202">
        <v>0</v>
      </c>
      <c r="M202">
        <v>1</v>
      </c>
      <c r="N202">
        <v>0</v>
      </c>
      <c r="O202" s="14">
        <f t="shared" si="10"/>
        <v>1</v>
      </c>
      <c r="P202">
        <f t="shared" si="9"/>
        <v>0.86008862345668224</v>
      </c>
      <c r="Q202">
        <f t="shared" si="11"/>
        <v>-1.966746081508145</v>
      </c>
    </row>
    <row r="203" spans="1:17" x14ac:dyDescent="0.4">
      <c r="A203">
        <v>201</v>
      </c>
      <c r="B203">
        <v>0</v>
      </c>
      <c r="C203">
        <v>0</v>
      </c>
      <c r="D203">
        <v>9.5</v>
      </c>
      <c r="E203">
        <v>28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1</v>
      </c>
      <c r="N203">
        <v>0</v>
      </c>
      <c r="O203" s="14">
        <f t="shared" si="10"/>
        <v>0</v>
      </c>
      <c r="P203">
        <f t="shared" si="9"/>
        <v>9.1490242901906826E-2</v>
      </c>
      <c r="Q203">
        <f t="shared" si="11"/>
        <v>-9.5949651414817164E-2</v>
      </c>
    </row>
    <row r="204" spans="1:17" x14ac:dyDescent="0.4">
      <c r="A204">
        <v>202</v>
      </c>
      <c r="B204">
        <v>8</v>
      </c>
      <c r="C204">
        <v>2</v>
      </c>
      <c r="D204">
        <v>69.55</v>
      </c>
      <c r="E204">
        <v>28</v>
      </c>
      <c r="F204">
        <v>0</v>
      </c>
      <c r="G204">
        <v>0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 s="14">
        <f t="shared" si="10"/>
        <v>0</v>
      </c>
      <c r="P204">
        <f t="shared" si="9"/>
        <v>7.265748081018826E-3</v>
      </c>
      <c r="Q204">
        <f t="shared" si="11"/>
        <v>-7.2922721850061699E-3</v>
      </c>
    </row>
    <row r="205" spans="1:17" x14ac:dyDescent="0.4">
      <c r="A205">
        <v>203</v>
      </c>
      <c r="B205">
        <v>0</v>
      </c>
      <c r="C205">
        <v>0</v>
      </c>
      <c r="D205">
        <v>6.4958</v>
      </c>
      <c r="E205">
        <v>34</v>
      </c>
      <c r="F205">
        <v>0</v>
      </c>
      <c r="G205">
        <v>0</v>
      </c>
      <c r="H205">
        <v>0</v>
      </c>
      <c r="I205">
        <v>1</v>
      </c>
      <c r="J205">
        <v>1</v>
      </c>
      <c r="K205">
        <v>0</v>
      </c>
      <c r="L205">
        <v>0</v>
      </c>
      <c r="M205">
        <v>1</v>
      </c>
      <c r="N205">
        <v>0</v>
      </c>
      <c r="O205" s="14">
        <f t="shared" si="10"/>
        <v>0</v>
      </c>
      <c r="P205">
        <f t="shared" si="9"/>
        <v>7.3525656334061384E-2</v>
      </c>
      <c r="Q205">
        <f t="shared" si="11"/>
        <v>-7.6368925312093688E-2</v>
      </c>
    </row>
    <row r="206" spans="1:17" x14ac:dyDescent="0.4">
      <c r="A206">
        <v>204</v>
      </c>
      <c r="B206">
        <v>0</v>
      </c>
      <c r="C206">
        <v>0</v>
      </c>
      <c r="D206">
        <v>7.2249999999999996</v>
      </c>
      <c r="E206">
        <v>45.5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1</v>
      </c>
      <c r="M206">
        <v>1</v>
      </c>
      <c r="N206">
        <v>0</v>
      </c>
      <c r="O206" s="14">
        <f t="shared" si="10"/>
        <v>0</v>
      </c>
      <c r="P206">
        <f t="shared" si="9"/>
        <v>7.3084124953258181E-2</v>
      </c>
      <c r="Q206">
        <f t="shared" si="11"/>
        <v>-7.5892467214173448E-2</v>
      </c>
    </row>
    <row r="207" spans="1:17" x14ac:dyDescent="0.4">
      <c r="A207">
        <v>205</v>
      </c>
      <c r="B207">
        <v>0</v>
      </c>
      <c r="C207">
        <v>0</v>
      </c>
      <c r="D207">
        <v>8.0500000000000007</v>
      </c>
      <c r="E207">
        <v>18</v>
      </c>
      <c r="F207">
        <v>0</v>
      </c>
      <c r="G207">
        <v>0</v>
      </c>
      <c r="H207">
        <v>0</v>
      </c>
      <c r="I207">
        <v>1</v>
      </c>
      <c r="J207">
        <v>1</v>
      </c>
      <c r="K207">
        <v>0</v>
      </c>
      <c r="L207">
        <v>0</v>
      </c>
      <c r="M207">
        <v>1</v>
      </c>
      <c r="N207">
        <v>1</v>
      </c>
      <c r="O207" s="14">
        <f t="shared" si="10"/>
        <v>0</v>
      </c>
      <c r="P207">
        <f t="shared" si="9"/>
        <v>0.1285646909374972</v>
      </c>
      <c r="Q207">
        <f t="shared" si="11"/>
        <v>-2.0513230699057341</v>
      </c>
    </row>
    <row r="208" spans="1:17" x14ac:dyDescent="0.4">
      <c r="A208">
        <v>206</v>
      </c>
      <c r="B208">
        <v>0</v>
      </c>
      <c r="C208">
        <v>1</v>
      </c>
      <c r="D208">
        <v>10.4625</v>
      </c>
      <c r="E208">
        <v>2</v>
      </c>
      <c r="F208">
        <v>1</v>
      </c>
      <c r="G208">
        <v>0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1</v>
      </c>
      <c r="N208">
        <v>0</v>
      </c>
      <c r="O208" s="14">
        <f t="shared" si="10"/>
        <v>1</v>
      </c>
      <c r="P208">
        <f t="shared" si="9"/>
        <v>0.79159820475179199</v>
      </c>
      <c r="Q208">
        <f t="shared" si="11"/>
        <v>-1.5682873547052498</v>
      </c>
    </row>
    <row r="209" spans="1:17" x14ac:dyDescent="0.4">
      <c r="A209">
        <v>207</v>
      </c>
      <c r="B209">
        <v>1</v>
      </c>
      <c r="C209">
        <v>0</v>
      </c>
      <c r="D209">
        <v>15.85</v>
      </c>
      <c r="E209">
        <v>32</v>
      </c>
      <c r="F209">
        <v>0</v>
      </c>
      <c r="G209">
        <v>0</v>
      </c>
      <c r="H209">
        <v>0</v>
      </c>
      <c r="I209">
        <v>1</v>
      </c>
      <c r="J209">
        <v>1</v>
      </c>
      <c r="K209">
        <v>0</v>
      </c>
      <c r="L209">
        <v>0</v>
      </c>
      <c r="M209">
        <v>1</v>
      </c>
      <c r="N209">
        <v>0</v>
      </c>
      <c r="O209" s="14">
        <f t="shared" si="10"/>
        <v>0</v>
      </c>
      <c r="P209">
        <f t="shared" si="9"/>
        <v>5.9706340678306706E-2</v>
      </c>
      <c r="Q209">
        <f t="shared" si="11"/>
        <v>-6.1563048972194417E-2</v>
      </c>
    </row>
    <row r="210" spans="1:17" x14ac:dyDescent="0.4">
      <c r="A210">
        <v>208</v>
      </c>
      <c r="B210">
        <v>0</v>
      </c>
      <c r="C210">
        <v>0</v>
      </c>
      <c r="D210">
        <v>18.787500000000001</v>
      </c>
      <c r="E210">
        <v>26</v>
      </c>
      <c r="F210">
        <v>0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1</v>
      </c>
      <c r="M210">
        <v>1</v>
      </c>
      <c r="N210">
        <v>1</v>
      </c>
      <c r="O210" s="14">
        <f t="shared" si="10"/>
        <v>0</v>
      </c>
      <c r="P210">
        <f t="shared" si="9"/>
        <v>0.14654450952494133</v>
      </c>
      <c r="Q210">
        <f t="shared" si="11"/>
        <v>-1.9204260773858715</v>
      </c>
    </row>
    <row r="211" spans="1:17" x14ac:dyDescent="0.4">
      <c r="A211">
        <v>209</v>
      </c>
      <c r="B211">
        <v>0</v>
      </c>
      <c r="C211">
        <v>0</v>
      </c>
      <c r="D211">
        <v>7.75</v>
      </c>
      <c r="E211">
        <v>16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1</v>
      </c>
      <c r="L211">
        <v>0</v>
      </c>
      <c r="M211">
        <v>1</v>
      </c>
      <c r="N211">
        <v>1</v>
      </c>
      <c r="O211" s="14">
        <f t="shared" si="10"/>
        <v>1</v>
      </c>
      <c r="P211">
        <f t="shared" si="9"/>
        <v>0.77910882980540852</v>
      </c>
      <c r="Q211">
        <f t="shared" si="11"/>
        <v>-0.24960453836927107</v>
      </c>
    </row>
    <row r="212" spans="1:17" x14ac:dyDescent="0.4">
      <c r="A212">
        <v>210</v>
      </c>
      <c r="B212">
        <v>0</v>
      </c>
      <c r="C212">
        <v>0</v>
      </c>
      <c r="D212">
        <v>31</v>
      </c>
      <c r="E212">
        <v>40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1</v>
      </c>
      <c r="N212">
        <v>1</v>
      </c>
      <c r="O212" s="14">
        <f t="shared" si="10"/>
        <v>0</v>
      </c>
      <c r="P212">
        <f t="shared" si="9"/>
        <v>0.46926416894183232</v>
      </c>
      <c r="Q212">
        <f t="shared" si="11"/>
        <v>-0.75658940910332506</v>
      </c>
    </row>
    <row r="213" spans="1:17" x14ac:dyDescent="0.4">
      <c r="A213">
        <v>211</v>
      </c>
      <c r="B213">
        <v>0</v>
      </c>
      <c r="C213">
        <v>0</v>
      </c>
      <c r="D213">
        <v>7.05</v>
      </c>
      <c r="E213">
        <v>24</v>
      </c>
      <c r="F213">
        <v>0</v>
      </c>
      <c r="G213">
        <v>0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1</v>
      </c>
      <c r="N213">
        <v>0</v>
      </c>
      <c r="O213" s="14">
        <f t="shared" si="10"/>
        <v>0</v>
      </c>
      <c r="P213">
        <f t="shared" si="9"/>
        <v>0.10459307015969251</v>
      </c>
      <c r="Q213">
        <f t="shared" si="11"/>
        <v>-0.1104769938258289</v>
      </c>
    </row>
    <row r="214" spans="1:17" x14ac:dyDescent="0.4">
      <c r="A214">
        <v>212</v>
      </c>
      <c r="B214">
        <v>0</v>
      </c>
      <c r="C214">
        <v>0</v>
      </c>
      <c r="D214">
        <v>21</v>
      </c>
      <c r="E214">
        <v>35</v>
      </c>
      <c r="F214">
        <v>1</v>
      </c>
      <c r="G214">
        <v>0</v>
      </c>
      <c r="H214">
        <v>1</v>
      </c>
      <c r="I214">
        <v>0</v>
      </c>
      <c r="J214">
        <v>1</v>
      </c>
      <c r="K214">
        <v>0</v>
      </c>
      <c r="L214">
        <v>0</v>
      </c>
      <c r="M214">
        <v>1</v>
      </c>
      <c r="N214">
        <v>1</v>
      </c>
      <c r="O214" s="14">
        <f t="shared" si="10"/>
        <v>1</v>
      </c>
      <c r="P214">
        <f t="shared" si="9"/>
        <v>0.80391651395291797</v>
      </c>
      <c r="Q214">
        <f t="shared" si="11"/>
        <v>-0.21825985356176461</v>
      </c>
    </row>
    <row r="215" spans="1:17" x14ac:dyDescent="0.4">
      <c r="A215">
        <v>213</v>
      </c>
      <c r="B215">
        <v>0</v>
      </c>
      <c r="C215">
        <v>0</v>
      </c>
      <c r="D215">
        <v>7.25</v>
      </c>
      <c r="E215">
        <v>22</v>
      </c>
      <c r="F215">
        <v>0</v>
      </c>
      <c r="G215">
        <v>0</v>
      </c>
      <c r="H215">
        <v>0</v>
      </c>
      <c r="I215">
        <v>1</v>
      </c>
      <c r="J215">
        <v>1</v>
      </c>
      <c r="K215">
        <v>0</v>
      </c>
      <c r="L215">
        <v>0</v>
      </c>
      <c r="M215">
        <v>1</v>
      </c>
      <c r="N215">
        <v>0</v>
      </c>
      <c r="O215" s="14">
        <f t="shared" si="10"/>
        <v>0</v>
      </c>
      <c r="P215">
        <f t="shared" si="9"/>
        <v>0.11207865290581157</v>
      </c>
      <c r="Q215">
        <f t="shared" si="11"/>
        <v>-0.11887211300492506</v>
      </c>
    </row>
    <row r="216" spans="1:17" x14ac:dyDescent="0.4">
      <c r="A216">
        <v>214</v>
      </c>
      <c r="B216">
        <v>0</v>
      </c>
      <c r="C216">
        <v>0</v>
      </c>
      <c r="D216">
        <v>13</v>
      </c>
      <c r="E216">
        <v>30</v>
      </c>
      <c r="F216">
        <v>0</v>
      </c>
      <c r="G216">
        <v>0</v>
      </c>
      <c r="H216">
        <v>1</v>
      </c>
      <c r="I216">
        <v>0</v>
      </c>
      <c r="J216">
        <v>1</v>
      </c>
      <c r="K216">
        <v>0</v>
      </c>
      <c r="L216">
        <v>0</v>
      </c>
      <c r="M216">
        <v>1</v>
      </c>
      <c r="N216">
        <v>0</v>
      </c>
      <c r="O216" s="14">
        <f t="shared" si="10"/>
        <v>0</v>
      </c>
      <c r="P216">
        <f t="shared" si="9"/>
        <v>0.24328874764912325</v>
      </c>
      <c r="Q216">
        <f t="shared" si="11"/>
        <v>-0.27877353509900654</v>
      </c>
    </row>
    <row r="217" spans="1:17" x14ac:dyDescent="0.4">
      <c r="A217">
        <v>215</v>
      </c>
      <c r="B217">
        <v>1</v>
      </c>
      <c r="C217">
        <v>0</v>
      </c>
      <c r="D217">
        <v>7.75</v>
      </c>
      <c r="E217">
        <v>28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1</v>
      </c>
      <c r="L217">
        <v>0</v>
      </c>
      <c r="M217">
        <v>1</v>
      </c>
      <c r="N217">
        <v>0</v>
      </c>
      <c r="O217" s="14">
        <f t="shared" si="10"/>
        <v>0</v>
      </c>
      <c r="P217">
        <f t="shared" si="9"/>
        <v>9.5923726409186519E-2</v>
      </c>
      <c r="Q217">
        <f t="shared" si="11"/>
        <v>-0.10084154870803383</v>
      </c>
    </row>
    <row r="218" spans="1:17" x14ac:dyDescent="0.4">
      <c r="A218">
        <v>216</v>
      </c>
      <c r="B218">
        <v>1</v>
      </c>
      <c r="C218">
        <v>0</v>
      </c>
      <c r="D218">
        <v>113.27500000000001</v>
      </c>
      <c r="E218">
        <v>31</v>
      </c>
      <c r="F218">
        <v>1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1</v>
      </c>
      <c r="O218" s="14">
        <f t="shared" si="10"/>
        <v>1</v>
      </c>
      <c r="P218">
        <f t="shared" si="9"/>
        <v>0.94341267033664189</v>
      </c>
      <c r="Q218">
        <f t="shared" si="11"/>
        <v>-5.8251477719045763E-2</v>
      </c>
    </row>
    <row r="219" spans="1:17" x14ac:dyDescent="0.4">
      <c r="A219">
        <v>217</v>
      </c>
      <c r="B219">
        <v>0</v>
      </c>
      <c r="C219">
        <v>0</v>
      </c>
      <c r="D219">
        <v>7.9249999999999998</v>
      </c>
      <c r="E219">
        <v>27</v>
      </c>
      <c r="F219">
        <v>1</v>
      </c>
      <c r="G219">
        <v>0</v>
      </c>
      <c r="H219">
        <v>0</v>
      </c>
      <c r="I219">
        <v>1</v>
      </c>
      <c r="J219">
        <v>1</v>
      </c>
      <c r="K219">
        <v>0</v>
      </c>
      <c r="L219">
        <v>0</v>
      </c>
      <c r="M219">
        <v>1</v>
      </c>
      <c r="N219">
        <v>1</v>
      </c>
      <c r="O219" s="14">
        <f t="shared" si="10"/>
        <v>1</v>
      </c>
      <c r="P219">
        <f t="shared" si="9"/>
        <v>0.61274723681102639</v>
      </c>
      <c r="Q219">
        <f t="shared" si="11"/>
        <v>-0.48980276607241191</v>
      </c>
    </row>
    <row r="220" spans="1:17" x14ac:dyDescent="0.4">
      <c r="A220">
        <v>218</v>
      </c>
      <c r="B220">
        <v>1</v>
      </c>
      <c r="C220">
        <v>0</v>
      </c>
      <c r="D220">
        <v>27</v>
      </c>
      <c r="E220">
        <v>42</v>
      </c>
      <c r="F220">
        <v>0</v>
      </c>
      <c r="G220">
        <v>0</v>
      </c>
      <c r="H220">
        <v>1</v>
      </c>
      <c r="I220">
        <v>0</v>
      </c>
      <c r="J220">
        <v>1</v>
      </c>
      <c r="K220">
        <v>0</v>
      </c>
      <c r="L220">
        <v>0</v>
      </c>
      <c r="M220">
        <v>1</v>
      </c>
      <c r="N220">
        <v>0</v>
      </c>
      <c r="O220" s="14">
        <f t="shared" si="10"/>
        <v>0</v>
      </c>
      <c r="P220">
        <f t="shared" si="9"/>
        <v>0.13167528181420804</v>
      </c>
      <c r="Q220">
        <f t="shared" si="11"/>
        <v>-0.14118953498709327</v>
      </c>
    </row>
    <row r="221" spans="1:17" x14ac:dyDescent="0.4">
      <c r="A221">
        <v>219</v>
      </c>
      <c r="B221">
        <v>0</v>
      </c>
      <c r="C221">
        <v>0</v>
      </c>
      <c r="D221">
        <v>76.291700000000006</v>
      </c>
      <c r="E221">
        <v>32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1</v>
      </c>
      <c r="O221" s="14">
        <f t="shared" si="10"/>
        <v>1</v>
      </c>
      <c r="P221">
        <f t="shared" si="9"/>
        <v>0.95305213991546478</v>
      </c>
      <c r="Q221">
        <f t="shared" si="11"/>
        <v>-4.8085665475684942E-2</v>
      </c>
    </row>
    <row r="222" spans="1:17" x14ac:dyDescent="0.4">
      <c r="A222">
        <v>220</v>
      </c>
      <c r="B222">
        <v>0</v>
      </c>
      <c r="C222">
        <v>0</v>
      </c>
      <c r="D222">
        <v>10.5</v>
      </c>
      <c r="E222">
        <v>30</v>
      </c>
      <c r="F222">
        <v>0</v>
      </c>
      <c r="G222">
        <v>0</v>
      </c>
      <c r="H222">
        <v>1</v>
      </c>
      <c r="I222">
        <v>0</v>
      </c>
      <c r="J222">
        <v>1</v>
      </c>
      <c r="K222">
        <v>0</v>
      </c>
      <c r="L222">
        <v>0</v>
      </c>
      <c r="M222">
        <v>1</v>
      </c>
      <c r="N222">
        <v>0</v>
      </c>
      <c r="O222" s="14">
        <f t="shared" si="10"/>
        <v>0</v>
      </c>
      <c r="P222">
        <f t="shared" si="9"/>
        <v>0.2422140128477559</v>
      </c>
      <c r="Q222">
        <f t="shared" si="11"/>
        <v>-0.2773542720541643</v>
      </c>
    </row>
    <row r="223" spans="1:17" x14ac:dyDescent="0.4">
      <c r="A223">
        <v>221</v>
      </c>
      <c r="B223">
        <v>0</v>
      </c>
      <c r="C223">
        <v>0</v>
      </c>
      <c r="D223">
        <v>8.0500000000000007</v>
      </c>
      <c r="E223">
        <v>16</v>
      </c>
      <c r="F223">
        <v>0</v>
      </c>
      <c r="G223">
        <v>0</v>
      </c>
      <c r="H223">
        <v>0</v>
      </c>
      <c r="I223">
        <v>1</v>
      </c>
      <c r="J223">
        <v>1</v>
      </c>
      <c r="K223">
        <v>0</v>
      </c>
      <c r="L223">
        <v>0</v>
      </c>
      <c r="M223">
        <v>1</v>
      </c>
      <c r="N223">
        <v>1</v>
      </c>
      <c r="O223" s="14">
        <f t="shared" si="10"/>
        <v>0</v>
      </c>
      <c r="P223">
        <f t="shared" si="9"/>
        <v>0.13744697174758752</v>
      </c>
      <c r="Q223">
        <f t="shared" si="11"/>
        <v>-1.9845170962790066</v>
      </c>
    </row>
    <row r="224" spans="1:17" x14ac:dyDescent="0.4">
      <c r="A224">
        <v>222</v>
      </c>
      <c r="B224">
        <v>0</v>
      </c>
      <c r="C224">
        <v>0</v>
      </c>
      <c r="D224">
        <v>13</v>
      </c>
      <c r="E224">
        <v>27</v>
      </c>
      <c r="F224">
        <v>0</v>
      </c>
      <c r="G224">
        <v>0</v>
      </c>
      <c r="H224">
        <v>1</v>
      </c>
      <c r="I224">
        <v>0</v>
      </c>
      <c r="J224">
        <v>1</v>
      </c>
      <c r="K224">
        <v>0</v>
      </c>
      <c r="L224">
        <v>0</v>
      </c>
      <c r="M224">
        <v>1</v>
      </c>
      <c r="N224">
        <v>0</v>
      </c>
      <c r="O224" s="14">
        <f t="shared" si="10"/>
        <v>0</v>
      </c>
      <c r="P224">
        <f t="shared" si="9"/>
        <v>0.26519177993240789</v>
      </c>
      <c r="Q224">
        <f t="shared" si="11"/>
        <v>-0.30814573889427721</v>
      </c>
    </row>
    <row r="225" spans="1:17" x14ac:dyDescent="0.4">
      <c r="A225">
        <v>223</v>
      </c>
      <c r="B225">
        <v>0</v>
      </c>
      <c r="C225">
        <v>0</v>
      </c>
      <c r="D225">
        <v>8.0500000000000007</v>
      </c>
      <c r="E225">
        <v>51</v>
      </c>
      <c r="F225">
        <v>0</v>
      </c>
      <c r="G225">
        <v>0</v>
      </c>
      <c r="H225">
        <v>0</v>
      </c>
      <c r="I225">
        <v>1</v>
      </c>
      <c r="J225">
        <v>1</v>
      </c>
      <c r="K225">
        <v>0</v>
      </c>
      <c r="L225">
        <v>0</v>
      </c>
      <c r="M225">
        <v>1</v>
      </c>
      <c r="N225">
        <v>0</v>
      </c>
      <c r="O225" s="14">
        <f t="shared" si="10"/>
        <v>0</v>
      </c>
      <c r="P225">
        <f t="shared" si="9"/>
        <v>3.9732188995247449E-2</v>
      </c>
      <c r="Q225">
        <f t="shared" si="11"/>
        <v>-4.0543063628476247E-2</v>
      </c>
    </row>
    <row r="226" spans="1:17" x14ac:dyDescent="0.4">
      <c r="A226">
        <v>224</v>
      </c>
      <c r="B226">
        <v>0</v>
      </c>
      <c r="C226">
        <v>0</v>
      </c>
      <c r="D226">
        <v>7.8958000000000004</v>
      </c>
      <c r="E226">
        <v>28</v>
      </c>
      <c r="F226">
        <v>0</v>
      </c>
      <c r="G226">
        <v>0</v>
      </c>
      <c r="H226">
        <v>0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0</v>
      </c>
      <c r="O226" s="14">
        <f t="shared" si="10"/>
        <v>0</v>
      </c>
      <c r="P226">
        <f t="shared" si="9"/>
        <v>9.117888566880443E-2</v>
      </c>
      <c r="Q226">
        <f t="shared" si="11"/>
        <v>-9.5606998086197895E-2</v>
      </c>
    </row>
    <row r="227" spans="1:17" x14ac:dyDescent="0.4">
      <c r="A227">
        <v>225</v>
      </c>
      <c r="B227">
        <v>1</v>
      </c>
      <c r="C227">
        <v>0</v>
      </c>
      <c r="D227">
        <v>90</v>
      </c>
      <c r="E227">
        <v>38</v>
      </c>
      <c r="F227">
        <v>0</v>
      </c>
      <c r="G227">
        <v>1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1</v>
      </c>
      <c r="N227">
        <v>1</v>
      </c>
      <c r="O227" s="14">
        <f t="shared" si="10"/>
        <v>0</v>
      </c>
      <c r="P227">
        <f t="shared" si="9"/>
        <v>0.33965422204423901</v>
      </c>
      <c r="Q227">
        <f t="shared" si="11"/>
        <v>-1.079827172848733</v>
      </c>
    </row>
    <row r="228" spans="1:17" x14ac:dyDescent="0.4">
      <c r="A228">
        <v>226</v>
      </c>
      <c r="B228">
        <v>0</v>
      </c>
      <c r="C228">
        <v>0</v>
      </c>
      <c r="D228">
        <v>9.35</v>
      </c>
      <c r="E228">
        <v>22</v>
      </c>
      <c r="F228">
        <v>0</v>
      </c>
      <c r="G228">
        <v>0</v>
      </c>
      <c r="H228">
        <v>0</v>
      </c>
      <c r="I228">
        <v>1</v>
      </c>
      <c r="J228">
        <v>1</v>
      </c>
      <c r="K228">
        <v>0</v>
      </c>
      <c r="L228">
        <v>0</v>
      </c>
      <c r="M228">
        <v>1</v>
      </c>
      <c r="N228">
        <v>0</v>
      </c>
      <c r="O228" s="14">
        <f t="shared" si="10"/>
        <v>0</v>
      </c>
      <c r="P228">
        <f t="shared" si="9"/>
        <v>0.11256832534018534</v>
      </c>
      <c r="Q228">
        <f t="shared" si="11"/>
        <v>-0.11942374689496379</v>
      </c>
    </row>
    <row r="229" spans="1:17" x14ac:dyDescent="0.4">
      <c r="A229">
        <v>227</v>
      </c>
      <c r="B229">
        <v>0</v>
      </c>
      <c r="C229">
        <v>0</v>
      </c>
      <c r="D229">
        <v>10.5</v>
      </c>
      <c r="E229">
        <v>19</v>
      </c>
      <c r="F229">
        <v>0</v>
      </c>
      <c r="G229">
        <v>0</v>
      </c>
      <c r="H229">
        <v>1</v>
      </c>
      <c r="I229">
        <v>0</v>
      </c>
      <c r="J229">
        <v>1</v>
      </c>
      <c r="K229">
        <v>0</v>
      </c>
      <c r="L229">
        <v>0</v>
      </c>
      <c r="M229">
        <v>1</v>
      </c>
      <c r="N229">
        <v>1</v>
      </c>
      <c r="O229" s="14">
        <f t="shared" si="10"/>
        <v>0</v>
      </c>
      <c r="P229">
        <f t="shared" si="9"/>
        <v>0.32809826605139775</v>
      </c>
      <c r="Q229">
        <f t="shared" si="11"/>
        <v>-1.1144421238464863</v>
      </c>
    </row>
    <row r="230" spans="1:17" x14ac:dyDescent="0.4">
      <c r="A230">
        <v>228</v>
      </c>
      <c r="B230">
        <v>0</v>
      </c>
      <c r="C230">
        <v>0</v>
      </c>
      <c r="D230">
        <v>7.25</v>
      </c>
      <c r="E230">
        <v>20.5</v>
      </c>
      <c r="F230">
        <v>0</v>
      </c>
      <c r="G230">
        <v>0</v>
      </c>
      <c r="H230">
        <v>0</v>
      </c>
      <c r="I230">
        <v>1</v>
      </c>
      <c r="J230">
        <v>1</v>
      </c>
      <c r="K230">
        <v>0</v>
      </c>
      <c r="L230">
        <v>0</v>
      </c>
      <c r="M230">
        <v>1</v>
      </c>
      <c r="N230">
        <v>0</v>
      </c>
      <c r="O230" s="14">
        <f t="shared" si="10"/>
        <v>0</v>
      </c>
      <c r="P230">
        <f t="shared" si="9"/>
        <v>0.11795976823564652</v>
      </c>
      <c r="Q230">
        <f t="shared" si="11"/>
        <v>-0.12551760977034515</v>
      </c>
    </row>
    <row r="231" spans="1:17" x14ac:dyDescent="0.4">
      <c r="A231">
        <v>229</v>
      </c>
      <c r="B231">
        <v>0</v>
      </c>
      <c r="C231">
        <v>0</v>
      </c>
      <c r="D231">
        <v>13</v>
      </c>
      <c r="E231">
        <v>18</v>
      </c>
      <c r="F231">
        <v>0</v>
      </c>
      <c r="G231">
        <v>0</v>
      </c>
      <c r="H231">
        <v>1</v>
      </c>
      <c r="I231">
        <v>0</v>
      </c>
      <c r="J231">
        <v>1</v>
      </c>
      <c r="K231">
        <v>0</v>
      </c>
      <c r="L231">
        <v>0</v>
      </c>
      <c r="M231">
        <v>1</v>
      </c>
      <c r="N231">
        <v>0</v>
      </c>
      <c r="O231" s="14">
        <f t="shared" si="10"/>
        <v>0</v>
      </c>
      <c r="P231">
        <f t="shared" si="9"/>
        <v>0.33795363497643621</v>
      </c>
      <c r="Q231">
        <f t="shared" si="11"/>
        <v>-0.41241968769771581</v>
      </c>
    </row>
    <row r="232" spans="1:17" x14ac:dyDescent="0.4">
      <c r="A232">
        <v>230</v>
      </c>
      <c r="B232">
        <v>3</v>
      </c>
      <c r="C232">
        <v>1</v>
      </c>
      <c r="D232">
        <v>25.466699999999999</v>
      </c>
      <c r="E232">
        <v>28</v>
      </c>
      <c r="F232">
        <v>1</v>
      </c>
      <c r="G232">
        <v>0</v>
      </c>
      <c r="H232">
        <v>0</v>
      </c>
      <c r="I232">
        <v>1</v>
      </c>
      <c r="J232">
        <v>1</v>
      </c>
      <c r="K232">
        <v>0</v>
      </c>
      <c r="L232">
        <v>0</v>
      </c>
      <c r="M232">
        <v>1</v>
      </c>
      <c r="N232">
        <v>0</v>
      </c>
      <c r="O232" s="14">
        <f t="shared" si="10"/>
        <v>0</v>
      </c>
      <c r="P232">
        <f t="shared" si="9"/>
        <v>0.35485299892195843</v>
      </c>
      <c r="Q232">
        <f t="shared" si="11"/>
        <v>-0.43827707950546868</v>
      </c>
    </row>
    <row r="233" spans="1:17" x14ac:dyDescent="0.4">
      <c r="A233">
        <v>231</v>
      </c>
      <c r="B233">
        <v>1</v>
      </c>
      <c r="C233">
        <v>0</v>
      </c>
      <c r="D233">
        <v>83.474999999999994</v>
      </c>
      <c r="E233">
        <v>35</v>
      </c>
      <c r="F233">
        <v>1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1</v>
      </c>
      <c r="N233">
        <v>1</v>
      </c>
      <c r="O233" s="14">
        <f t="shared" si="10"/>
        <v>1</v>
      </c>
      <c r="P233">
        <f t="shared" si="9"/>
        <v>0.89614322392854895</v>
      </c>
      <c r="Q233">
        <f t="shared" si="11"/>
        <v>-0.10965503064701712</v>
      </c>
    </row>
    <row r="234" spans="1:17" x14ac:dyDescent="0.4">
      <c r="A234">
        <v>232</v>
      </c>
      <c r="B234">
        <v>0</v>
      </c>
      <c r="C234">
        <v>0</v>
      </c>
      <c r="D234">
        <v>7.7750000000000004</v>
      </c>
      <c r="E234">
        <v>29</v>
      </c>
      <c r="F234">
        <v>0</v>
      </c>
      <c r="G234">
        <v>0</v>
      </c>
      <c r="H234">
        <v>0</v>
      </c>
      <c r="I234">
        <v>1</v>
      </c>
      <c r="J234">
        <v>1</v>
      </c>
      <c r="K234">
        <v>0</v>
      </c>
      <c r="L234">
        <v>0</v>
      </c>
      <c r="M234">
        <v>1</v>
      </c>
      <c r="N234">
        <v>0</v>
      </c>
      <c r="O234" s="14">
        <f t="shared" si="10"/>
        <v>0</v>
      </c>
      <c r="P234">
        <f t="shared" si="9"/>
        <v>8.801366477571404E-2</v>
      </c>
      <c r="Q234">
        <f t="shared" si="11"/>
        <v>-9.2130272326760521E-2</v>
      </c>
    </row>
    <row r="235" spans="1:17" x14ac:dyDescent="0.4">
      <c r="A235">
        <v>233</v>
      </c>
      <c r="B235">
        <v>0</v>
      </c>
      <c r="C235">
        <v>0</v>
      </c>
      <c r="D235">
        <v>13.5</v>
      </c>
      <c r="E235">
        <v>59</v>
      </c>
      <c r="F235">
        <v>0</v>
      </c>
      <c r="G235">
        <v>0</v>
      </c>
      <c r="H235">
        <v>1</v>
      </c>
      <c r="I235">
        <v>0</v>
      </c>
      <c r="J235">
        <v>1</v>
      </c>
      <c r="K235">
        <v>0</v>
      </c>
      <c r="L235">
        <v>0</v>
      </c>
      <c r="M235">
        <v>1</v>
      </c>
      <c r="N235">
        <v>0</v>
      </c>
      <c r="O235" s="14">
        <f t="shared" si="10"/>
        <v>0</v>
      </c>
      <c r="P235">
        <f t="shared" si="9"/>
        <v>9.5280256713314151E-2</v>
      </c>
      <c r="Q235">
        <f t="shared" si="11"/>
        <v>-0.10013005916801615</v>
      </c>
    </row>
    <row r="236" spans="1:17" x14ac:dyDescent="0.4">
      <c r="A236">
        <v>234</v>
      </c>
      <c r="B236">
        <v>4</v>
      </c>
      <c r="C236">
        <v>2</v>
      </c>
      <c r="D236">
        <v>31.387499999999999</v>
      </c>
      <c r="E236">
        <v>5</v>
      </c>
      <c r="F236">
        <v>1</v>
      </c>
      <c r="G236">
        <v>0</v>
      </c>
      <c r="H236">
        <v>0</v>
      </c>
      <c r="I236">
        <v>1</v>
      </c>
      <c r="J236">
        <v>1</v>
      </c>
      <c r="K236">
        <v>0</v>
      </c>
      <c r="L236">
        <v>0</v>
      </c>
      <c r="M236">
        <v>1</v>
      </c>
      <c r="N236">
        <v>1</v>
      </c>
      <c r="O236" s="14">
        <f t="shared" si="10"/>
        <v>0</v>
      </c>
      <c r="P236">
        <f t="shared" si="9"/>
        <v>0.47174732442889777</v>
      </c>
      <c r="Q236">
        <f t="shared" si="11"/>
        <v>-0.75131176633642316</v>
      </c>
    </row>
    <row r="237" spans="1:17" x14ac:dyDescent="0.4">
      <c r="A237">
        <v>235</v>
      </c>
      <c r="B237">
        <v>0</v>
      </c>
      <c r="C237">
        <v>0</v>
      </c>
      <c r="D237">
        <v>10.5</v>
      </c>
      <c r="E237">
        <v>24</v>
      </c>
      <c r="F237">
        <v>0</v>
      </c>
      <c r="G237">
        <v>0</v>
      </c>
      <c r="H237">
        <v>1</v>
      </c>
      <c r="I237">
        <v>0</v>
      </c>
      <c r="J237">
        <v>1</v>
      </c>
      <c r="K237">
        <v>0</v>
      </c>
      <c r="L237">
        <v>0</v>
      </c>
      <c r="M237">
        <v>1</v>
      </c>
      <c r="N237">
        <v>0</v>
      </c>
      <c r="O237" s="14">
        <f t="shared" si="10"/>
        <v>0</v>
      </c>
      <c r="P237">
        <f t="shared" si="9"/>
        <v>0.28711723016717822</v>
      </c>
      <c r="Q237">
        <f t="shared" si="11"/>
        <v>-0.33843829027277877</v>
      </c>
    </row>
    <row r="238" spans="1:17" x14ac:dyDescent="0.4">
      <c r="A238">
        <v>236</v>
      </c>
      <c r="B238">
        <v>0</v>
      </c>
      <c r="C238">
        <v>0</v>
      </c>
      <c r="D238">
        <v>7.55</v>
      </c>
      <c r="E238">
        <v>28</v>
      </c>
      <c r="F238">
        <v>1</v>
      </c>
      <c r="G238">
        <v>0</v>
      </c>
      <c r="H238">
        <v>0</v>
      </c>
      <c r="I238">
        <v>1</v>
      </c>
      <c r="J238">
        <v>1</v>
      </c>
      <c r="K238">
        <v>0</v>
      </c>
      <c r="L238">
        <v>0</v>
      </c>
      <c r="M238">
        <v>1</v>
      </c>
      <c r="N238">
        <v>0</v>
      </c>
      <c r="O238" s="14">
        <f t="shared" si="10"/>
        <v>1</v>
      </c>
      <c r="P238">
        <f t="shared" si="9"/>
        <v>0.6033569984328444</v>
      </c>
      <c r="Q238">
        <f t="shared" si="11"/>
        <v>-0.924718643239129</v>
      </c>
    </row>
    <row r="239" spans="1:17" x14ac:dyDescent="0.4">
      <c r="A239">
        <v>237</v>
      </c>
      <c r="B239">
        <v>1</v>
      </c>
      <c r="C239">
        <v>0</v>
      </c>
      <c r="D239">
        <v>26</v>
      </c>
      <c r="E239">
        <v>44</v>
      </c>
      <c r="F239">
        <v>0</v>
      </c>
      <c r="G239">
        <v>0</v>
      </c>
      <c r="H239">
        <v>1</v>
      </c>
      <c r="I239">
        <v>0</v>
      </c>
      <c r="J239">
        <v>1</v>
      </c>
      <c r="K239">
        <v>0</v>
      </c>
      <c r="L239">
        <v>0</v>
      </c>
      <c r="M239">
        <v>1</v>
      </c>
      <c r="N239">
        <v>0</v>
      </c>
      <c r="O239" s="14">
        <f t="shared" si="10"/>
        <v>0</v>
      </c>
      <c r="P239">
        <f t="shared" si="9"/>
        <v>0.12286050353202828</v>
      </c>
      <c r="Q239">
        <f t="shared" si="11"/>
        <v>-0.13108923829190783</v>
      </c>
    </row>
    <row r="240" spans="1:17" x14ac:dyDescent="0.4">
      <c r="A240">
        <v>238</v>
      </c>
      <c r="B240">
        <v>0</v>
      </c>
      <c r="C240">
        <v>2</v>
      </c>
      <c r="D240">
        <v>26.25</v>
      </c>
      <c r="E240">
        <v>8</v>
      </c>
      <c r="F240">
        <v>1</v>
      </c>
      <c r="G240">
        <v>0</v>
      </c>
      <c r="H240">
        <v>1</v>
      </c>
      <c r="I240">
        <v>0</v>
      </c>
      <c r="J240">
        <v>1</v>
      </c>
      <c r="K240">
        <v>0</v>
      </c>
      <c r="L240">
        <v>0</v>
      </c>
      <c r="M240">
        <v>1</v>
      </c>
      <c r="N240">
        <v>1</v>
      </c>
      <c r="O240" s="14">
        <f t="shared" si="10"/>
        <v>1</v>
      </c>
      <c r="P240">
        <f t="shared" si="9"/>
        <v>0.90692888611276379</v>
      </c>
      <c r="Q240">
        <f t="shared" si="11"/>
        <v>-9.7691237549741086E-2</v>
      </c>
    </row>
    <row r="241" spans="1:17" x14ac:dyDescent="0.4">
      <c r="A241">
        <v>239</v>
      </c>
      <c r="B241">
        <v>0</v>
      </c>
      <c r="C241">
        <v>0</v>
      </c>
      <c r="D241">
        <v>10.5</v>
      </c>
      <c r="E241">
        <v>19</v>
      </c>
      <c r="F241">
        <v>0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1</v>
      </c>
      <c r="N241">
        <v>0</v>
      </c>
      <c r="O241" s="14">
        <f t="shared" si="10"/>
        <v>0</v>
      </c>
      <c r="P241">
        <f t="shared" si="9"/>
        <v>0.32809826605139775</v>
      </c>
      <c r="Q241">
        <f t="shared" si="11"/>
        <v>-0.39764317839467717</v>
      </c>
    </row>
    <row r="242" spans="1:17" x14ac:dyDescent="0.4">
      <c r="A242">
        <v>240</v>
      </c>
      <c r="B242">
        <v>0</v>
      </c>
      <c r="C242">
        <v>0</v>
      </c>
      <c r="D242">
        <v>12.275</v>
      </c>
      <c r="E242">
        <v>33</v>
      </c>
      <c r="F242">
        <v>0</v>
      </c>
      <c r="G242">
        <v>0</v>
      </c>
      <c r="H242">
        <v>1</v>
      </c>
      <c r="I242">
        <v>0</v>
      </c>
      <c r="J242">
        <v>1</v>
      </c>
      <c r="K242">
        <v>0</v>
      </c>
      <c r="L242">
        <v>0</v>
      </c>
      <c r="M242">
        <v>1</v>
      </c>
      <c r="N242">
        <v>0</v>
      </c>
      <c r="O242" s="14">
        <f t="shared" si="10"/>
        <v>0</v>
      </c>
      <c r="P242">
        <f t="shared" si="9"/>
        <v>0.22235330557086469</v>
      </c>
      <c r="Q242">
        <f t="shared" si="11"/>
        <v>-0.25148297821861765</v>
      </c>
    </row>
    <row r="243" spans="1:17" x14ac:dyDescent="0.4">
      <c r="A243">
        <v>241</v>
      </c>
      <c r="B243">
        <v>1</v>
      </c>
      <c r="C243">
        <v>0</v>
      </c>
      <c r="D243">
        <v>14.4542</v>
      </c>
      <c r="E243">
        <v>28</v>
      </c>
      <c r="F243">
        <v>1</v>
      </c>
      <c r="G243">
        <v>0</v>
      </c>
      <c r="H243">
        <v>0</v>
      </c>
      <c r="I243">
        <v>1</v>
      </c>
      <c r="J243">
        <v>0</v>
      </c>
      <c r="K243">
        <v>0</v>
      </c>
      <c r="L243">
        <v>1</v>
      </c>
      <c r="M243">
        <v>1</v>
      </c>
      <c r="N243">
        <v>0</v>
      </c>
      <c r="O243" s="14">
        <f t="shared" si="10"/>
        <v>1</v>
      </c>
      <c r="P243">
        <f t="shared" si="9"/>
        <v>0.63379396938176913</v>
      </c>
      <c r="Q243">
        <f t="shared" si="11"/>
        <v>-1.0045591787772947</v>
      </c>
    </row>
    <row r="244" spans="1:17" x14ac:dyDescent="0.4">
      <c r="A244">
        <v>242</v>
      </c>
      <c r="B244">
        <v>1</v>
      </c>
      <c r="C244">
        <v>0</v>
      </c>
      <c r="D244">
        <v>15.5</v>
      </c>
      <c r="E244">
        <v>28</v>
      </c>
      <c r="F244">
        <v>1</v>
      </c>
      <c r="G244">
        <v>0</v>
      </c>
      <c r="H244">
        <v>0</v>
      </c>
      <c r="I244">
        <v>1</v>
      </c>
      <c r="J244">
        <v>0</v>
      </c>
      <c r="K244">
        <v>1</v>
      </c>
      <c r="L244">
        <v>0</v>
      </c>
      <c r="M244">
        <v>1</v>
      </c>
      <c r="N244">
        <v>1</v>
      </c>
      <c r="O244" s="14">
        <f t="shared" si="10"/>
        <v>1</v>
      </c>
      <c r="P244">
        <f t="shared" si="9"/>
        <v>0.6211353665762529</v>
      </c>
      <c r="Q244">
        <f t="shared" si="11"/>
        <v>-0.47620623919892424</v>
      </c>
    </row>
    <row r="245" spans="1:17" x14ac:dyDescent="0.4">
      <c r="A245">
        <v>243</v>
      </c>
      <c r="B245">
        <v>0</v>
      </c>
      <c r="C245">
        <v>0</v>
      </c>
      <c r="D245">
        <v>10.5</v>
      </c>
      <c r="E245">
        <v>29</v>
      </c>
      <c r="F245">
        <v>0</v>
      </c>
      <c r="G245">
        <v>0</v>
      </c>
      <c r="H245">
        <v>1</v>
      </c>
      <c r="I245">
        <v>0</v>
      </c>
      <c r="J245">
        <v>1</v>
      </c>
      <c r="K245">
        <v>0</v>
      </c>
      <c r="L245">
        <v>0</v>
      </c>
      <c r="M245">
        <v>1</v>
      </c>
      <c r="N245">
        <v>0</v>
      </c>
      <c r="O245" s="14">
        <f t="shared" si="10"/>
        <v>0</v>
      </c>
      <c r="P245">
        <f t="shared" si="9"/>
        <v>0.24935526592830193</v>
      </c>
      <c r="Q245">
        <f t="shared" si="11"/>
        <v>-0.28682279630636182</v>
      </c>
    </row>
    <row r="246" spans="1:17" x14ac:dyDescent="0.4">
      <c r="A246">
        <v>244</v>
      </c>
      <c r="B246">
        <v>0</v>
      </c>
      <c r="C246">
        <v>0</v>
      </c>
      <c r="D246">
        <v>7.125</v>
      </c>
      <c r="E246">
        <v>22</v>
      </c>
      <c r="F246">
        <v>0</v>
      </c>
      <c r="G246">
        <v>0</v>
      </c>
      <c r="H246">
        <v>0</v>
      </c>
      <c r="I246">
        <v>1</v>
      </c>
      <c r="J246">
        <v>1</v>
      </c>
      <c r="K246">
        <v>0</v>
      </c>
      <c r="L246">
        <v>0</v>
      </c>
      <c r="M246">
        <v>1</v>
      </c>
      <c r="N246">
        <v>0</v>
      </c>
      <c r="O246" s="14">
        <f t="shared" si="10"/>
        <v>0</v>
      </c>
      <c r="P246">
        <f t="shared" si="9"/>
        <v>0.11204956450651209</v>
      </c>
      <c r="Q246">
        <f t="shared" si="11"/>
        <v>-0.11883935343344326</v>
      </c>
    </row>
    <row r="247" spans="1:17" x14ac:dyDescent="0.4">
      <c r="A247">
        <v>245</v>
      </c>
      <c r="B247">
        <v>0</v>
      </c>
      <c r="C247">
        <v>0</v>
      </c>
      <c r="D247">
        <v>7.2249999999999996</v>
      </c>
      <c r="E247">
        <v>30</v>
      </c>
      <c r="F247">
        <v>0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1</v>
      </c>
      <c r="M247">
        <v>1</v>
      </c>
      <c r="N247">
        <v>0</v>
      </c>
      <c r="O247" s="14">
        <f t="shared" si="10"/>
        <v>0</v>
      </c>
      <c r="P247">
        <f t="shared" si="9"/>
        <v>0.12530696475966704</v>
      </c>
      <c r="Q247">
        <f t="shared" si="11"/>
        <v>-0.13388227104334682</v>
      </c>
    </row>
    <row r="248" spans="1:17" x14ac:dyDescent="0.4">
      <c r="A248">
        <v>246</v>
      </c>
      <c r="B248">
        <v>2</v>
      </c>
      <c r="C248">
        <v>0</v>
      </c>
      <c r="D248">
        <v>90</v>
      </c>
      <c r="E248">
        <v>44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1</v>
      </c>
      <c r="N248">
        <v>0</v>
      </c>
      <c r="O248" s="14">
        <f t="shared" si="10"/>
        <v>0</v>
      </c>
      <c r="P248">
        <f t="shared" si="9"/>
        <v>0.30160157287526163</v>
      </c>
      <c r="Q248">
        <f t="shared" si="11"/>
        <v>-0.3589655265716255</v>
      </c>
    </row>
    <row r="249" spans="1:17" x14ac:dyDescent="0.4">
      <c r="A249">
        <v>247</v>
      </c>
      <c r="B249">
        <v>0</v>
      </c>
      <c r="C249">
        <v>0</v>
      </c>
      <c r="D249">
        <v>7.7750000000000004</v>
      </c>
      <c r="E249">
        <v>25</v>
      </c>
      <c r="F249">
        <v>1</v>
      </c>
      <c r="G249">
        <v>0</v>
      </c>
      <c r="H249">
        <v>0</v>
      </c>
      <c r="I249">
        <v>1</v>
      </c>
      <c r="J249">
        <v>1</v>
      </c>
      <c r="K249">
        <v>0</v>
      </c>
      <c r="L249">
        <v>0</v>
      </c>
      <c r="M249">
        <v>1</v>
      </c>
      <c r="N249">
        <v>0</v>
      </c>
      <c r="O249" s="14">
        <f t="shared" si="10"/>
        <v>1</v>
      </c>
      <c r="P249">
        <f t="shared" si="9"/>
        <v>0.63078246974890317</v>
      </c>
      <c r="Q249">
        <f t="shared" si="11"/>
        <v>-0.99636929576046385</v>
      </c>
    </row>
    <row r="250" spans="1:17" x14ac:dyDescent="0.4">
      <c r="A250">
        <v>248</v>
      </c>
      <c r="B250">
        <v>0</v>
      </c>
      <c r="C250">
        <v>2</v>
      </c>
      <c r="D250">
        <v>14.5</v>
      </c>
      <c r="E250">
        <v>24</v>
      </c>
      <c r="F250">
        <v>1</v>
      </c>
      <c r="G250">
        <v>0</v>
      </c>
      <c r="H250">
        <v>1</v>
      </c>
      <c r="I250">
        <v>0</v>
      </c>
      <c r="J250">
        <v>1</v>
      </c>
      <c r="K250">
        <v>0</v>
      </c>
      <c r="L250">
        <v>0</v>
      </c>
      <c r="M250">
        <v>1</v>
      </c>
      <c r="N250">
        <v>1</v>
      </c>
      <c r="O250" s="14">
        <f t="shared" si="10"/>
        <v>1</v>
      </c>
      <c r="P250">
        <f t="shared" si="9"/>
        <v>0.83655468803665123</v>
      </c>
      <c r="Q250">
        <f t="shared" si="11"/>
        <v>-0.17846338348167382</v>
      </c>
    </row>
    <row r="251" spans="1:17" x14ac:dyDescent="0.4">
      <c r="A251">
        <v>249</v>
      </c>
      <c r="B251">
        <v>1</v>
      </c>
      <c r="C251">
        <v>1</v>
      </c>
      <c r="D251">
        <v>52.554200000000002</v>
      </c>
      <c r="E251">
        <v>37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1</v>
      </c>
      <c r="N251">
        <v>1</v>
      </c>
      <c r="O251" s="14">
        <f t="shared" si="10"/>
        <v>0</v>
      </c>
      <c r="P251">
        <f t="shared" si="9"/>
        <v>0.30847846055265216</v>
      </c>
      <c r="Q251">
        <f t="shared" si="11"/>
        <v>-1.1761032580007924</v>
      </c>
    </row>
    <row r="252" spans="1:17" x14ac:dyDescent="0.4">
      <c r="A252">
        <v>250</v>
      </c>
      <c r="B252">
        <v>1</v>
      </c>
      <c r="C252">
        <v>0</v>
      </c>
      <c r="D252">
        <v>26</v>
      </c>
      <c r="E252">
        <v>54</v>
      </c>
      <c r="F252">
        <v>0</v>
      </c>
      <c r="G252">
        <v>0</v>
      </c>
      <c r="H252">
        <v>1</v>
      </c>
      <c r="I252">
        <v>0</v>
      </c>
      <c r="J252">
        <v>1</v>
      </c>
      <c r="K252">
        <v>0</v>
      </c>
      <c r="L252">
        <v>0</v>
      </c>
      <c r="M252">
        <v>1</v>
      </c>
      <c r="N252">
        <v>0</v>
      </c>
      <c r="O252" s="14">
        <f t="shared" si="10"/>
        <v>0</v>
      </c>
      <c r="P252">
        <f t="shared" si="9"/>
        <v>8.69965391396674E-2</v>
      </c>
      <c r="Q252">
        <f t="shared" si="11"/>
        <v>-9.1015607747767555E-2</v>
      </c>
    </row>
    <row r="253" spans="1:17" x14ac:dyDescent="0.4">
      <c r="A253">
        <v>251</v>
      </c>
      <c r="B253">
        <v>0</v>
      </c>
      <c r="C253">
        <v>0</v>
      </c>
      <c r="D253">
        <v>7.25</v>
      </c>
      <c r="E253">
        <v>28</v>
      </c>
      <c r="F253">
        <v>0</v>
      </c>
      <c r="G253">
        <v>0</v>
      </c>
      <c r="H253">
        <v>0</v>
      </c>
      <c r="I253">
        <v>1</v>
      </c>
      <c r="J253">
        <v>1</v>
      </c>
      <c r="K253">
        <v>0</v>
      </c>
      <c r="L253">
        <v>0</v>
      </c>
      <c r="M253">
        <v>1</v>
      </c>
      <c r="N253">
        <v>0</v>
      </c>
      <c r="O253" s="14">
        <f t="shared" si="10"/>
        <v>0</v>
      </c>
      <c r="P253">
        <f t="shared" si="9"/>
        <v>9.1053812475040241E-2</v>
      </c>
      <c r="Q253">
        <f t="shared" si="11"/>
        <v>-9.546938619953467E-2</v>
      </c>
    </row>
    <row r="254" spans="1:17" x14ac:dyDescent="0.4">
      <c r="A254">
        <v>252</v>
      </c>
      <c r="B254">
        <v>1</v>
      </c>
      <c r="C254">
        <v>1</v>
      </c>
      <c r="D254">
        <v>10.4625</v>
      </c>
      <c r="E254">
        <v>29</v>
      </c>
      <c r="F254">
        <v>1</v>
      </c>
      <c r="G254">
        <v>0</v>
      </c>
      <c r="H254">
        <v>0</v>
      </c>
      <c r="I254">
        <v>1</v>
      </c>
      <c r="J254">
        <v>1</v>
      </c>
      <c r="K254">
        <v>0</v>
      </c>
      <c r="L254">
        <v>0</v>
      </c>
      <c r="M254">
        <v>1</v>
      </c>
      <c r="N254">
        <v>0</v>
      </c>
      <c r="O254" s="14">
        <f t="shared" si="10"/>
        <v>0</v>
      </c>
      <c r="P254">
        <f t="shared" si="9"/>
        <v>0.49311762624875066</v>
      </c>
      <c r="Q254">
        <f t="shared" si="11"/>
        <v>-0.67947630674355186</v>
      </c>
    </row>
    <row r="255" spans="1:17" x14ac:dyDescent="0.4">
      <c r="A255">
        <v>253</v>
      </c>
      <c r="B255">
        <v>0</v>
      </c>
      <c r="C255">
        <v>0</v>
      </c>
      <c r="D255">
        <v>26.55</v>
      </c>
      <c r="E255">
        <v>62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1</v>
      </c>
      <c r="N255">
        <v>0</v>
      </c>
      <c r="O255" s="14">
        <f t="shared" si="10"/>
        <v>0</v>
      </c>
      <c r="P255">
        <f t="shared" si="9"/>
        <v>0.19530446515163147</v>
      </c>
      <c r="Q255">
        <f t="shared" si="11"/>
        <v>-0.2172912906855485</v>
      </c>
    </row>
    <row r="256" spans="1:17" x14ac:dyDescent="0.4">
      <c r="A256">
        <v>254</v>
      </c>
      <c r="B256">
        <v>1</v>
      </c>
      <c r="C256">
        <v>0</v>
      </c>
      <c r="D256">
        <v>16.100000000000001</v>
      </c>
      <c r="E256">
        <v>30</v>
      </c>
      <c r="F256">
        <v>0</v>
      </c>
      <c r="G256">
        <v>0</v>
      </c>
      <c r="H256">
        <v>0</v>
      </c>
      <c r="I256">
        <v>1</v>
      </c>
      <c r="J256">
        <v>1</v>
      </c>
      <c r="K256">
        <v>0</v>
      </c>
      <c r="L256">
        <v>0</v>
      </c>
      <c r="M256">
        <v>1</v>
      </c>
      <c r="N256">
        <v>0</v>
      </c>
      <c r="O256" s="14">
        <f t="shared" si="10"/>
        <v>0</v>
      </c>
      <c r="P256">
        <f t="shared" si="9"/>
        <v>6.4216835805610481E-2</v>
      </c>
      <c r="Q256">
        <f t="shared" si="11"/>
        <v>-6.6371491527855292E-2</v>
      </c>
    </row>
    <row r="257" spans="1:17" x14ac:dyDescent="0.4">
      <c r="A257">
        <v>255</v>
      </c>
      <c r="B257">
        <v>0</v>
      </c>
      <c r="C257">
        <v>2</v>
      </c>
      <c r="D257">
        <v>20.212499999999999</v>
      </c>
      <c r="E257">
        <v>41</v>
      </c>
      <c r="F257">
        <v>1</v>
      </c>
      <c r="G257">
        <v>0</v>
      </c>
      <c r="H257">
        <v>0</v>
      </c>
      <c r="I257">
        <v>1</v>
      </c>
      <c r="J257">
        <v>1</v>
      </c>
      <c r="K257">
        <v>0</v>
      </c>
      <c r="L257">
        <v>0</v>
      </c>
      <c r="M257">
        <v>1</v>
      </c>
      <c r="N257">
        <v>0</v>
      </c>
      <c r="O257" s="14">
        <f t="shared" si="10"/>
        <v>0</v>
      </c>
      <c r="P257">
        <f t="shared" si="9"/>
        <v>0.44066422904913372</v>
      </c>
      <c r="Q257">
        <f t="shared" si="11"/>
        <v>-0.5810053225559535</v>
      </c>
    </row>
    <row r="258" spans="1:17" x14ac:dyDescent="0.4">
      <c r="A258">
        <v>256</v>
      </c>
      <c r="B258">
        <v>0</v>
      </c>
      <c r="C258">
        <v>2</v>
      </c>
      <c r="D258">
        <v>15.245799999999999</v>
      </c>
      <c r="E258">
        <v>29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1</v>
      </c>
      <c r="O258" s="14">
        <f t="shared" si="10"/>
        <v>1</v>
      </c>
      <c r="P258">
        <f t="shared" si="9"/>
        <v>0.65634806927043388</v>
      </c>
      <c r="Q258">
        <f t="shared" si="11"/>
        <v>-0.42106403735290171</v>
      </c>
    </row>
    <row r="259" spans="1:17" x14ac:dyDescent="0.4">
      <c r="A259">
        <v>257</v>
      </c>
      <c r="B259">
        <v>0</v>
      </c>
      <c r="C259">
        <v>0</v>
      </c>
      <c r="D259">
        <v>79.2</v>
      </c>
      <c r="E259">
        <v>28</v>
      </c>
      <c r="F259">
        <v>1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1</v>
      </c>
      <c r="N259">
        <v>1</v>
      </c>
      <c r="O259" s="14">
        <f t="shared" si="10"/>
        <v>1</v>
      </c>
      <c r="P259">
        <f t="shared" ref="P259:P322" si="12">1/(1+EXP(-SUMPRODUCT(B$1:M$1,B259:M259)))</f>
        <v>0.95974893967550923</v>
      </c>
      <c r="Q259">
        <f t="shared" si="11"/>
        <v>-4.1083549894224483E-2</v>
      </c>
    </row>
    <row r="260" spans="1:17" x14ac:dyDescent="0.4">
      <c r="A260">
        <v>258</v>
      </c>
      <c r="B260">
        <v>0</v>
      </c>
      <c r="C260">
        <v>0</v>
      </c>
      <c r="D260">
        <v>86.5</v>
      </c>
      <c r="E260">
        <v>30</v>
      </c>
      <c r="F260">
        <v>1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1</v>
      </c>
      <c r="N260">
        <v>1</v>
      </c>
      <c r="O260" s="14">
        <f t="shared" ref="O260:O323" si="13">IF(P260&gt;0.5,1,0)</f>
        <v>1</v>
      </c>
      <c r="P260">
        <f t="shared" si="12"/>
        <v>0.93563878654083199</v>
      </c>
      <c r="Q260">
        <f t="shared" ref="Q260:Q323" si="14">N260*LN(P260)+(1-N260)*LN(1-P260)</f>
        <v>-6.6525788803023289E-2</v>
      </c>
    </row>
    <row r="261" spans="1:17" x14ac:dyDescent="0.4">
      <c r="A261">
        <v>259</v>
      </c>
      <c r="B261">
        <v>0</v>
      </c>
      <c r="C261">
        <v>0</v>
      </c>
      <c r="D261">
        <v>512.32920000000001</v>
      </c>
      <c r="E261">
        <v>35</v>
      </c>
      <c r="F261">
        <v>1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1</v>
      </c>
      <c r="O261" s="14">
        <f t="shared" si="13"/>
        <v>1</v>
      </c>
      <c r="P261">
        <f t="shared" si="12"/>
        <v>0.98044520504971788</v>
      </c>
      <c r="Q261">
        <f t="shared" si="14"/>
        <v>-1.9748519609314764E-2</v>
      </c>
    </row>
    <row r="262" spans="1:17" x14ac:dyDescent="0.4">
      <c r="A262">
        <v>260</v>
      </c>
      <c r="B262">
        <v>0</v>
      </c>
      <c r="C262">
        <v>1</v>
      </c>
      <c r="D262">
        <v>26</v>
      </c>
      <c r="E262">
        <v>50</v>
      </c>
      <c r="F262">
        <v>1</v>
      </c>
      <c r="G262">
        <v>0</v>
      </c>
      <c r="H262">
        <v>1</v>
      </c>
      <c r="I262">
        <v>0</v>
      </c>
      <c r="J262">
        <v>1</v>
      </c>
      <c r="K262">
        <v>0</v>
      </c>
      <c r="L262">
        <v>0</v>
      </c>
      <c r="M262">
        <v>1</v>
      </c>
      <c r="N262">
        <v>1</v>
      </c>
      <c r="O262" s="14">
        <f t="shared" si="13"/>
        <v>1</v>
      </c>
      <c r="P262">
        <f t="shared" si="12"/>
        <v>0.6794848433694699</v>
      </c>
      <c r="Q262">
        <f t="shared" si="14"/>
        <v>-0.38642035120340545</v>
      </c>
    </row>
    <row r="263" spans="1:17" x14ac:dyDescent="0.4">
      <c r="A263">
        <v>261</v>
      </c>
      <c r="B263">
        <v>0</v>
      </c>
      <c r="C263">
        <v>0</v>
      </c>
      <c r="D263">
        <v>7.75</v>
      </c>
      <c r="E263">
        <v>28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1</v>
      </c>
      <c r="N263">
        <v>0</v>
      </c>
      <c r="O263" s="14">
        <f t="shared" si="13"/>
        <v>0</v>
      </c>
      <c r="P263">
        <f t="shared" si="12"/>
        <v>0.12770204164315915</v>
      </c>
      <c r="Q263">
        <f t="shared" si="14"/>
        <v>-0.13662421807437358</v>
      </c>
    </row>
    <row r="264" spans="1:17" x14ac:dyDescent="0.4">
      <c r="A264">
        <v>262</v>
      </c>
      <c r="B264">
        <v>4</v>
      </c>
      <c r="C264">
        <v>2</v>
      </c>
      <c r="D264">
        <v>31.387499999999999</v>
      </c>
      <c r="E264">
        <v>3</v>
      </c>
      <c r="F264">
        <v>0</v>
      </c>
      <c r="G264">
        <v>0</v>
      </c>
      <c r="H264">
        <v>0</v>
      </c>
      <c r="I264">
        <v>1</v>
      </c>
      <c r="J264">
        <v>1</v>
      </c>
      <c r="K264">
        <v>0</v>
      </c>
      <c r="L264">
        <v>0</v>
      </c>
      <c r="M264">
        <v>1</v>
      </c>
      <c r="N264">
        <v>1</v>
      </c>
      <c r="O264" s="14">
        <f t="shared" si="13"/>
        <v>0</v>
      </c>
      <c r="P264">
        <f t="shared" si="12"/>
        <v>5.9766312590685509E-2</v>
      </c>
      <c r="Q264">
        <f t="shared" si="14"/>
        <v>-2.8173131113620262</v>
      </c>
    </row>
    <row r="265" spans="1:17" x14ac:dyDescent="0.4">
      <c r="A265">
        <v>263</v>
      </c>
      <c r="B265">
        <v>1</v>
      </c>
      <c r="C265">
        <v>1</v>
      </c>
      <c r="D265">
        <v>79.650000000000006</v>
      </c>
      <c r="E265">
        <v>52</v>
      </c>
      <c r="F265">
        <v>0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1</v>
      </c>
      <c r="N265">
        <v>0</v>
      </c>
      <c r="O265" s="14">
        <f t="shared" si="13"/>
        <v>0</v>
      </c>
      <c r="P265">
        <f t="shared" si="12"/>
        <v>0.21052603372493259</v>
      </c>
      <c r="Q265">
        <f t="shared" si="14"/>
        <v>-0.23638842078254219</v>
      </c>
    </row>
    <row r="266" spans="1:17" x14ac:dyDescent="0.4">
      <c r="A266">
        <v>264</v>
      </c>
      <c r="B266">
        <v>0</v>
      </c>
      <c r="C266">
        <v>0</v>
      </c>
      <c r="D266">
        <v>0</v>
      </c>
      <c r="E266">
        <v>40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1</v>
      </c>
      <c r="N266">
        <v>0</v>
      </c>
      <c r="O266" s="14">
        <f t="shared" si="13"/>
        <v>0</v>
      </c>
      <c r="P266">
        <f t="shared" si="12"/>
        <v>0.34741209450918464</v>
      </c>
      <c r="Q266">
        <f t="shared" si="14"/>
        <v>-0.42680942780063458</v>
      </c>
    </row>
    <row r="267" spans="1:17" x14ac:dyDescent="0.4">
      <c r="A267">
        <v>265</v>
      </c>
      <c r="B267">
        <v>0</v>
      </c>
      <c r="C267">
        <v>0</v>
      </c>
      <c r="D267">
        <v>7.75</v>
      </c>
      <c r="E267">
        <v>28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1</v>
      </c>
      <c r="L267">
        <v>0</v>
      </c>
      <c r="M267">
        <v>1</v>
      </c>
      <c r="N267">
        <v>0</v>
      </c>
      <c r="O267" s="14">
        <f t="shared" si="13"/>
        <v>1</v>
      </c>
      <c r="P267">
        <f t="shared" si="12"/>
        <v>0.68958390472100084</v>
      </c>
      <c r="Q267">
        <f t="shared" si="14"/>
        <v>-1.1698416386701207</v>
      </c>
    </row>
    <row r="268" spans="1:17" x14ac:dyDescent="0.4">
      <c r="A268">
        <v>266</v>
      </c>
      <c r="B268">
        <v>0</v>
      </c>
      <c r="C268">
        <v>0</v>
      </c>
      <c r="D268">
        <v>10.5</v>
      </c>
      <c r="E268">
        <v>36</v>
      </c>
      <c r="F268">
        <v>0</v>
      </c>
      <c r="G268">
        <v>0</v>
      </c>
      <c r="H268">
        <v>1</v>
      </c>
      <c r="I268">
        <v>0</v>
      </c>
      <c r="J268">
        <v>1</v>
      </c>
      <c r="K268">
        <v>0</v>
      </c>
      <c r="L268">
        <v>0</v>
      </c>
      <c r="M268">
        <v>1</v>
      </c>
      <c r="N268">
        <v>0</v>
      </c>
      <c r="O268" s="14">
        <f t="shared" si="13"/>
        <v>0</v>
      </c>
      <c r="P268">
        <f t="shared" si="12"/>
        <v>0.20234011905554233</v>
      </c>
      <c r="Q268">
        <f t="shared" si="14"/>
        <v>-0.22607298674279952</v>
      </c>
    </row>
    <row r="269" spans="1:17" x14ac:dyDescent="0.4">
      <c r="A269">
        <v>267</v>
      </c>
      <c r="B269">
        <v>4</v>
      </c>
      <c r="C269">
        <v>1</v>
      </c>
      <c r="D269">
        <v>39.6875</v>
      </c>
      <c r="E269">
        <v>16</v>
      </c>
      <c r="F269">
        <v>0</v>
      </c>
      <c r="G269">
        <v>0</v>
      </c>
      <c r="H269">
        <v>0</v>
      </c>
      <c r="I269">
        <v>1</v>
      </c>
      <c r="J269">
        <v>1</v>
      </c>
      <c r="K269">
        <v>0</v>
      </c>
      <c r="L269">
        <v>0</v>
      </c>
      <c r="M269">
        <v>1</v>
      </c>
      <c r="N269">
        <v>0</v>
      </c>
      <c r="O269" s="14">
        <f t="shared" si="13"/>
        <v>0</v>
      </c>
      <c r="P269">
        <f t="shared" si="12"/>
        <v>4.1338386781360842E-2</v>
      </c>
      <c r="Q269">
        <f t="shared" si="14"/>
        <v>-4.2217120152856086E-2</v>
      </c>
    </row>
    <row r="270" spans="1:17" x14ac:dyDescent="0.4">
      <c r="A270">
        <v>268</v>
      </c>
      <c r="B270">
        <v>1</v>
      </c>
      <c r="C270">
        <v>0</v>
      </c>
      <c r="D270">
        <v>7.7750000000000004</v>
      </c>
      <c r="E270">
        <v>25</v>
      </c>
      <c r="F270">
        <v>0</v>
      </c>
      <c r="G270">
        <v>0</v>
      </c>
      <c r="H270">
        <v>0</v>
      </c>
      <c r="I270">
        <v>1</v>
      </c>
      <c r="J270">
        <v>1</v>
      </c>
      <c r="K270">
        <v>0</v>
      </c>
      <c r="L270">
        <v>0</v>
      </c>
      <c r="M270">
        <v>1</v>
      </c>
      <c r="N270">
        <v>1</v>
      </c>
      <c r="O270" s="14">
        <f t="shared" si="13"/>
        <v>0</v>
      </c>
      <c r="P270">
        <f t="shared" si="12"/>
        <v>7.5441414615694258E-2</v>
      </c>
      <c r="Q270">
        <f t="shared" si="14"/>
        <v>-2.5843988892991496</v>
      </c>
    </row>
    <row r="271" spans="1:17" x14ac:dyDescent="0.4">
      <c r="A271">
        <v>269</v>
      </c>
      <c r="B271">
        <v>0</v>
      </c>
      <c r="C271">
        <v>1</v>
      </c>
      <c r="D271">
        <v>153.46250000000001</v>
      </c>
      <c r="E271">
        <v>58</v>
      </c>
      <c r="F271">
        <v>1</v>
      </c>
      <c r="G271">
        <v>1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1</v>
      </c>
      <c r="N271">
        <v>1</v>
      </c>
      <c r="O271" s="14">
        <f t="shared" si="13"/>
        <v>1</v>
      </c>
      <c r="P271">
        <f t="shared" si="12"/>
        <v>0.8404050351890241</v>
      </c>
      <c r="Q271">
        <f t="shared" si="14"/>
        <v>-0.17387131860964938</v>
      </c>
    </row>
    <row r="272" spans="1:17" x14ac:dyDescent="0.4">
      <c r="A272">
        <v>270</v>
      </c>
      <c r="B272">
        <v>0</v>
      </c>
      <c r="C272">
        <v>0</v>
      </c>
      <c r="D272">
        <v>135.63329999999999</v>
      </c>
      <c r="E272">
        <v>35</v>
      </c>
      <c r="F272">
        <v>1</v>
      </c>
      <c r="G272">
        <v>1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1</v>
      </c>
      <c r="N272">
        <v>1</v>
      </c>
      <c r="O272" s="14">
        <f t="shared" si="13"/>
        <v>1</v>
      </c>
      <c r="P272">
        <f t="shared" si="12"/>
        <v>0.93079690491298961</v>
      </c>
      <c r="Q272">
        <f t="shared" si="14"/>
        <v>-7.1714172749699004E-2</v>
      </c>
    </row>
    <row r="273" spans="1:17" x14ac:dyDescent="0.4">
      <c r="A273">
        <v>271</v>
      </c>
      <c r="B273">
        <v>0</v>
      </c>
      <c r="C273">
        <v>0</v>
      </c>
      <c r="D273">
        <v>31</v>
      </c>
      <c r="E273">
        <v>28</v>
      </c>
      <c r="F273">
        <v>0</v>
      </c>
      <c r="G273">
        <v>1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1</v>
      </c>
      <c r="N273">
        <v>0</v>
      </c>
      <c r="O273" s="14">
        <f t="shared" si="13"/>
        <v>0</v>
      </c>
      <c r="P273">
        <f t="shared" si="12"/>
        <v>0.47611051212448074</v>
      </c>
      <c r="Q273">
        <f t="shared" si="14"/>
        <v>-0.64647451790475585</v>
      </c>
    </row>
    <row r="274" spans="1:17" x14ac:dyDescent="0.4">
      <c r="A274">
        <v>272</v>
      </c>
      <c r="B274">
        <v>0</v>
      </c>
      <c r="C274">
        <v>0</v>
      </c>
      <c r="D274">
        <v>0</v>
      </c>
      <c r="E274">
        <v>25</v>
      </c>
      <c r="F274">
        <v>0</v>
      </c>
      <c r="G274">
        <v>0</v>
      </c>
      <c r="H274">
        <v>0</v>
      </c>
      <c r="I274">
        <v>1</v>
      </c>
      <c r="J274">
        <v>1</v>
      </c>
      <c r="K274">
        <v>0</v>
      </c>
      <c r="L274">
        <v>0</v>
      </c>
      <c r="M274">
        <v>1</v>
      </c>
      <c r="N274">
        <v>1</v>
      </c>
      <c r="O274" s="14">
        <f t="shared" si="13"/>
        <v>0</v>
      </c>
      <c r="P274">
        <f t="shared" si="12"/>
        <v>9.9551863236164675E-2</v>
      </c>
      <c r="Q274">
        <f t="shared" si="14"/>
        <v>-2.3070765320607998</v>
      </c>
    </row>
    <row r="275" spans="1:17" x14ac:dyDescent="0.4">
      <c r="A275">
        <v>273</v>
      </c>
      <c r="B275">
        <v>0</v>
      </c>
      <c r="C275">
        <v>1</v>
      </c>
      <c r="D275">
        <v>19.5</v>
      </c>
      <c r="E275">
        <v>41</v>
      </c>
      <c r="F275">
        <v>1</v>
      </c>
      <c r="G275">
        <v>0</v>
      </c>
      <c r="H275">
        <v>1</v>
      </c>
      <c r="I275">
        <v>0</v>
      </c>
      <c r="J275">
        <v>1</v>
      </c>
      <c r="K275">
        <v>0</v>
      </c>
      <c r="L275">
        <v>0</v>
      </c>
      <c r="M275">
        <v>1</v>
      </c>
      <c r="N275">
        <v>1</v>
      </c>
      <c r="O275" s="14">
        <f t="shared" si="13"/>
        <v>1</v>
      </c>
      <c r="P275">
        <f t="shared" si="12"/>
        <v>0.74704874970721058</v>
      </c>
      <c r="Q275">
        <f t="shared" si="14"/>
        <v>-0.29162483532648048</v>
      </c>
    </row>
    <row r="276" spans="1:17" x14ac:dyDescent="0.4">
      <c r="A276">
        <v>274</v>
      </c>
      <c r="B276">
        <v>0</v>
      </c>
      <c r="C276">
        <v>1</v>
      </c>
      <c r="D276">
        <v>29.7</v>
      </c>
      <c r="E276">
        <v>37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1</v>
      </c>
      <c r="N276">
        <v>0</v>
      </c>
      <c r="O276" s="14">
        <f t="shared" si="13"/>
        <v>0</v>
      </c>
      <c r="P276">
        <f t="shared" si="12"/>
        <v>0.47404269281052053</v>
      </c>
      <c r="Q276">
        <f t="shared" si="14"/>
        <v>-0.64253523457749973</v>
      </c>
    </row>
    <row r="277" spans="1:17" x14ac:dyDescent="0.4">
      <c r="A277">
        <v>275</v>
      </c>
      <c r="B277">
        <v>0</v>
      </c>
      <c r="C277">
        <v>0</v>
      </c>
      <c r="D277">
        <v>7.75</v>
      </c>
      <c r="E277">
        <v>28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1</v>
      </c>
      <c r="L277">
        <v>0</v>
      </c>
      <c r="M277">
        <v>1</v>
      </c>
      <c r="N277">
        <v>1</v>
      </c>
      <c r="O277" s="14">
        <f t="shared" si="13"/>
        <v>1</v>
      </c>
      <c r="P277">
        <f t="shared" si="12"/>
        <v>0.68958390472100084</v>
      </c>
      <c r="Q277">
        <f t="shared" si="14"/>
        <v>-0.37166689992678675</v>
      </c>
    </row>
    <row r="278" spans="1:17" x14ac:dyDescent="0.4">
      <c r="A278">
        <v>276</v>
      </c>
      <c r="B278">
        <v>1</v>
      </c>
      <c r="C278">
        <v>0</v>
      </c>
      <c r="D278">
        <v>77.958299999999994</v>
      </c>
      <c r="E278">
        <v>63</v>
      </c>
      <c r="F278">
        <v>1</v>
      </c>
      <c r="G278">
        <v>1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1</v>
      </c>
      <c r="N278">
        <v>1</v>
      </c>
      <c r="O278" s="14">
        <f t="shared" si="13"/>
        <v>1</v>
      </c>
      <c r="P278">
        <f t="shared" si="12"/>
        <v>0.74335353628314393</v>
      </c>
      <c r="Q278">
        <f t="shared" si="14"/>
        <v>-0.29658352470917326</v>
      </c>
    </row>
    <row r="279" spans="1:17" x14ac:dyDescent="0.4">
      <c r="A279">
        <v>277</v>
      </c>
      <c r="B279">
        <v>0</v>
      </c>
      <c r="C279">
        <v>0</v>
      </c>
      <c r="D279">
        <v>7.75</v>
      </c>
      <c r="E279">
        <v>45</v>
      </c>
      <c r="F279">
        <v>1</v>
      </c>
      <c r="G279">
        <v>0</v>
      </c>
      <c r="H279">
        <v>0</v>
      </c>
      <c r="I279">
        <v>1</v>
      </c>
      <c r="J279">
        <v>1</v>
      </c>
      <c r="K279">
        <v>0</v>
      </c>
      <c r="L279">
        <v>0</v>
      </c>
      <c r="M279">
        <v>1</v>
      </c>
      <c r="N279">
        <v>0</v>
      </c>
      <c r="O279" s="14">
        <f t="shared" si="13"/>
        <v>0</v>
      </c>
      <c r="P279">
        <f t="shared" si="12"/>
        <v>0.44152057454903559</v>
      </c>
      <c r="Q279">
        <f t="shared" si="14"/>
        <v>-0.58253750009332428</v>
      </c>
    </row>
    <row r="280" spans="1:17" x14ac:dyDescent="0.4">
      <c r="A280">
        <v>278</v>
      </c>
      <c r="B280">
        <v>0</v>
      </c>
      <c r="C280">
        <v>0</v>
      </c>
      <c r="D280">
        <v>0</v>
      </c>
      <c r="E280">
        <v>28</v>
      </c>
      <c r="F280">
        <v>0</v>
      </c>
      <c r="G280">
        <v>0</v>
      </c>
      <c r="H280">
        <v>1</v>
      </c>
      <c r="I280">
        <v>0</v>
      </c>
      <c r="J280">
        <v>1</v>
      </c>
      <c r="K280">
        <v>0</v>
      </c>
      <c r="L280">
        <v>0</v>
      </c>
      <c r="M280">
        <v>1</v>
      </c>
      <c r="N280">
        <v>0</v>
      </c>
      <c r="O280" s="14">
        <f t="shared" si="13"/>
        <v>0</v>
      </c>
      <c r="P280">
        <f t="shared" si="12"/>
        <v>0.25197925163314788</v>
      </c>
      <c r="Q280">
        <f t="shared" si="14"/>
        <v>-0.29032456293400521</v>
      </c>
    </row>
    <row r="281" spans="1:17" x14ac:dyDescent="0.4">
      <c r="A281">
        <v>279</v>
      </c>
      <c r="B281">
        <v>4</v>
      </c>
      <c r="C281">
        <v>1</v>
      </c>
      <c r="D281">
        <v>29.125</v>
      </c>
      <c r="E281">
        <v>7</v>
      </c>
      <c r="F281">
        <v>0</v>
      </c>
      <c r="G281">
        <v>0</v>
      </c>
      <c r="H281">
        <v>0</v>
      </c>
      <c r="I281">
        <v>1</v>
      </c>
      <c r="J281">
        <v>0</v>
      </c>
      <c r="K281">
        <v>1</v>
      </c>
      <c r="L281">
        <v>0</v>
      </c>
      <c r="M281">
        <v>1</v>
      </c>
      <c r="N281">
        <v>0</v>
      </c>
      <c r="O281" s="14">
        <f t="shared" si="13"/>
        <v>0</v>
      </c>
      <c r="P281">
        <f t="shared" si="12"/>
        <v>7.9916327858003205E-2</v>
      </c>
      <c r="Q281">
        <f t="shared" si="14"/>
        <v>-8.3290665094136559E-2</v>
      </c>
    </row>
    <row r="282" spans="1:17" x14ac:dyDescent="0.4">
      <c r="A282">
        <v>280</v>
      </c>
      <c r="B282">
        <v>1</v>
      </c>
      <c r="C282">
        <v>1</v>
      </c>
      <c r="D282">
        <v>20.25</v>
      </c>
      <c r="E282">
        <v>35</v>
      </c>
      <c r="F282">
        <v>1</v>
      </c>
      <c r="G282">
        <v>0</v>
      </c>
      <c r="H282">
        <v>0</v>
      </c>
      <c r="I282">
        <v>1</v>
      </c>
      <c r="J282">
        <v>1</v>
      </c>
      <c r="K282">
        <v>0</v>
      </c>
      <c r="L282">
        <v>0</v>
      </c>
      <c r="M282">
        <v>1</v>
      </c>
      <c r="N282">
        <v>1</v>
      </c>
      <c r="O282" s="14">
        <f t="shared" si="13"/>
        <v>0</v>
      </c>
      <c r="P282">
        <f t="shared" si="12"/>
        <v>0.44132291067135748</v>
      </c>
      <c r="Q282">
        <f t="shared" si="14"/>
        <v>-0.81797844773573314</v>
      </c>
    </row>
    <row r="283" spans="1:17" x14ac:dyDescent="0.4">
      <c r="A283">
        <v>281</v>
      </c>
      <c r="B283">
        <v>0</v>
      </c>
      <c r="C283">
        <v>0</v>
      </c>
      <c r="D283">
        <v>7.75</v>
      </c>
      <c r="E283">
        <v>65</v>
      </c>
      <c r="F283">
        <v>0</v>
      </c>
      <c r="G283">
        <v>0</v>
      </c>
      <c r="H283">
        <v>0</v>
      </c>
      <c r="I283">
        <v>1</v>
      </c>
      <c r="J283">
        <v>0</v>
      </c>
      <c r="K283">
        <v>1</v>
      </c>
      <c r="L283">
        <v>0</v>
      </c>
      <c r="M283">
        <v>1</v>
      </c>
      <c r="N283">
        <v>0</v>
      </c>
      <c r="O283" s="14">
        <f t="shared" si="13"/>
        <v>0</v>
      </c>
      <c r="P283">
        <f t="shared" si="12"/>
        <v>3.3997665464229006E-2</v>
      </c>
      <c r="Q283">
        <f t="shared" si="14"/>
        <v>-3.4589028068842592E-2</v>
      </c>
    </row>
    <row r="284" spans="1:17" x14ac:dyDescent="0.4">
      <c r="A284">
        <v>282</v>
      </c>
      <c r="B284">
        <v>0</v>
      </c>
      <c r="C284">
        <v>0</v>
      </c>
      <c r="D284">
        <v>7.8541999999999996</v>
      </c>
      <c r="E284">
        <v>28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1</v>
      </c>
      <c r="N284">
        <v>0</v>
      </c>
      <c r="O284" s="14">
        <f t="shared" si="13"/>
        <v>0</v>
      </c>
      <c r="P284">
        <f t="shared" si="12"/>
        <v>9.1170824270011691E-2</v>
      </c>
      <c r="Q284">
        <f t="shared" si="14"/>
        <v>-9.5598127954427389E-2</v>
      </c>
    </row>
    <row r="285" spans="1:17" x14ac:dyDescent="0.4">
      <c r="A285">
        <v>283</v>
      </c>
      <c r="B285">
        <v>0</v>
      </c>
      <c r="C285">
        <v>0</v>
      </c>
      <c r="D285">
        <v>9.5</v>
      </c>
      <c r="E285">
        <v>16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1</v>
      </c>
      <c r="N285">
        <v>0</v>
      </c>
      <c r="O285" s="14">
        <f t="shared" si="13"/>
        <v>0</v>
      </c>
      <c r="P285">
        <f t="shared" si="12"/>
        <v>0.13784948898709196</v>
      </c>
      <c r="Q285">
        <f t="shared" si="14"/>
        <v>-0.14832541681691433</v>
      </c>
    </row>
    <row r="286" spans="1:17" x14ac:dyDescent="0.4">
      <c r="A286">
        <v>284</v>
      </c>
      <c r="B286">
        <v>0</v>
      </c>
      <c r="C286">
        <v>0</v>
      </c>
      <c r="D286">
        <v>8.0500000000000007</v>
      </c>
      <c r="E286">
        <v>19</v>
      </c>
      <c r="F286">
        <v>0</v>
      </c>
      <c r="G286">
        <v>0</v>
      </c>
      <c r="H286">
        <v>0</v>
      </c>
      <c r="I286">
        <v>1</v>
      </c>
      <c r="J286">
        <v>1</v>
      </c>
      <c r="K286">
        <v>0</v>
      </c>
      <c r="L286">
        <v>0</v>
      </c>
      <c r="M286">
        <v>1</v>
      </c>
      <c r="N286">
        <v>1</v>
      </c>
      <c r="O286" s="14">
        <f t="shared" si="13"/>
        <v>0</v>
      </c>
      <c r="P286">
        <f t="shared" si="12"/>
        <v>0.1243098681556207</v>
      </c>
      <c r="Q286">
        <f t="shared" si="14"/>
        <v>-2.0849778937886749</v>
      </c>
    </row>
    <row r="287" spans="1:17" x14ac:dyDescent="0.4">
      <c r="A287">
        <v>285</v>
      </c>
      <c r="B287">
        <v>0</v>
      </c>
      <c r="C287">
        <v>0</v>
      </c>
      <c r="D287">
        <v>26</v>
      </c>
      <c r="E287">
        <v>28</v>
      </c>
      <c r="F287">
        <v>0</v>
      </c>
      <c r="G287">
        <v>1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1</v>
      </c>
      <c r="N287">
        <v>0</v>
      </c>
      <c r="O287" s="14">
        <f t="shared" si="13"/>
        <v>0</v>
      </c>
      <c r="P287">
        <f t="shared" si="12"/>
        <v>0.47319474475385664</v>
      </c>
      <c r="Q287">
        <f t="shared" si="14"/>
        <v>-0.6409243333728234</v>
      </c>
    </row>
    <row r="288" spans="1:17" x14ac:dyDescent="0.4">
      <c r="A288">
        <v>286</v>
      </c>
      <c r="B288">
        <v>0</v>
      </c>
      <c r="C288">
        <v>0</v>
      </c>
      <c r="D288">
        <v>8.6624999999999996</v>
      </c>
      <c r="E288">
        <v>33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 s="14">
        <f t="shared" si="13"/>
        <v>0</v>
      </c>
      <c r="P288">
        <f t="shared" si="12"/>
        <v>0.11351580210853136</v>
      </c>
      <c r="Q288">
        <f t="shared" si="14"/>
        <v>-0.12049197890427782</v>
      </c>
    </row>
    <row r="289" spans="1:17" x14ac:dyDescent="0.4">
      <c r="A289">
        <v>287</v>
      </c>
      <c r="B289">
        <v>0</v>
      </c>
      <c r="C289">
        <v>0</v>
      </c>
      <c r="D289">
        <v>9.5</v>
      </c>
      <c r="E289">
        <v>30</v>
      </c>
      <c r="F289">
        <v>0</v>
      </c>
      <c r="G289">
        <v>0</v>
      </c>
      <c r="H289">
        <v>0</v>
      </c>
      <c r="I289">
        <v>1</v>
      </c>
      <c r="J289">
        <v>1</v>
      </c>
      <c r="K289">
        <v>0</v>
      </c>
      <c r="L289">
        <v>0</v>
      </c>
      <c r="M289">
        <v>1</v>
      </c>
      <c r="N289">
        <v>1</v>
      </c>
      <c r="O289" s="14">
        <f t="shared" si="13"/>
        <v>0</v>
      </c>
      <c r="P289">
        <f t="shared" si="12"/>
        <v>8.5284194844274464E-2</v>
      </c>
      <c r="Q289">
        <f t="shared" si="14"/>
        <v>-2.4617661306998326</v>
      </c>
    </row>
    <row r="290" spans="1:17" x14ac:dyDescent="0.4">
      <c r="A290">
        <v>288</v>
      </c>
      <c r="B290">
        <v>0</v>
      </c>
      <c r="C290">
        <v>0</v>
      </c>
      <c r="D290">
        <v>7.8958000000000004</v>
      </c>
      <c r="E290">
        <v>22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0</v>
      </c>
      <c r="L290">
        <v>0</v>
      </c>
      <c r="M290">
        <v>1</v>
      </c>
      <c r="N290">
        <v>0</v>
      </c>
      <c r="O290" s="14">
        <f t="shared" si="13"/>
        <v>0</v>
      </c>
      <c r="P290">
        <f t="shared" si="12"/>
        <v>0.11222904033445361</v>
      </c>
      <c r="Q290">
        <f t="shared" si="14"/>
        <v>-0.11904149756375781</v>
      </c>
    </row>
    <row r="291" spans="1:17" x14ac:dyDescent="0.4">
      <c r="A291">
        <v>289</v>
      </c>
      <c r="B291">
        <v>0</v>
      </c>
      <c r="C291">
        <v>0</v>
      </c>
      <c r="D291">
        <v>13</v>
      </c>
      <c r="E291">
        <v>42</v>
      </c>
      <c r="F291">
        <v>0</v>
      </c>
      <c r="G291">
        <v>0</v>
      </c>
      <c r="H291">
        <v>1</v>
      </c>
      <c r="I291">
        <v>0</v>
      </c>
      <c r="J291">
        <v>1</v>
      </c>
      <c r="K291">
        <v>0</v>
      </c>
      <c r="L291">
        <v>0</v>
      </c>
      <c r="M291">
        <v>1</v>
      </c>
      <c r="N291">
        <v>1</v>
      </c>
      <c r="O291" s="14">
        <f t="shared" si="13"/>
        <v>0</v>
      </c>
      <c r="P291">
        <f t="shared" si="12"/>
        <v>0.1683959172628289</v>
      </c>
      <c r="Q291">
        <f t="shared" si="14"/>
        <v>-1.7814374217502968</v>
      </c>
    </row>
    <row r="292" spans="1:17" x14ac:dyDescent="0.4">
      <c r="A292">
        <v>290</v>
      </c>
      <c r="B292">
        <v>0</v>
      </c>
      <c r="C292">
        <v>0</v>
      </c>
      <c r="D292">
        <v>7.75</v>
      </c>
      <c r="E292">
        <v>22</v>
      </c>
      <c r="F292">
        <v>1</v>
      </c>
      <c r="G292">
        <v>0</v>
      </c>
      <c r="H292">
        <v>0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1</v>
      </c>
      <c r="O292" s="14">
        <f t="shared" si="13"/>
        <v>1</v>
      </c>
      <c r="P292">
        <f t="shared" si="12"/>
        <v>0.73678553004227643</v>
      </c>
      <c r="Q292">
        <f t="shared" si="14"/>
        <v>-0.30545843315587795</v>
      </c>
    </row>
    <row r="293" spans="1:17" x14ac:dyDescent="0.4">
      <c r="A293">
        <v>291</v>
      </c>
      <c r="B293">
        <v>0</v>
      </c>
      <c r="C293">
        <v>0</v>
      </c>
      <c r="D293">
        <v>78.849999999999994</v>
      </c>
      <c r="E293">
        <v>26</v>
      </c>
      <c r="F293">
        <v>1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1</v>
      </c>
      <c r="N293">
        <v>1</v>
      </c>
      <c r="O293" s="14">
        <f t="shared" si="13"/>
        <v>1</v>
      </c>
      <c r="P293">
        <f t="shared" si="12"/>
        <v>0.94337053705753904</v>
      </c>
      <c r="Q293">
        <f t="shared" si="14"/>
        <v>-5.8296139213747156E-2</v>
      </c>
    </row>
    <row r="294" spans="1:17" x14ac:dyDescent="0.4">
      <c r="A294">
        <v>292</v>
      </c>
      <c r="B294">
        <v>1</v>
      </c>
      <c r="C294">
        <v>0</v>
      </c>
      <c r="D294">
        <v>91.0792</v>
      </c>
      <c r="E294">
        <v>19</v>
      </c>
      <c r="F294">
        <v>1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1</v>
      </c>
      <c r="N294">
        <v>1</v>
      </c>
      <c r="O294" s="14">
        <f t="shared" si="13"/>
        <v>1</v>
      </c>
      <c r="P294">
        <f t="shared" si="12"/>
        <v>0.96173181576783384</v>
      </c>
      <c r="Q294">
        <f t="shared" si="14"/>
        <v>-3.9019644970296086E-2</v>
      </c>
    </row>
    <row r="295" spans="1:17" x14ac:dyDescent="0.4">
      <c r="A295">
        <v>293</v>
      </c>
      <c r="B295">
        <v>0</v>
      </c>
      <c r="C295">
        <v>0</v>
      </c>
      <c r="D295">
        <v>12.875</v>
      </c>
      <c r="E295">
        <v>36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1</v>
      </c>
      <c r="M295">
        <v>1</v>
      </c>
      <c r="N295">
        <v>0</v>
      </c>
      <c r="O295" s="14">
        <f t="shared" si="13"/>
        <v>0</v>
      </c>
      <c r="P295">
        <f t="shared" si="12"/>
        <v>0.28265295498441401</v>
      </c>
      <c r="Q295">
        <f t="shared" si="14"/>
        <v>-0.33219553175257777</v>
      </c>
    </row>
    <row r="296" spans="1:17" x14ac:dyDescent="0.4">
      <c r="A296">
        <v>294</v>
      </c>
      <c r="B296">
        <v>0</v>
      </c>
      <c r="C296">
        <v>0</v>
      </c>
      <c r="D296">
        <v>8.85</v>
      </c>
      <c r="E296">
        <v>24</v>
      </c>
      <c r="F296">
        <v>1</v>
      </c>
      <c r="G296">
        <v>0</v>
      </c>
      <c r="H296">
        <v>0</v>
      </c>
      <c r="I296">
        <v>1</v>
      </c>
      <c r="J296">
        <v>1</v>
      </c>
      <c r="K296">
        <v>0</v>
      </c>
      <c r="L296">
        <v>0</v>
      </c>
      <c r="M296">
        <v>1</v>
      </c>
      <c r="N296">
        <v>0</v>
      </c>
      <c r="O296" s="14">
        <f t="shared" si="13"/>
        <v>1</v>
      </c>
      <c r="P296">
        <f t="shared" si="12"/>
        <v>0.6402880538681095</v>
      </c>
      <c r="Q296">
        <f t="shared" si="14"/>
        <v>-1.022451717456202</v>
      </c>
    </row>
    <row r="297" spans="1:17" x14ac:dyDescent="0.4">
      <c r="A297">
        <v>295</v>
      </c>
      <c r="B297">
        <v>0</v>
      </c>
      <c r="C297">
        <v>0</v>
      </c>
      <c r="D297">
        <v>7.8958000000000004</v>
      </c>
      <c r="E297">
        <v>24</v>
      </c>
      <c r="F297">
        <v>0</v>
      </c>
      <c r="G297">
        <v>0</v>
      </c>
      <c r="H297">
        <v>0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0</v>
      </c>
      <c r="O297" s="14">
        <f t="shared" si="13"/>
        <v>0</v>
      </c>
      <c r="P297">
        <f t="shared" si="12"/>
        <v>0.1047784627468161</v>
      </c>
      <c r="Q297">
        <f t="shared" si="14"/>
        <v>-0.11068406368000913</v>
      </c>
    </row>
    <row r="298" spans="1:17" x14ac:dyDescent="0.4">
      <c r="A298">
        <v>296</v>
      </c>
      <c r="B298">
        <v>0</v>
      </c>
      <c r="C298">
        <v>0</v>
      </c>
      <c r="D298">
        <v>27.720800000000001</v>
      </c>
      <c r="E298">
        <v>28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1</v>
      </c>
      <c r="N298">
        <v>0</v>
      </c>
      <c r="O298" s="14">
        <f t="shared" si="13"/>
        <v>1</v>
      </c>
      <c r="P298">
        <f t="shared" si="12"/>
        <v>0.58213366846516812</v>
      </c>
      <c r="Q298">
        <f t="shared" si="14"/>
        <v>-0.87259367861538173</v>
      </c>
    </row>
    <row r="299" spans="1:17" x14ac:dyDescent="0.4">
      <c r="A299">
        <v>297</v>
      </c>
      <c r="B299">
        <v>0</v>
      </c>
      <c r="C299">
        <v>0</v>
      </c>
      <c r="D299">
        <v>7.2291999999999996</v>
      </c>
      <c r="E299">
        <v>23.5</v>
      </c>
      <c r="F299">
        <v>0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 s="14">
        <f t="shared" si="13"/>
        <v>0</v>
      </c>
      <c r="P299">
        <f t="shared" si="12"/>
        <v>0.1554235794063944</v>
      </c>
      <c r="Q299">
        <f t="shared" si="14"/>
        <v>-0.16892005471050076</v>
      </c>
    </row>
    <row r="300" spans="1:17" x14ac:dyDescent="0.4">
      <c r="A300">
        <v>298</v>
      </c>
      <c r="B300">
        <v>1</v>
      </c>
      <c r="C300">
        <v>2</v>
      </c>
      <c r="D300">
        <v>151.55000000000001</v>
      </c>
      <c r="E300">
        <v>2</v>
      </c>
      <c r="F300">
        <v>1</v>
      </c>
      <c r="G300">
        <v>1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1</v>
      </c>
      <c r="N300">
        <v>0</v>
      </c>
      <c r="O300" s="14">
        <f t="shared" si="13"/>
        <v>1</v>
      </c>
      <c r="P300">
        <f t="shared" si="12"/>
        <v>0.96767045678406238</v>
      </c>
      <c r="Q300">
        <f t="shared" si="14"/>
        <v>-3.4317738161433207</v>
      </c>
    </row>
    <row r="301" spans="1:17" x14ac:dyDescent="0.4">
      <c r="A301">
        <v>299</v>
      </c>
      <c r="B301">
        <v>0</v>
      </c>
      <c r="C301">
        <v>0</v>
      </c>
      <c r="D301">
        <v>30.5</v>
      </c>
      <c r="E301">
        <v>28</v>
      </c>
      <c r="F301">
        <v>0</v>
      </c>
      <c r="G301">
        <v>1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1</v>
      </c>
      <c r="N301">
        <v>1</v>
      </c>
      <c r="O301" s="14">
        <f t="shared" si="13"/>
        <v>0</v>
      </c>
      <c r="P301">
        <f t="shared" si="12"/>
        <v>0.47581885879547808</v>
      </c>
      <c r="Q301">
        <f t="shared" si="14"/>
        <v>-0.74271804592676316</v>
      </c>
    </row>
    <row r="302" spans="1:17" x14ac:dyDescent="0.4">
      <c r="A302">
        <v>300</v>
      </c>
      <c r="B302">
        <v>0</v>
      </c>
      <c r="C302">
        <v>1</v>
      </c>
      <c r="D302">
        <v>247.52080000000001</v>
      </c>
      <c r="E302">
        <v>50</v>
      </c>
      <c r="F302">
        <v>1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1</v>
      </c>
      <c r="O302" s="14">
        <f t="shared" si="13"/>
        <v>1</v>
      </c>
      <c r="P302">
        <f t="shared" si="12"/>
        <v>0.93240633679835905</v>
      </c>
      <c r="Q302">
        <f t="shared" si="14"/>
        <v>-6.9986575620592906E-2</v>
      </c>
    </row>
    <row r="303" spans="1:17" x14ac:dyDescent="0.4">
      <c r="A303">
        <v>301</v>
      </c>
      <c r="B303">
        <v>0</v>
      </c>
      <c r="C303">
        <v>0</v>
      </c>
      <c r="D303">
        <v>7.75</v>
      </c>
      <c r="E303">
        <v>28</v>
      </c>
      <c r="F303">
        <v>1</v>
      </c>
      <c r="G303">
        <v>0</v>
      </c>
      <c r="H303">
        <v>0</v>
      </c>
      <c r="I303">
        <v>1</v>
      </c>
      <c r="J303">
        <v>0</v>
      </c>
      <c r="K303">
        <v>1</v>
      </c>
      <c r="L303">
        <v>0</v>
      </c>
      <c r="M303">
        <v>1</v>
      </c>
      <c r="N303">
        <v>1</v>
      </c>
      <c r="O303" s="14">
        <f t="shared" si="13"/>
        <v>1</v>
      </c>
      <c r="P303">
        <f t="shared" si="12"/>
        <v>0.68958390472100084</v>
      </c>
      <c r="Q303">
        <f t="shared" si="14"/>
        <v>-0.37166689992678675</v>
      </c>
    </row>
    <row r="304" spans="1:17" x14ac:dyDescent="0.4">
      <c r="A304">
        <v>302</v>
      </c>
      <c r="B304">
        <v>2</v>
      </c>
      <c r="C304">
        <v>0</v>
      </c>
      <c r="D304">
        <v>23.25</v>
      </c>
      <c r="E304">
        <v>28</v>
      </c>
      <c r="F304">
        <v>0</v>
      </c>
      <c r="G304">
        <v>0</v>
      </c>
      <c r="H304">
        <v>0</v>
      </c>
      <c r="I304">
        <v>1</v>
      </c>
      <c r="J304">
        <v>0</v>
      </c>
      <c r="K304">
        <v>1</v>
      </c>
      <c r="L304">
        <v>0</v>
      </c>
      <c r="M304">
        <v>1</v>
      </c>
      <c r="N304">
        <v>1</v>
      </c>
      <c r="O304" s="14">
        <f t="shared" si="13"/>
        <v>0</v>
      </c>
      <c r="P304">
        <f t="shared" si="12"/>
        <v>7.3847233040105251E-2</v>
      </c>
      <c r="Q304">
        <f t="shared" si="14"/>
        <v>-2.605756738003818</v>
      </c>
    </row>
    <row r="305" spans="1:17" x14ac:dyDescent="0.4">
      <c r="A305">
        <v>303</v>
      </c>
      <c r="B305">
        <v>0</v>
      </c>
      <c r="C305">
        <v>0</v>
      </c>
      <c r="D305">
        <v>0</v>
      </c>
      <c r="E305">
        <v>19</v>
      </c>
      <c r="F305">
        <v>0</v>
      </c>
      <c r="G305">
        <v>0</v>
      </c>
      <c r="H305">
        <v>0</v>
      </c>
      <c r="I305">
        <v>1</v>
      </c>
      <c r="J305">
        <v>1</v>
      </c>
      <c r="K305">
        <v>0</v>
      </c>
      <c r="L305">
        <v>0</v>
      </c>
      <c r="M305">
        <v>1</v>
      </c>
      <c r="N305">
        <v>0</v>
      </c>
      <c r="O305" s="14">
        <f t="shared" si="13"/>
        <v>0</v>
      </c>
      <c r="P305">
        <f t="shared" si="12"/>
        <v>0.12227498241915123</v>
      </c>
      <c r="Q305">
        <f t="shared" si="14"/>
        <v>-0.1304219262231783</v>
      </c>
    </row>
    <row r="306" spans="1:17" x14ac:dyDescent="0.4">
      <c r="A306">
        <v>304</v>
      </c>
      <c r="B306">
        <v>0</v>
      </c>
      <c r="C306">
        <v>0</v>
      </c>
      <c r="D306">
        <v>12.35</v>
      </c>
      <c r="E306">
        <v>28</v>
      </c>
      <c r="F306">
        <v>1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1</v>
      </c>
      <c r="N306">
        <v>1</v>
      </c>
      <c r="O306" s="14">
        <f t="shared" si="13"/>
        <v>1</v>
      </c>
      <c r="P306">
        <f t="shared" si="12"/>
        <v>0.8847945853557776</v>
      </c>
      <c r="Q306">
        <f t="shared" si="14"/>
        <v>-0.122399767857817</v>
      </c>
    </row>
    <row r="307" spans="1:17" x14ac:dyDescent="0.4">
      <c r="A307">
        <v>305</v>
      </c>
      <c r="B307">
        <v>0</v>
      </c>
      <c r="C307">
        <v>0</v>
      </c>
      <c r="D307">
        <v>8.0500000000000007</v>
      </c>
      <c r="E307">
        <v>28</v>
      </c>
      <c r="F307">
        <v>0</v>
      </c>
      <c r="G307">
        <v>0</v>
      </c>
      <c r="H307">
        <v>0</v>
      </c>
      <c r="I307">
        <v>1</v>
      </c>
      <c r="J307">
        <v>1</v>
      </c>
      <c r="K307">
        <v>0</v>
      </c>
      <c r="L307">
        <v>0</v>
      </c>
      <c r="M307">
        <v>1</v>
      </c>
      <c r="N307">
        <v>0</v>
      </c>
      <c r="O307" s="14">
        <f t="shared" si="13"/>
        <v>0</v>
      </c>
      <c r="P307">
        <f t="shared" si="12"/>
        <v>9.1208772698105012E-2</v>
      </c>
      <c r="Q307">
        <f t="shared" si="14"/>
        <v>-9.5639884118734919E-2</v>
      </c>
    </row>
    <row r="308" spans="1:17" x14ac:dyDescent="0.4">
      <c r="A308">
        <v>306</v>
      </c>
      <c r="B308">
        <v>1</v>
      </c>
      <c r="C308">
        <v>2</v>
      </c>
      <c r="D308">
        <v>151.55000000000001</v>
      </c>
      <c r="E308">
        <v>0.92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1</v>
      </c>
      <c r="N308">
        <v>1</v>
      </c>
      <c r="O308" s="14">
        <f t="shared" si="13"/>
        <v>1</v>
      </c>
      <c r="P308">
        <f t="shared" si="12"/>
        <v>0.67280772779410314</v>
      </c>
      <c r="Q308">
        <f t="shared" si="14"/>
        <v>-0.39629568436958978</v>
      </c>
    </row>
    <row r="309" spans="1:17" x14ac:dyDescent="0.4">
      <c r="A309">
        <v>307</v>
      </c>
      <c r="B309">
        <v>0</v>
      </c>
      <c r="C309">
        <v>0</v>
      </c>
      <c r="D309">
        <v>110.88330000000001</v>
      </c>
      <c r="E309">
        <v>28</v>
      </c>
      <c r="F309">
        <v>1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1</v>
      </c>
      <c r="N309">
        <v>1</v>
      </c>
      <c r="O309" s="14">
        <f t="shared" si="13"/>
        <v>1</v>
      </c>
      <c r="P309">
        <f t="shared" si="12"/>
        <v>0.96251579825782341</v>
      </c>
      <c r="Q309">
        <f t="shared" si="14"/>
        <v>-3.8204799180540303E-2</v>
      </c>
    </row>
    <row r="310" spans="1:17" x14ac:dyDescent="0.4">
      <c r="A310">
        <v>308</v>
      </c>
      <c r="B310">
        <v>1</v>
      </c>
      <c r="C310">
        <v>0</v>
      </c>
      <c r="D310">
        <v>108.9</v>
      </c>
      <c r="E310">
        <v>17</v>
      </c>
      <c r="F310">
        <v>1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1</v>
      </c>
      <c r="N310">
        <v>1</v>
      </c>
      <c r="O310" s="14">
        <f t="shared" si="13"/>
        <v>1</v>
      </c>
      <c r="P310">
        <f t="shared" si="12"/>
        <v>0.96586972124297932</v>
      </c>
      <c r="Q310">
        <f t="shared" si="14"/>
        <v>-3.4726318002307181E-2</v>
      </c>
    </row>
    <row r="311" spans="1:17" x14ac:dyDescent="0.4">
      <c r="A311">
        <v>309</v>
      </c>
      <c r="B311">
        <v>1</v>
      </c>
      <c r="C311">
        <v>0</v>
      </c>
      <c r="D311">
        <v>24</v>
      </c>
      <c r="E311">
        <v>30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1</v>
      </c>
      <c r="M311">
        <v>1</v>
      </c>
      <c r="N311">
        <v>0</v>
      </c>
      <c r="O311" s="14">
        <f t="shared" si="13"/>
        <v>0</v>
      </c>
      <c r="P311">
        <f t="shared" si="12"/>
        <v>0.26970914057808915</v>
      </c>
      <c r="Q311">
        <f t="shared" si="14"/>
        <v>-0.31431238663060707</v>
      </c>
    </row>
    <row r="312" spans="1:17" x14ac:dyDescent="0.4">
      <c r="A312">
        <v>310</v>
      </c>
      <c r="B312">
        <v>0</v>
      </c>
      <c r="C312">
        <v>0</v>
      </c>
      <c r="D312">
        <v>56.929200000000002</v>
      </c>
      <c r="E312">
        <v>30</v>
      </c>
      <c r="F312">
        <v>1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1</v>
      </c>
      <c r="N312">
        <v>1</v>
      </c>
      <c r="O312" s="14">
        <f t="shared" si="13"/>
        <v>1</v>
      </c>
      <c r="P312">
        <f t="shared" si="12"/>
        <v>0.95445332973136265</v>
      </c>
      <c r="Q312">
        <f t="shared" si="14"/>
        <v>-4.6616532002448648E-2</v>
      </c>
    </row>
    <row r="313" spans="1:17" x14ac:dyDescent="0.4">
      <c r="A313">
        <v>311</v>
      </c>
      <c r="B313">
        <v>0</v>
      </c>
      <c r="C313">
        <v>0</v>
      </c>
      <c r="D313">
        <v>83.158299999999997</v>
      </c>
      <c r="E313">
        <v>24</v>
      </c>
      <c r="F313">
        <v>1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1</v>
      </c>
      <c r="O313" s="14">
        <f t="shared" si="13"/>
        <v>1</v>
      </c>
      <c r="P313">
        <f t="shared" si="12"/>
        <v>0.96560668367852476</v>
      </c>
      <c r="Q313">
        <f t="shared" si="14"/>
        <v>-3.4998687434737677E-2</v>
      </c>
    </row>
    <row r="314" spans="1:17" x14ac:dyDescent="0.4">
      <c r="A314">
        <v>312</v>
      </c>
      <c r="B314">
        <v>2</v>
      </c>
      <c r="C314">
        <v>2</v>
      </c>
      <c r="D314">
        <v>262.375</v>
      </c>
      <c r="E314">
        <v>18</v>
      </c>
      <c r="F314">
        <v>1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1</v>
      </c>
      <c r="N314">
        <v>1</v>
      </c>
      <c r="O314" s="14">
        <f t="shared" si="13"/>
        <v>1</v>
      </c>
      <c r="P314">
        <f t="shared" si="12"/>
        <v>0.95908920403707798</v>
      </c>
      <c r="Q314">
        <f t="shared" si="14"/>
        <v>-4.1771190659121007E-2</v>
      </c>
    </row>
    <row r="315" spans="1:17" x14ac:dyDescent="0.4">
      <c r="A315">
        <v>313</v>
      </c>
      <c r="B315">
        <v>1</v>
      </c>
      <c r="C315">
        <v>1</v>
      </c>
      <c r="D315">
        <v>26</v>
      </c>
      <c r="E315">
        <v>26</v>
      </c>
      <c r="F315">
        <v>1</v>
      </c>
      <c r="G315">
        <v>0</v>
      </c>
      <c r="H315">
        <v>1</v>
      </c>
      <c r="I315">
        <v>0</v>
      </c>
      <c r="J315">
        <v>1</v>
      </c>
      <c r="K315">
        <v>0</v>
      </c>
      <c r="L315">
        <v>0</v>
      </c>
      <c r="M315">
        <v>1</v>
      </c>
      <c r="N315">
        <v>0</v>
      </c>
      <c r="O315" s="14">
        <f t="shared" si="13"/>
        <v>1</v>
      </c>
      <c r="P315">
        <f t="shared" si="12"/>
        <v>0.79479716738559647</v>
      </c>
      <c r="Q315">
        <f t="shared" si="14"/>
        <v>-1.5837563616170394</v>
      </c>
    </row>
    <row r="316" spans="1:17" x14ac:dyDescent="0.4">
      <c r="A316">
        <v>314</v>
      </c>
      <c r="B316">
        <v>0</v>
      </c>
      <c r="C316">
        <v>0</v>
      </c>
      <c r="D316">
        <v>7.8958000000000004</v>
      </c>
      <c r="E316">
        <v>28</v>
      </c>
      <c r="F316">
        <v>0</v>
      </c>
      <c r="G316">
        <v>0</v>
      </c>
      <c r="H316">
        <v>0</v>
      </c>
      <c r="I316">
        <v>1</v>
      </c>
      <c r="J316">
        <v>1</v>
      </c>
      <c r="K316">
        <v>0</v>
      </c>
      <c r="L316">
        <v>0</v>
      </c>
      <c r="M316">
        <v>1</v>
      </c>
      <c r="N316">
        <v>0</v>
      </c>
      <c r="O316" s="14">
        <f t="shared" si="13"/>
        <v>0</v>
      </c>
      <c r="P316">
        <f t="shared" si="12"/>
        <v>9.117888566880443E-2</v>
      </c>
      <c r="Q316">
        <f t="shared" si="14"/>
        <v>-9.5606998086197895E-2</v>
      </c>
    </row>
    <row r="317" spans="1:17" x14ac:dyDescent="0.4">
      <c r="A317">
        <v>315</v>
      </c>
      <c r="B317">
        <v>1</v>
      </c>
      <c r="C317">
        <v>1</v>
      </c>
      <c r="D317">
        <v>26.25</v>
      </c>
      <c r="E317">
        <v>43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1</v>
      </c>
      <c r="N317">
        <v>0</v>
      </c>
      <c r="O317" s="14">
        <f t="shared" si="13"/>
        <v>0</v>
      </c>
      <c r="P317">
        <f t="shared" si="12"/>
        <v>0.11713277823949296</v>
      </c>
      <c r="Q317">
        <f t="shared" si="14"/>
        <v>-0.12458046141729459</v>
      </c>
    </row>
    <row r="318" spans="1:17" x14ac:dyDescent="0.4">
      <c r="A318">
        <v>316</v>
      </c>
      <c r="B318">
        <v>0</v>
      </c>
      <c r="C318">
        <v>0</v>
      </c>
      <c r="D318">
        <v>7.8541999999999996</v>
      </c>
      <c r="E318">
        <v>26</v>
      </c>
      <c r="F318">
        <v>1</v>
      </c>
      <c r="G318">
        <v>0</v>
      </c>
      <c r="H318">
        <v>0</v>
      </c>
      <c r="I318">
        <v>1</v>
      </c>
      <c r="J318">
        <v>1</v>
      </c>
      <c r="K318">
        <v>0</v>
      </c>
      <c r="L318">
        <v>0</v>
      </c>
      <c r="M318">
        <v>1</v>
      </c>
      <c r="N318">
        <v>1</v>
      </c>
      <c r="O318" s="14">
        <f t="shared" si="13"/>
        <v>1</v>
      </c>
      <c r="P318">
        <f t="shared" si="12"/>
        <v>0.62180928201398777</v>
      </c>
      <c r="Q318">
        <f t="shared" si="14"/>
        <v>-0.47512185381694144</v>
      </c>
    </row>
    <row r="319" spans="1:17" x14ac:dyDescent="0.4">
      <c r="A319">
        <v>317</v>
      </c>
      <c r="B319">
        <v>1</v>
      </c>
      <c r="C319">
        <v>0</v>
      </c>
      <c r="D319">
        <v>26</v>
      </c>
      <c r="E319">
        <v>24</v>
      </c>
      <c r="F319">
        <v>1</v>
      </c>
      <c r="G319">
        <v>0</v>
      </c>
      <c r="H319">
        <v>1</v>
      </c>
      <c r="I319">
        <v>0</v>
      </c>
      <c r="J319">
        <v>1</v>
      </c>
      <c r="K319">
        <v>0</v>
      </c>
      <c r="L319">
        <v>0</v>
      </c>
      <c r="M319">
        <v>1</v>
      </c>
      <c r="N319">
        <v>1</v>
      </c>
      <c r="O319" s="14">
        <f t="shared" si="13"/>
        <v>1</v>
      </c>
      <c r="P319">
        <f t="shared" si="12"/>
        <v>0.8212000812929009</v>
      </c>
      <c r="Q319">
        <f t="shared" si="14"/>
        <v>-0.19698849484454697</v>
      </c>
    </row>
    <row r="320" spans="1:17" x14ac:dyDescent="0.4">
      <c r="A320">
        <v>318</v>
      </c>
      <c r="B320">
        <v>0</v>
      </c>
      <c r="C320">
        <v>0</v>
      </c>
      <c r="D320">
        <v>14</v>
      </c>
      <c r="E320">
        <v>54</v>
      </c>
      <c r="F320">
        <v>0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1</v>
      </c>
      <c r="N320">
        <v>0</v>
      </c>
      <c r="O320" s="14">
        <f t="shared" si="13"/>
        <v>0</v>
      </c>
      <c r="P320">
        <f t="shared" si="12"/>
        <v>0.11334639176708508</v>
      </c>
      <c r="Q320">
        <f t="shared" si="14"/>
        <v>-0.12030089353981635</v>
      </c>
    </row>
    <row r="321" spans="1:17" x14ac:dyDescent="0.4">
      <c r="A321">
        <v>319</v>
      </c>
      <c r="B321">
        <v>0</v>
      </c>
      <c r="C321">
        <v>2</v>
      </c>
      <c r="D321">
        <v>164.86670000000001</v>
      </c>
      <c r="E321">
        <v>31</v>
      </c>
      <c r="F321">
        <v>1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1</v>
      </c>
      <c r="N321">
        <v>1</v>
      </c>
      <c r="O321" s="14">
        <f t="shared" si="13"/>
        <v>1</v>
      </c>
      <c r="P321">
        <f t="shared" si="12"/>
        <v>0.93306437519588725</v>
      </c>
      <c r="Q321">
        <f t="shared" si="14"/>
        <v>-6.9281082448718861E-2</v>
      </c>
    </row>
    <row r="322" spans="1:17" x14ac:dyDescent="0.4">
      <c r="A322">
        <v>320</v>
      </c>
      <c r="B322">
        <v>1</v>
      </c>
      <c r="C322">
        <v>1</v>
      </c>
      <c r="D322">
        <v>134.5</v>
      </c>
      <c r="E322">
        <v>40</v>
      </c>
      <c r="F322">
        <v>1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1</v>
      </c>
      <c r="N322">
        <v>1</v>
      </c>
      <c r="O322" s="14">
        <f t="shared" si="13"/>
        <v>1</v>
      </c>
      <c r="P322">
        <f t="shared" si="12"/>
        <v>0.91858436116987685</v>
      </c>
      <c r="Q322">
        <f t="shared" si="14"/>
        <v>-8.4921531870813402E-2</v>
      </c>
    </row>
    <row r="323" spans="1:17" x14ac:dyDescent="0.4">
      <c r="A323">
        <v>321</v>
      </c>
      <c r="B323">
        <v>0</v>
      </c>
      <c r="C323">
        <v>0</v>
      </c>
      <c r="D323">
        <v>7.25</v>
      </c>
      <c r="E323">
        <v>22</v>
      </c>
      <c r="F323">
        <v>0</v>
      </c>
      <c r="G323">
        <v>0</v>
      </c>
      <c r="H323">
        <v>0</v>
      </c>
      <c r="I323">
        <v>1</v>
      </c>
      <c r="J323">
        <v>1</v>
      </c>
      <c r="K323">
        <v>0</v>
      </c>
      <c r="L323">
        <v>0</v>
      </c>
      <c r="M323">
        <v>1</v>
      </c>
      <c r="N323">
        <v>0</v>
      </c>
      <c r="O323" s="14">
        <f t="shared" si="13"/>
        <v>0</v>
      </c>
      <c r="P323">
        <f t="shared" ref="P323:P386" si="15">1/(1+EXP(-SUMPRODUCT(B$1:M$1,B323:M323)))</f>
        <v>0.11207865290581157</v>
      </c>
      <c r="Q323">
        <f t="shared" si="14"/>
        <v>-0.11887211300492506</v>
      </c>
    </row>
    <row r="324" spans="1:17" x14ac:dyDescent="0.4">
      <c r="A324">
        <v>322</v>
      </c>
      <c r="B324">
        <v>0</v>
      </c>
      <c r="C324">
        <v>0</v>
      </c>
      <c r="D324">
        <v>7.8958000000000004</v>
      </c>
      <c r="E324">
        <v>27</v>
      </c>
      <c r="F324">
        <v>0</v>
      </c>
      <c r="G324">
        <v>0</v>
      </c>
      <c r="H324">
        <v>0</v>
      </c>
      <c r="I324">
        <v>1</v>
      </c>
      <c r="J324">
        <v>1</v>
      </c>
      <c r="K324">
        <v>0</v>
      </c>
      <c r="L324">
        <v>0</v>
      </c>
      <c r="M324">
        <v>1</v>
      </c>
      <c r="N324">
        <v>0</v>
      </c>
      <c r="O324" s="14">
        <f t="shared" ref="O324:O387" si="16">IF(P324&gt;0.5,1,0)</f>
        <v>0</v>
      </c>
      <c r="P324">
        <f t="shared" si="15"/>
        <v>9.4421989593427111E-2</v>
      </c>
      <c r="Q324">
        <f t="shared" ref="Q324:Q387" si="17">N324*LN(P324)+(1-N324)*LN(1-P324)</f>
        <v>-9.9181853622888158E-2</v>
      </c>
    </row>
    <row r="325" spans="1:17" x14ac:dyDescent="0.4">
      <c r="A325">
        <v>323</v>
      </c>
      <c r="B325">
        <v>0</v>
      </c>
      <c r="C325">
        <v>0</v>
      </c>
      <c r="D325">
        <v>12.35</v>
      </c>
      <c r="E325">
        <v>30</v>
      </c>
      <c r="F325">
        <v>1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1</v>
      </c>
      <c r="N325">
        <v>1</v>
      </c>
      <c r="O325" s="14">
        <f t="shared" si="16"/>
        <v>1</v>
      </c>
      <c r="P325">
        <f t="shared" si="15"/>
        <v>0.87670468442596428</v>
      </c>
      <c r="Q325">
        <f t="shared" si="17"/>
        <v>-0.13158507715336731</v>
      </c>
    </row>
    <row r="326" spans="1:17" x14ac:dyDescent="0.4">
      <c r="A326">
        <v>324</v>
      </c>
      <c r="B326">
        <v>1</v>
      </c>
      <c r="C326">
        <v>1</v>
      </c>
      <c r="D326">
        <v>29</v>
      </c>
      <c r="E326">
        <v>22</v>
      </c>
      <c r="F326">
        <v>1</v>
      </c>
      <c r="G326">
        <v>0</v>
      </c>
      <c r="H326">
        <v>1</v>
      </c>
      <c r="I326">
        <v>0</v>
      </c>
      <c r="J326">
        <v>1</v>
      </c>
      <c r="K326">
        <v>0</v>
      </c>
      <c r="L326">
        <v>0</v>
      </c>
      <c r="M326">
        <v>1</v>
      </c>
      <c r="N326">
        <v>1</v>
      </c>
      <c r="O326" s="14">
        <f t="shared" si="16"/>
        <v>1</v>
      </c>
      <c r="P326">
        <f t="shared" si="15"/>
        <v>0.81983143636876676</v>
      </c>
      <c r="Q326">
        <f t="shared" si="17"/>
        <v>-0.19865652525924485</v>
      </c>
    </row>
    <row r="327" spans="1:17" x14ac:dyDescent="0.4">
      <c r="A327">
        <v>325</v>
      </c>
      <c r="B327">
        <v>8</v>
      </c>
      <c r="C327">
        <v>2</v>
      </c>
      <c r="D327">
        <v>69.55</v>
      </c>
      <c r="E327">
        <v>28</v>
      </c>
      <c r="F327">
        <v>0</v>
      </c>
      <c r="G327">
        <v>0</v>
      </c>
      <c r="H327">
        <v>0</v>
      </c>
      <c r="I327">
        <v>1</v>
      </c>
      <c r="J327">
        <v>1</v>
      </c>
      <c r="K327">
        <v>0</v>
      </c>
      <c r="L327">
        <v>0</v>
      </c>
      <c r="M327">
        <v>1</v>
      </c>
      <c r="N327">
        <v>0</v>
      </c>
      <c r="O327" s="14">
        <f t="shared" si="16"/>
        <v>0</v>
      </c>
      <c r="P327">
        <f t="shared" si="15"/>
        <v>7.265748081018826E-3</v>
      </c>
      <c r="Q327">
        <f t="shared" si="17"/>
        <v>-7.2922721850061699E-3</v>
      </c>
    </row>
    <row r="328" spans="1:17" x14ac:dyDescent="0.4">
      <c r="A328">
        <v>326</v>
      </c>
      <c r="B328">
        <v>0</v>
      </c>
      <c r="C328">
        <v>0</v>
      </c>
      <c r="D328">
        <v>135.63329999999999</v>
      </c>
      <c r="E328">
        <v>36</v>
      </c>
      <c r="F328">
        <v>1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1</v>
      </c>
      <c r="N328">
        <v>1</v>
      </c>
      <c r="O328" s="14">
        <f t="shared" si="16"/>
        <v>1</v>
      </c>
      <c r="P328">
        <f t="shared" si="15"/>
        <v>0.95236171291056582</v>
      </c>
      <c r="Q328">
        <f t="shared" si="17"/>
        <v>-4.881036581738981E-2</v>
      </c>
    </row>
    <row r="329" spans="1:17" x14ac:dyDescent="0.4">
      <c r="A329">
        <v>327</v>
      </c>
      <c r="B329">
        <v>0</v>
      </c>
      <c r="C329">
        <v>0</v>
      </c>
      <c r="D329">
        <v>6.2374999999999998</v>
      </c>
      <c r="E329">
        <v>61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1</v>
      </c>
      <c r="N329">
        <v>0</v>
      </c>
      <c r="O329" s="14">
        <f t="shared" si="16"/>
        <v>0</v>
      </c>
      <c r="P329">
        <f t="shared" si="15"/>
        <v>2.7264036162496792E-2</v>
      </c>
      <c r="Q329">
        <f t="shared" si="17"/>
        <v>-2.7642596584206817E-2</v>
      </c>
    </row>
    <row r="330" spans="1:17" x14ac:dyDescent="0.4">
      <c r="A330">
        <v>328</v>
      </c>
      <c r="B330">
        <v>0</v>
      </c>
      <c r="C330">
        <v>0</v>
      </c>
      <c r="D330">
        <v>13</v>
      </c>
      <c r="E330">
        <v>36</v>
      </c>
      <c r="F330">
        <v>1</v>
      </c>
      <c r="G330">
        <v>0</v>
      </c>
      <c r="H330">
        <v>1</v>
      </c>
      <c r="I330">
        <v>0</v>
      </c>
      <c r="J330">
        <v>1</v>
      </c>
      <c r="K330">
        <v>0</v>
      </c>
      <c r="L330">
        <v>0</v>
      </c>
      <c r="M330">
        <v>1</v>
      </c>
      <c r="N330">
        <v>1</v>
      </c>
      <c r="O330" s="14">
        <f t="shared" si="16"/>
        <v>1</v>
      </c>
      <c r="P330">
        <f t="shared" si="15"/>
        <v>0.79473719807308152</v>
      </c>
      <c r="Q330">
        <f t="shared" si="17"/>
        <v>-0.2297437874391357</v>
      </c>
    </row>
    <row r="331" spans="1:17" x14ac:dyDescent="0.4">
      <c r="A331">
        <v>329</v>
      </c>
      <c r="B331">
        <v>1</v>
      </c>
      <c r="C331">
        <v>1</v>
      </c>
      <c r="D331">
        <v>20.524999999999999</v>
      </c>
      <c r="E331">
        <v>31</v>
      </c>
      <c r="F331">
        <v>1</v>
      </c>
      <c r="G331">
        <v>0</v>
      </c>
      <c r="H331">
        <v>0</v>
      </c>
      <c r="I331">
        <v>1</v>
      </c>
      <c r="J331">
        <v>1</v>
      </c>
      <c r="K331">
        <v>0</v>
      </c>
      <c r="L331">
        <v>0</v>
      </c>
      <c r="M331">
        <v>1</v>
      </c>
      <c r="N331">
        <v>1</v>
      </c>
      <c r="O331" s="14">
        <f t="shared" si="16"/>
        <v>0</v>
      </c>
      <c r="P331">
        <f t="shared" si="15"/>
        <v>0.47974865004605988</v>
      </c>
      <c r="Q331">
        <f t="shared" si="17"/>
        <v>-0.73449295796788572</v>
      </c>
    </row>
    <row r="332" spans="1:17" x14ac:dyDescent="0.4">
      <c r="A332">
        <v>330</v>
      </c>
      <c r="B332">
        <v>0</v>
      </c>
      <c r="C332">
        <v>1</v>
      </c>
      <c r="D332">
        <v>57.979199999999999</v>
      </c>
      <c r="E332">
        <v>16</v>
      </c>
      <c r="F332">
        <v>1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1</v>
      </c>
      <c r="N332">
        <v>1</v>
      </c>
      <c r="O332" s="14">
        <f t="shared" si="16"/>
        <v>1</v>
      </c>
      <c r="P332">
        <f t="shared" si="15"/>
        <v>0.97042639339965908</v>
      </c>
      <c r="Q332">
        <f t="shared" si="17"/>
        <v>-3.0019723247664064E-2</v>
      </c>
    </row>
    <row r="333" spans="1:17" x14ac:dyDescent="0.4">
      <c r="A333">
        <v>331</v>
      </c>
      <c r="B333">
        <v>2</v>
      </c>
      <c r="C333">
        <v>0</v>
      </c>
      <c r="D333">
        <v>23.25</v>
      </c>
      <c r="E333">
        <v>28</v>
      </c>
      <c r="F333">
        <v>1</v>
      </c>
      <c r="G333">
        <v>0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1</v>
      </c>
      <c r="N333">
        <v>1</v>
      </c>
      <c r="O333" s="14">
        <f t="shared" si="16"/>
        <v>1</v>
      </c>
      <c r="P333">
        <f t="shared" si="15"/>
        <v>0.54749769479330423</v>
      </c>
      <c r="Q333">
        <f t="shared" si="17"/>
        <v>-0.60239702772353365</v>
      </c>
    </row>
    <row r="334" spans="1:17" x14ac:dyDescent="0.4">
      <c r="A334">
        <v>332</v>
      </c>
      <c r="B334">
        <v>0</v>
      </c>
      <c r="C334">
        <v>0</v>
      </c>
      <c r="D334">
        <v>28.5</v>
      </c>
      <c r="E334">
        <v>45.5</v>
      </c>
      <c r="F334">
        <v>0</v>
      </c>
      <c r="G334">
        <v>1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1</v>
      </c>
      <c r="N334">
        <v>0</v>
      </c>
      <c r="O334" s="14">
        <f t="shared" si="16"/>
        <v>0</v>
      </c>
      <c r="P334">
        <f t="shared" si="15"/>
        <v>0.31525311690617219</v>
      </c>
      <c r="Q334">
        <f t="shared" si="17"/>
        <v>-0.37870602273857146</v>
      </c>
    </row>
    <row r="335" spans="1:17" x14ac:dyDescent="0.4">
      <c r="A335">
        <v>333</v>
      </c>
      <c r="B335">
        <v>0</v>
      </c>
      <c r="C335">
        <v>1</v>
      </c>
      <c r="D335">
        <v>153.46250000000001</v>
      </c>
      <c r="E335">
        <v>38</v>
      </c>
      <c r="F335">
        <v>0</v>
      </c>
      <c r="G335">
        <v>1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1</v>
      </c>
      <c r="N335">
        <v>0</v>
      </c>
      <c r="O335" s="14">
        <f t="shared" si="16"/>
        <v>0</v>
      </c>
      <c r="P335">
        <f t="shared" si="15"/>
        <v>0.42852994870869709</v>
      </c>
      <c r="Q335">
        <f t="shared" si="17"/>
        <v>-0.55954320081015174</v>
      </c>
    </row>
    <row r="336" spans="1:17" x14ac:dyDescent="0.4">
      <c r="A336">
        <v>334</v>
      </c>
      <c r="B336">
        <v>2</v>
      </c>
      <c r="C336">
        <v>0</v>
      </c>
      <c r="D336">
        <v>18</v>
      </c>
      <c r="E336">
        <v>16</v>
      </c>
      <c r="F336">
        <v>0</v>
      </c>
      <c r="G336">
        <v>0</v>
      </c>
      <c r="H336">
        <v>0</v>
      </c>
      <c r="I336">
        <v>1</v>
      </c>
      <c r="J336">
        <v>1</v>
      </c>
      <c r="K336">
        <v>0</v>
      </c>
      <c r="L336">
        <v>0</v>
      </c>
      <c r="M336">
        <v>1</v>
      </c>
      <c r="N336">
        <v>0</v>
      </c>
      <c r="O336" s="14">
        <f t="shared" si="16"/>
        <v>0</v>
      </c>
      <c r="P336">
        <f t="shared" si="15"/>
        <v>7.8910188736242837E-2</v>
      </c>
      <c r="Q336">
        <f t="shared" si="17"/>
        <v>-8.2197732536741647E-2</v>
      </c>
    </row>
    <row r="337" spans="1:17" x14ac:dyDescent="0.4">
      <c r="A337">
        <v>335</v>
      </c>
      <c r="B337">
        <v>1</v>
      </c>
      <c r="C337">
        <v>0</v>
      </c>
      <c r="D337">
        <v>133.65</v>
      </c>
      <c r="E337">
        <v>28</v>
      </c>
      <c r="F337">
        <v>1</v>
      </c>
      <c r="G337">
        <v>1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1</v>
      </c>
      <c r="N337">
        <v>1</v>
      </c>
      <c r="O337" s="14">
        <f t="shared" si="16"/>
        <v>1</v>
      </c>
      <c r="P337">
        <f t="shared" si="15"/>
        <v>0.92704144082000206</v>
      </c>
      <c r="Q337">
        <f t="shared" si="17"/>
        <v>-7.5757010186789209E-2</v>
      </c>
    </row>
    <row r="338" spans="1:17" x14ac:dyDescent="0.4">
      <c r="A338">
        <v>336</v>
      </c>
      <c r="B338">
        <v>0</v>
      </c>
      <c r="C338">
        <v>0</v>
      </c>
      <c r="D338">
        <v>7.8958000000000004</v>
      </c>
      <c r="E338">
        <v>28</v>
      </c>
      <c r="F338">
        <v>0</v>
      </c>
      <c r="G338">
        <v>0</v>
      </c>
      <c r="H338">
        <v>0</v>
      </c>
      <c r="I338">
        <v>1</v>
      </c>
      <c r="J338">
        <v>1</v>
      </c>
      <c r="K338">
        <v>0</v>
      </c>
      <c r="L338">
        <v>0</v>
      </c>
      <c r="M338">
        <v>1</v>
      </c>
      <c r="N338">
        <v>0</v>
      </c>
      <c r="O338" s="14">
        <f t="shared" si="16"/>
        <v>0</v>
      </c>
      <c r="P338">
        <f t="shared" si="15"/>
        <v>9.117888566880443E-2</v>
      </c>
      <c r="Q338">
        <f t="shared" si="17"/>
        <v>-9.5606998086197895E-2</v>
      </c>
    </row>
    <row r="339" spans="1:17" x14ac:dyDescent="0.4">
      <c r="A339">
        <v>337</v>
      </c>
      <c r="B339">
        <v>1</v>
      </c>
      <c r="C339">
        <v>0</v>
      </c>
      <c r="D339">
        <v>66.599999999999994</v>
      </c>
      <c r="E339">
        <v>29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 s="14">
        <f t="shared" si="16"/>
        <v>0</v>
      </c>
      <c r="P339">
        <f t="shared" si="15"/>
        <v>0.40785735680025242</v>
      </c>
      <c r="Q339">
        <f t="shared" si="17"/>
        <v>-0.52400772177132093</v>
      </c>
    </row>
    <row r="340" spans="1:17" x14ac:dyDescent="0.4">
      <c r="A340">
        <v>338</v>
      </c>
      <c r="B340">
        <v>0</v>
      </c>
      <c r="C340">
        <v>0</v>
      </c>
      <c r="D340">
        <v>134.5</v>
      </c>
      <c r="E340">
        <v>41</v>
      </c>
      <c r="F340">
        <v>1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1</v>
      </c>
      <c r="N340">
        <v>1</v>
      </c>
      <c r="O340" s="14">
        <f t="shared" si="16"/>
        <v>1</v>
      </c>
      <c r="P340">
        <f t="shared" si="15"/>
        <v>0.94267746202597791</v>
      </c>
      <c r="Q340">
        <f t="shared" si="17"/>
        <v>-5.9031088762321743E-2</v>
      </c>
    </row>
    <row r="341" spans="1:17" x14ac:dyDescent="0.4">
      <c r="A341">
        <v>339</v>
      </c>
      <c r="B341">
        <v>0</v>
      </c>
      <c r="C341">
        <v>0</v>
      </c>
      <c r="D341">
        <v>8.0500000000000007</v>
      </c>
      <c r="E341">
        <v>45</v>
      </c>
      <c r="F341">
        <v>0</v>
      </c>
      <c r="G341">
        <v>0</v>
      </c>
      <c r="H341">
        <v>0</v>
      </c>
      <c r="I341">
        <v>1</v>
      </c>
      <c r="J341">
        <v>1</v>
      </c>
      <c r="K341">
        <v>0</v>
      </c>
      <c r="L341">
        <v>0</v>
      </c>
      <c r="M341">
        <v>1</v>
      </c>
      <c r="N341">
        <v>1</v>
      </c>
      <c r="O341" s="14">
        <f t="shared" si="16"/>
        <v>0</v>
      </c>
      <c r="P341">
        <f t="shared" si="15"/>
        <v>4.9552622196507662E-2</v>
      </c>
      <c r="Q341">
        <f t="shared" si="17"/>
        <v>-3.0047200993943033</v>
      </c>
    </row>
    <row r="342" spans="1:17" x14ac:dyDescent="0.4">
      <c r="A342">
        <v>340</v>
      </c>
      <c r="B342">
        <v>0</v>
      </c>
      <c r="C342">
        <v>0</v>
      </c>
      <c r="D342">
        <v>35.5</v>
      </c>
      <c r="E342">
        <v>45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1</v>
      </c>
      <c r="N342">
        <v>0</v>
      </c>
      <c r="O342" s="14">
        <f t="shared" si="16"/>
        <v>0</v>
      </c>
      <c r="P342">
        <f t="shared" si="15"/>
        <v>0.32299534562419291</v>
      </c>
      <c r="Q342">
        <f t="shared" si="17"/>
        <v>-0.39007713109230269</v>
      </c>
    </row>
    <row r="343" spans="1:17" x14ac:dyDescent="0.4">
      <c r="A343">
        <v>341</v>
      </c>
      <c r="B343">
        <v>1</v>
      </c>
      <c r="C343">
        <v>1</v>
      </c>
      <c r="D343">
        <v>26</v>
      </c>
      <c r="E343">
        <v>2</v>
      </c>
      <c r="F343">
        <v>0</v>
      </c>
      <c r="G343">
        <v>0</v>
      </c>
      <c r="H343">
        <v>1</v>
      </c>
      <c r="I343">
        <v>0</v>
      </c>
      <c r="J343">
        <v>1</v>
      </c>
      <c r="K343">
        <v>0</v>
      </c>
      <c r="L343">
        <v>0</v>
      </c>
      <c r="M343">
        <v>1</v>
      </c>
      <c r="N343">
        <v>1</v>
      </c>
      <c r="O343" s="14">
        <f t="shared" si="16"/>
        <v>0</v>
      </c>
      <c r="P343">
        <f t="shared" si="15"/>
        <v>0.39152503941264799</v>
      </c>
      <c r="Q343">
        <f t="shared" si="17"/>
        <v>-0.93770580796519654</v>
      </c>
    </row>
    <row r="344" spans="1:17" x14ac:dyDescent="0.4">
      <c r="A344">
        <v>342</v>
      </c>
      <c r="B344">
        <v>3</v>
      </c>
      <c r="C344">
        <v>2</v>
      </c>
      <c r="D344">
        <v>263</v>
      </c>
      <c r="E344">
        <v>24</v>
      </c>
      <c r="F344">
        <v>1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1</v>
      </c>
      <c r="N344">
        <v>1</v>
      </c>
      <c r="O344" s="14">
        <f t="shared" si="16"/>
        <v>1</v>
      </c>
      <c r="P344">
        <f t="shared" si="15"/>
        <v>0.89735099701547782</v>
      </c>
      <c r="Q344">
        <f t="shared" si="17"/>
        <v>-0.10830819244102002</v>
      </c>
    </row>
    <row r="345" spans="1:17" x14ac:dyDescent="0.4">
      <c r="A345">
        <v>343</v>
      </c>
      <c r="B345">
        <v>0</v>
      </c>
      <c r="C345">
        <v>0</v>
      </c>
      <c r="D345">
        <v>13</v>
      </c>
      <c r="E345">
        <v>28</v>
      </c>
      <c r="F345">
        <v>0</v>
      </c>
      <c r="G345">
        <v>0</v>
      </c>
      <c r="H345">
        <v>1</v>
      </c>
      <c r="I345">
        <v>0</v>
      </c>
      <c r="J345">
        <v>1</v>
      </c>
      <c r="K345">
        <v>0</v>
      </c>
      <c r="L345">
        <v>0</v>
      </c>
      <c r="M345">
        <v>1</v>
      </c>
      <c r="N345">
        <v>0</v>
      </c>
      <c r="O345" s="14">
        <f t="shared" si="16"/>
        <v>0</v>
      </c>
      <c r="P345">
        <f t="shared" si="15"/>
        <v>0.25775272128777227</v>
      </c>
      <c r="Q345">
        <f t="shared" si="17"/>
        <v>-0.29807283161345921</v>
      </c>
    </row>
    <row r="346" spans="1:17" x14ac:dyDescent="0.4">
      <c r="A346">
        <v>344</v>
      </c>
      <c r="B346">
        <v>0</v>
      </c>
      <c r="C346">
        <v>0</v>
      </c>
      <c r="D346">
        <v>13</v>
      </c>
      <c r="E346">
        <v>25</v>
      </c>
      <c r="F346">
        <v>0</v>
      </c>
      <c r="G346">
        <v>0</v>
      </c>
      <c r="H346">
        <v>1</v>
      </c>
      <c r="I346">
        <v>0</v>
      </c>
      <c r="J346">
        <v>1</v>
      </c>
      <c r="K346">
        <v>0</v>
      </c>
      <c r="L346">
        <v>0</v>
      </c>
      <c r="M346">
        <v>1</v>
      </c>
      <c r="N346">
        <v>0</v>
      </c>
      <c r="O346" s="14">
        <f t="shared" si="16"/>
        <v>0</v>
      </c>
      <c r="P346">
        <f t="shared" si="15"/>
        <v>0.28047527789571319</v>
      </c>
      <c r="Q346">
        <f t="shared" si="17"/>
        <v>-0.32916439312786339</v>
      </c>
    </row>
    <row r="347" spans="1:17" x14ac:dyDescent="0.4">
      <c r="A347">
        <v>345</v>
      </c>
      <c r="B347">
        <v>0</v>
      </c>
      <c r="C347">
        <v>0</v>
      </c>
      <c r="D347">
        <v>13</v>
      </c>
      <c r="E347">
        <v>36</v>
      </c>
      <c r="F347">
        <v>0</v>
      </c>
      <c r="G347">
        <v>0</v>
      </c>
      <c r="H347">
        <v>1</v>
      </c>
      <c r="I347">
        <v>0</v>
      </c>
      <c r="J347">
        <v>1</v>
      </c>
      <c r="K347">
        <v>0</v>
      </c>
      <c r="L347">
        <v>0</v>
      </c>
      <c r="M347">
        <v>1</v>
      </c>
      <c r="N347">
        <v>0</v>
      </c>
      <c r="O347" s="14">
        <f t="shared" si="16"/>
        <v>0</v>
      </c>
      <c r="P347">
        <f t="shared" si="15"/>
        <v>0.20328539071501031</v>
      </c>
      <c r="Q347">
        <f t="shared" si="17"/>
        <v>-0.22725874551655936</v>
      </c>
    </row>
    <row r="348" spans="1:17" x14ac:dyDescent="0.4">
      <c r="A348">
        <v>346</v>
      </c>
      <c r="B348">
        <v>0</v>
      </c>
      <c r="C348">
        <v>0</v>
      </c>
      <c r="D348">
        <v>13</v>
      </c>
      <c r="E348">
        <v>24</v>
      </c>
      <c r="F348">
        <v>1</v>
      </c>
      <c r="G348">
        <v>0</v>
      </c>
      <c r="H348">
        <v>1</v>
      </c>
      <c r="I348">
        <v>0</v>
      </c>
      <c r="J348">
        <v>1</v>
      </c>
      <c r="K348">
        <v>0</v>
      </c>
      <c r="L348">
        <v>0</v>
      </c>
      <c r="M348">
        <v>1</v>
      </c>
      <c r="N348">
        <v>1</v>
      </c>
      <c r="O348" s="14">
        <f t="shared" si="16"/>
        <v>1</v>
      </c>
      <c r="P348">
        <f t="shared" si="15"/>
        <v>0.86008862345668224</v>
      </c>
      <c r="Q348">
        <f t="shared" si="17"/>
        <v>-0.15071984451289899</v>
      </c>
    </row>
    <row r="349" spans="1:17" x14ac:dyDescent="0.4">
      <c r="A349">
        <v>347</v>
      </c>
      <c r="B349">
        <v>0</v>
      </c>
      <c r="C349">
        <v>0</v>
      </c>
      <c r="D349">
        <v>13</v>
      </c>
      <c r="E349">
        <v>40</v>
      </c>
      <c r="F349">
        <v>1</v>
      </c>
      <c r="G349">
        <v>0</v>
      </c>
      <c r="H349">
        <v>1</v>
      </c>
      <c r="I349">
        <v>0</v>
      </c>
      <c r="J349">
        <v>1</v>
      </c>
      <c r="K349">
        <v>0</v>
      </c>
      <c r="L349">
        <v>0</v>
      </c>
      <c r="M349">
        <v>1</v>
      </c>
      <c r="N349">
        <v>1</v>
      </c>
      <c r="O349" s="14">
        <f t="shared" si="16"/>
        <v>1</v>
      </c>
      <c r="P349">
        <f t="shared" si="15"/>
        <v>0.76845689523832383</v>
      </c>
      <c r="Q349">
        <f t="shared" si="17"/>
        <v>-0.26337080705174037</v>
      </c>
    </row>
    <row r="350" spans="1:17" x14ac:dyDescent="0.4">
      <c r="A350">
        <v>348</v>
      </c>
      <c r="B350">
        <v>1</v>
      </c>
      <c r="C350">
        <v>0</v>
      </c>
      <c r="D350">
        <v>16.100000000000001</v>
      </c>
      <c r="E350">
        <v>28</v>
      </c>
      <c r="F350">
        <v>1</v>
      </c>
      <c r="G350">
        <v>0</v>
      </c>
      <c r="H350">
        <v>0</v>
      </c>
      <c r="I350">
        <v>1</v>
      </c>
      <c r="J350">
        <v>1</v>
      </c>
      <c r="K350">
        <v>0</v>
      </c>
      <c r="L350">
        <v>0</v>
      </c>
      <c r="M350">
        <v>1</v>
      </c>
      <c r="N350">
        <v>1</v>
      </c>
      <c r="O350" s="14">
        <f t="shared" si="16"/>
        <v>1</v>
      </c>
      <c r="P350">
        <f t="shared" si="15"/>
        <v>0.52935088053731072</v>
      </c>
      <c r="Q350">
        <f t="shared" si="17"/>
        <v>-0.63610377676292229</v>
      </c>
    </row>
    <row r="351" spans="1:17" x14ac:dyDescent="0.4">
      <c r="A351">
        <v>349</v>
      </c>
      <c r="B351">
        <v>1</v>
      </c>
      <c r="C351">
        <v>1</v>
      </c>
      <c r="D351">
        <v>15.9</v>
      </c>
      <c r="E351">
        <v>3</v>
      </c>
      <c r="F351">
        <v>0</v>
      </c>
      <c r="G351">
        <v>0</v>
      </c>
      <c r="H351">
        <v>0</v>
      </c>
      <c r="I351">
        <v>1</v>
      </c>
      <c r="J351">
        <v>1</v>
      </c>
      <c r="K351">
        <v>0</v>
      </c>
      <c r="L351">
        <v>0</v>
      </c>
      <c r="M351">
        <v>1</v>
      </c>
      <c r="N351">
        <v>1</v>
      </c>
      <c r="O351" s="14">
        <f t="shared" si="16"/>
        <v>0</v>
      </c>
      <c r="P351">
        <f t="shared" si="15"/>
        <v>0.15023510642793939</v>
      </c>
      <c r="Q351">
        <f t="shared" si="17"/>
        <v>-1.8955538357516726</v>
      </c>
    </row>
    <row r="352" spans="1:17" x14ac:dyDescent="0.4">
      <c r="A352">
        <v>350</v>
      </c>
      <c r="B352">
        <v>0</v>
      </c>
      <c r="C352">
        <v>0</v>
      </c>
      <c r="D352">
        <v>8.6624999999999996</v>
      </c>
      <c r="E352">
        <v>42</v>
      </c>
      <c r="F352">
        <v>0</v>
      </c>
      <c r="G352">
        <v>0</v>
      </c>
      <c r="H352">
        <v>0</v>
      </c>
      <c r="I352">
        <v>1</v>
      </c>
      <c r="J352">
        <v>1</v>
      </c>
      <c r="K352">
        <v>0</v>
      </c>
      <c r="L352">
        <v>0</v>
      </c>
      <c r="M352">
        <v>1</v>
      </c>
      <c r="N352">
        <v>0</v>
      </c>
      <c r="O352" s="14">
        <f t="shared" si="16"/>
        <v>0</v>
      </c>
      <c r="P352">
        <f t="shared" si="15"/>
        <v>5.5363025383285733E-2</v>
      </c>
      <c r="Q352">
        <f t="shared" si="17"/>
        <v>-5.6954579139131843E-2</v>
      </c>
    </row>
    <row r="353" spans="1:17" x14ac:dyDescent="0.4">
      <c r="A353">
        <v>351</v>
      </c>
      <c r="B353">
        <v>0</v>
      </c>
      <c r="C353">
        <v>0</v>
      </c>
      <c r="D353">
        <v>9.2249999999999996</v>
      </c>
      <c r="E353">
        <v>23</v>
      </c>
      <c r="F353">
        <v>0</v>
      </c>
      <c r="G353">
        <v>0</v>
      </c>
      <c r="H353">
        <v>0</v>
      </c>
      <c r="I353">
        <v>1</v>
      </c>
      <c r="J353">
        <v>1</v>
      </c>
      <c r="K353">
        <v>0</v>
      </c>
      <c r="L353">
        <v>0</v>
      </c>
      <c r="M353">
        <v>1</v>
      </c>
      <c r="N353">
        <v>0</v>
      </c>
      <c r="O353" s="14">
        <f t="shared" si="16"/>
        <v>0</v>
      </c>
      <c r="P353">
        <f t="shared" si="15"/>
        <v>0.10874848081102433</v>
      </c>
      <c r="Q353">
        <f t="shared" si="17"/>
        <v>-0.11512860269522357</v>
      </c>
    </row>
    <row r="354" spans="1:17" x14ac:dyDescent="0.4">
      <c r="A354">
        <v>352</v>
      </c>
      <c r="B354">
        <v>0</v>
      </c>
      <c r="C354">
        <v>0</v>
      </c>
      <c r="D354">
        <v>35</v>
      </c>
      <c r="E354">
        <v>28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1</v>
      </c>
      <c r="N354">
        <v>0</v>
      </c>
      <c r="O354" s="14">
        <f t="shared" si="16"/>
        <v>0</v>
      </c>
      <c r="P354">
        <f t="shared" si="15"/>
        <v>0.478444308725538</v>
      </c>
      <c r="Q354">
        <f t="shared" si="17"/>
        <v>-0.65093921968795876</v>
      </c>
    </row>
    <row r="355" spans="1:17" x14ac:dyDescent="0.4">
      <c r="A355">
        <v>353</v>
      </c>
      <c r="B355">
        <v>1</v>
      </c>
      <c r="C355">
        <v>1</v>
      </c>
      <c r="D355">
        <v>7.2291999999999996</v>
      </c>
      <c r="E355">
        <v>15</v>
      </c>
      <c r="F355">
        <v>0</v>
      </c>
      <c r="G355">
        <v>0</v>
      </c>
      <c r="H355">
        <v>0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 s="14">
        <f t="shared" si="16"/>
        <v>0</v>
      </c>
      <c r="P355">
        <f t="shared" si="15"/>
        <v>0.14424093111985187</v>
      </c>
      <c r="Q355">
        <f t="shared" si="17"/>
        <v>-0.1557664040467539</v>
      </c>
    </row>
    <row r="356" spans="1:17" x14ac:dyDescent="0.4">
      <c r="A356">
        <v>354</v>
      </c>
      <c r="B356">
        <v>1</v>
      </c>
      <c r="C356">
        <v>0</v>
      </c>
      <c r="D356">
        <v>17.8</v>
      </c>
      <c r="E356">
        <v>25</v>
      </c>
      <c r="F356">
        <v>0</v>
      </c>
      <c r="G356">
        <v>0</v>
      </c>
      <c r="H356">
        <v>0</v>
      </c>
      <c r="I356">
        <v>1</v>
      </c>
      <c r="J356">
        <v>1</v>
      </c>
      <c r="K356">
        <v>0</v>
      </c>
      <c r="L356">
        <v>0</v>
      </c>
      <c r="M356">
        <v>1</v>
      </c>
      <c r="N356">
        <v>0</v>
      </c>
      <c r="O356" s="14">
        <f t="shared" si="16"/>
        <v>0</v>
      </c>
      <c r="P356">
        <f t="shared" si="15"/>
        <v>7.7093051961929587E-2</v>
      </c>
      <c r="Q356">
        <f t="shared" si="17"/>
        <v>-8.0226864254742514E-2</v>
      </c>
    </row>
    <row r="357" spans="1:17" x14ac:dyDescent="0.4">
      <c r="A357">
        <v>355</v>
      </c>
      <c r="B357">
        <v>0</v>
      </c>
      <c r="C357">
        <v>0</v>
      </c>
      <c r="D357">
        <v>7.2249999999999996</v>
      </c>
      <c r="E357">
        <v>28</v>
      </c>
      <c r="F357">
        <v>0</v>
      </c>
      <c r="G357">
        <v>0</v>
      </c>
      <c r="H357">
        <v>0</v>
      </c>
      <c r="I357">
        <v>1</v>
      </c>
      <c r="J357">
        <v>0</v>
      </c>
      <c r="K357">
        <v>0</v>
      </c>
      <c r="L357">
        <v>1</v>
      </c>
      <c r="M357">
        <v>1</v>
      </c>
      <c r="N357">
        <v>0</v>
      </c>
      <c r="O357" s="14">
        <f t="shared" si="16"/>
        <v>0</v>
      </c>
      <c r="P357">
        <f t="shared" si="15"/>
        <v>0.13399878421988354</v>
      </c>
      <c r="Q357">
        <f t="shared" si="17"/>
        <v>-0.14386896651755057</v>
      </c>
    </row>
    <row r="358" spans="1:17" x14ac:dyDescent="0.4">
      <c r="A358">
        <v>356</v>
      </c>
      <c r="B358">
        <v>0</v>
      </c>
      <c r="C358">
        <v>0</v>
      </c>
      <c r="D358">
        <v>9.5</v>
      </c>
      <c r="E358">
        <v>28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1</v>
      </c>
      <c r="N358">
        <v>0</v>
      </c>
      <c r="O358" s="14">
        <f t="shared" si="16"/>
        <v>0</v>
      </c>
      <c r="P358">
        <f t="shared" si="15"/>
        <v>9.1490242901906826E-2</v>
      </c>
      <c r="Q358">
        <f t="shared" si="17"/>
        <v>-9.5949651414817164E-2</v>
      </c>
    </row>
    <row r="359" spans="1:17" x14ac:dyDescent="0.4">
      <c r="A359">
        <v>357</v>
      </c>
      <c r="B359">
        <v>0</v>
      </c>
      <c r="C359">
        <v>1</v>
      </c>
      <c r="D359">
        <v>55</v>
      </c>
      <c r="E359">
        <v>22</v>
      </c>
      <c r="F359">
        <v>1</v>
      </c>
      <c r="G359">
        <v>1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1</v>
      </c>
      <c r="N359">
        <v>1</v>
      </c>
      <c r="O359" s="14">
        <f t="shared" si="16"/>
        <v>1</v>
      </c>
      <c r="P359">
        <f t="shared" si="15"/>
        <v>0.94363520979746074</v>
      </c>
      <c r="Q359">
        <f t="shared" si="17"/>
        <v>-5.8015617819365116E-2</v>
      </c>
    </row>
    <row r="360" spans="1:17" x14ac:dyDescent="0.4">
      <c r="A360">
        <v>358</v>
      </c>
      <c r="B360">
        <v>0</v>
      </c>
      <c r="C360">
        <v>0</v>
      </c>
      <c r="D360">
        <v>13</v>
      </c>
      <c r="E360">
        <v>38</v>
      </c>
      <c r="F360">
        <v>1</v>
      </c>
      <c r="G360">
        <v>0</v>
      </c>
      <c r="H360">
        <v>1</v>
      </c>
      <c r="I360">
        <v>0</v>
      </c>
      <c r="J360">
        <v>1</v>
      </c>
      <c r="K360">
        <v>0</v>
      </c>
      <c r="L360">
        <v>0</v>
      </c>
      <c r="M360">
        <v>1</v>
      </c>
      <c r="N360">
        <v>0</v>
      </c>
      <c r="O360" s="14">
        <f t="shared" si="16"/>
        <v>1</v>
      </c>
      <c r="P360">
        <f t="shared" si="15"/>
        <v>0.78188230052328189</v>
      </c>
      <c r="Q360">
        <f t="shared" si="17"/>
        <v>-1.5227204560332706</v>
      </c>
    </row>
    <row r="361" spans="1:17" x14ac:dyDescent="0.4">
      <c r="A361">
        <v>359</v>
      </c>
      <c r="B361">
        <v>0</v>
      </c>
      <c r="C361">
        <v>0</v>
      </c>
      <c r="D361">
        <v>7.8792</v>
      </c>
      <c r="E361">
        <v>28</v>
      </c>
      <c r="F361">
        <v>1</v>
      </c>
      <c r="G361">
        <v>0</v>
      </c>
      <c r="H361">
        <v>0</v>
      </c>
      <c r="I361">
        <v>1</v>
      </c>
      <c r="J361">
        <v>0</v>
      </c>
      <c r="K361">
        <v>1</v>
      </c>
      <c r="L361">
        <v>0</v>
      </c>
      <c r="M361">
        <v>1</v>
      </c>
      <c r="N361">
        <v>1</v>
      </c>
      <c r="O361" s="14">
        <f t="shared" si="16"/>
        <v>1</v>
      </c>
      <c r="P361">
        <f t="shared" si="15"/>
        <v>0.68964857885785291</v>
      </c>
      <c r="Q361">
        <f t="shared" si="17"/>
        <v>-0.37157311713429969</v>
      </c>
    </row>
    <row r="362" spans="1:17" x14ac:dyDescent="0.4">
      <c r="A362">
        <v>360</v>
      </c>
      <c r="B362">
        <v>0</v>
      </c>
      <c r="C362">
        <v>0</v>
      </c>
      <c r="D362">
        <v>7.8792</v>
      </c>
      <c r="E362">
        <v>28</v>
      </c>
      <c r="F362">
        <v>1</v>
      </c>
      <c r="G362">
        <v>0</v>
      </c>
      <c r="H362">
        <v>0</v>
      </c>
      <c r="I362">
        <v>1</v>
      </c>
      <c r="J362">
        <v>0</v>
      </c>
      <c r="K362">
        <v>1</v>
      </c>
      <c r="L362">
        <v>0</v>
      </c>
      <c r="M362">
        <v>1</v>
      </c>
      <c r="N362">
        <v>1</v>
      </c>
      <c r="O362" s="14">
        <f t="shared" si="16"/>
        <v>1</v>
      </c>
      <c r="P362">
        <f t="shared" si="15"/>
        <v>0.68964857885785291</v>
      </c>
      <c r="Q362">
        <f t="shared" si="17"/>
        <v>-0.37157311713429969</v>
      </c>
    </row>
    <row r="363" spans="1:17" x14ac:dyDescent="0.4">
      <c r="A363">
        <v>361</v>
      </c>
      <c r="B363">
        <v>1</v>
      </c>
      <c r="C363">
        <v>4</v>
      </c>
      <c r="D363">
        <v>27.9</v>
      </c>
      <c r="E363">
        <v>40</v>
      </c>
      <c r="F363">
        <v>0</v>
      </c>
      <c r="G363">
        <v>0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 s="14">
        <f t="shared" si="16"/>
        <v>0</v>
      </c>
      <c r="P363">
        <f t="shared" si="15"/>
        <v>3.1977620977023613E-2</v>
      </c>
      <c r="Q363">
        <f t="shared" si="17"/>
        <v>-3.2500073147407132E-2</v>
      </c>
    </row>
    <row r="364" spans="1:17" x14ac:dyDescent="0.4">
      <c r="A364">
        <v>362</v>
      </c>
      <c r="B364">
        <v>1</v>
      </c>
      <c r="C364">
        <v>0</v>
      </c>
      <c r="D364">
        <v>27.720800000000001</v>
      </c>
      <c r="E364">
        <v>29</v>
      </c>
      <c r="F364">
        <v>0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1</v>
      </c>
      <c r="M364">
        <v>1</v>
      </c>
      <c r="N364">
        <v>0</v>
      </c>
      <c r="O364" s="14">
        <f t="shared" si="16"/>
        <v>0</v>
      </c>
      <c r="P364">
        <f t="shared" si="15"/>
        <v>0.2791117878025911</v>
      </c>
      <c r="Q364">
        <f t="shared" si="17"/>
        <v>-0.32727119921394882</v>
      </c>
    </row>
    <row r="365" spans="1:17" x14ac:dyDescent="0.4">
      <c r="A365">
        <v>363</v>
      </c>
      <c r="B365">
        <v>0</v>
      </c>
      <c r="C365">
        <v>1</v>
      </c>
      <c r="D365">
        <v>14.4542</v>
      </c>
      <c r="E365">
        <v>45</v>
      </c>
      <c r="F365">
        <v>1</v>
      </c>
      <c r="G365">
        <v>0</v>
      </c>
      <c r="H365">
        <v>0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 s="14">
        <f t="shared" si="16"/>
        <v>1</v>
      </c>
      <c r="P365">
        <f t="shared" si="15"/>
        <v>0.53050287840689847</v>
      </c>
      <c r="Q365">
        <f t="shared" si="17"/>
        <v>-0.75609311114472888</v>
      </c>
    </row>
    <row r="366" spans="1:17" x14ac:dyDescent="0.4">
      <c r="A366">
        <v>364</v>
      </c>
      <c r="B366">
        <v>0</v>
      </c>
      <c r="C366">
        <v>0</v>
      </c>
      <c r="D366">
        <v>7.05</v>
      </c>
      <c r="E366">
        <v>35</v>
      </c>
      <c r="F366">
        <v>0</v>
      </c>
      <c r="G366">
        <v>0</v>
      </c>
      <c r="H366">
        <v>0</v>
      </c>
      <c r="I366">
        <v>1</v>
      </c>
      <c r="J366">
        <v>1</v>
      </c>
      <c r="K366">
        <v>0</v>
      </c>
      <c r="L366">
        <v>0</v>
      </c>
      <c r="M366">
        <v>1</v>
      </c>
      <c r="N366">
        <v>0</v>
      </c>
      <c r="O366" s="14">
        <f t="shared" si="16"/>
        <v>0</v>
      </c>
      <c r="P366">
        <f t="shared" si="15"/>
        <v>7.1029522298016276E-2</v>
      </c>
      <c r="Q366">
        <f t="shared" si="17"/>
        <v>-7.3678319250230218E-2</v>
      </c>
    </row>
    <row r="367" spans="1:17" x14ac:dyDescent="0.4">
      <c r="A367">
        <v>365</v>
      </c>
      <c r="B367">
        <v>1</v>
      </c>
      <c r="C367">
        <v>0</v>
      </c>
      <c r="D367">
        <v>15.5</v>
      </c>
      <c r="E367">
        <v>28</v>
      </c>
      <c r="F367">
        <v>0</v>
      </c>
      <c r="G367">
        <v>0</v>
      </c>
      <c r="H367">
        <v>0</v>
      </c>
      <c r="I367">
        <v>1</v>
      </c>
      <c r="J367">
        <v>0</v>
      </c>
      <c r="K367">
        <v>1</v>
      </c>
      <c r="L367">
        <v>0</v>
      </c>
      <c r="M367">
        <v>1</v>
      </c>
      <c r="N367">
        <v>0</v>
      </c>
      <c r="O367" s="14">
        <f t="shared" si="16"/>
        <v>0</v>
      </c>
      <c r="P367">
        <f t="shared" si="15"/>
        <v>9.7507068724175208E-2</v>
      </c>
      <c r="Q367">
        <f t="shared" si="17"/>
        <v>-0.10259442118713194</v>
      </c>
    </row>
    <row r="368" spans="1:17" x14ac:dyDescent="0.4">
      <c r="A368">
        <v>366</v>
      </c>
      <c r="B368">
        <v>0</v>
      </c>
      <c r="C368">
        <v>0</v>
      </c>
      <c r="D368">
        <v>7.25</v>
      </c>
      <c r="E368">
        <v>30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1</v>
      </c>
      <c r="N368">
        <v>0</v>
      </c>
      <c r="O368" s="14">
        <f t="shared" si="16"/>
        <v>0</v>
      </c>
      <c r="P368">
        <f t="shared" si="15"/>
        <v>8.4874603066584495E-2</v>
      </c>
      <c r="Q368">
        <f t="shared" si="17"/>
        <v>-8.8694177267667998E-2</v>
      </c>
    </row>
    <row r="369" spans="1:17" x14ac:dyDescent="0.4">
      <c r="A369">
        <v>367</v>
      </c>
      <c r="B369">
        <v>1</v>
      </c>
      <c r="C369">
        <v>0</v>
      </c>
      <c r="D369">
        <v>75.25</v>
      </c>
      <c r="E369">
        <v>60</v>
      </c>
      <c r="F369">
        <v>1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1</v>
      </c>
      <c r="N369">
        <v>1</v>
      </c>
      <c r="O369" s="14">
        <f t="shared" si="16"/>
        <v>1</v>
      </c>
      <c r="P369">
        <f t="shared" si="15"/>
        <v>0.83307138818039528</v>
      </c>
      <c r="Q369">
        <f t="shared" si="17"/>
        <v>-0.1826359403908249</v>
      </c>
    </row>
    <row r="370" spans="1:17" x14ac:dyDescent="0.4">
      <c r="A370">
        <v>368</v>
      </c>
      <c r="B370">
        <v>0</v>
      </c>
      <c r="C370">
        <v>0</v>
      </c>
      <c r="D370">
        <v>7.2291999999999996</v>
      </c>
      <c r="E370">
        <v>28</v>
      </c>
      <c r="F370">
        <v>1</v>
      </c>
      <c r="G370">
        <v>0</v>
      </c>
      <c r="H370">
        <v>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1</v>
      </c>
      <c r="O370" s="14">
        <f t="shared" si="16"/>
        <v>1</v>
      </c>
      <c r="P370">
        <f t="shared" si="15"/>
        <v>0.70131345992162697</v>
      </c>
      <c r="Q370">
        <f t="shared" si="17"/>
        <v>-0.35480033080778545</v>
      </c>
    </row>
    <row r="371" spans="1:17" x14ac:dyDescent="0.4">
      <c r="A371">
        <v>369</v>
      </c>
      <c r="B371">
        <v>0</v>
      </c>
      <c r="C371">
        <v>0</v>
      </c>
      <c r="D371">
        <v>7.75</v>
      </c>
      <c r="E371">
        <v>28</v>
      </c>
      <c r="F371">
        <v>1</v>
      </c>
      <c r="G371">
        <v>0</v>
      </c>
      <c r="H371">
        <v>0</v>
      </c>
      <c r="I371">
        <v>1</v>
      </c>
      <c r="J371">
        <v>0</v>
      </c>
      <c r="K371">
        <v>1</v>
      </c>
      <c r="L371">
        <v>0</v>
      </c>
      <c r="M371">
        <v>1</v>
      </c>
      <c r="N371">
        <v>1</v>
      </c>
      <c r="O371" s="14">
        <f t="shared" si="16"/>
        <v>1</v>
      </c>
      <c r="P371">
        <f t="shared" si="15"/>
        <v>0.68958390472100084</v>
      </c>
      <c r="Q371">
        <f t="shared" si="17"/>
        <v>-0.37166689992678675</v>
      </c>
    </row>
    <row r="372" spans="1:17" x14ac:dyDescent="0.4">
      <c r="A372">
        <v>370</v>
      </c>
      <c r="B372">
        <v>0</v>
      </c>
      <c r="C372">
        <v>0</v>
      </c>
      <c r="D372">
        <v>69.3</v>
      </c>
      <c r="E372">
        <v>24</v>
      </c>
      <c r="F372">
        <v>1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1</v>
      </c>
      <c r="N372">
        <v>1</v>
      </c>
      <c r="O372" s="14">
        <f t="shared" si="16"/>
        <v>1</v>
      </c>
      <c r="P372">
        <f t="shared" si="15"/>
        <v>0.96451395883053992</v>
      </c>
      <c r="Q372">
        <f t="shared" si="17"/>
        <v>-3.6130974132951986E-2</v>
      </c>
    </row>
    <row r="373" spans="1:17" x14ac:dyDescent="0.4">
      <c r="A373">
        <v>371</v>
      </c>
      <c r="B373">
        <v>1</v>
      </c>
      <c r="C373">
        <v>0</v>
      </c>
      <c r="D373">
        <v>55.441699999999997</v>
      </c>
      <c r="E373">
        <v>25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1</v>
      </c>
      <c r="N373">
        <v>1</v>
      </c>
      <c r="O373" s="14">
        <f t="shared" si="16"/>
        <v>1</v>
      </c>
      <c r="P373">
        <f t="shared" si="15"/>
        <v>0.54736129653065835</v>
      </c>
      <c r="Q373">
        <f t="shared" si="17"/>
        <v>-0.60264618905742673</v>
      </c>
    </row>
    <row r="374" spans="1:17" x14ac:dyDescent="0.4">
      <c r="A374">
        <v>372</v>
      </c>
      <c r="B374">
        <v>1</v>
      </c>
      <c r="C374">
        <v>0</v>
      </c>
      <c r="D374">
        <v>6.4958</v>
      </c>
      <c r="E374">
        <v>18</v>
      </c>
      <c r="F374">
        <v>0</v>
      </c>
      <c r="G374">
        <v>0</v>
      </c>
      <c r="H374">
        <v>0</v>
      </c>
      <c r="I374">
        <v>1</v>
      </c>
      <c r="J374">
        <v>1</v>
      </c>
      <c r="K374">
        <v>0</v>
      </c>
      <c r="L374">
        <v>0</v>
      </c>
      <c r="M374">
        <v>1</v>
      </c>
      <c r="N374">
        <v>0</v>
      </c>
      <c r="O374" s="14">
        <f t="shared" si="16"/>
        <v>0</v>
      </c>
      <c r="P374">
        <f t="shared" si="15"/>
        <v>9.6278762752551927E-2</v>
      </c>
      <c r="Q374">
        <f t="shared" si="17"/>
        <v>-0.10123433202121057</v>
      </c>
    </row>
    <row r="375" spans="1:17" x14ac:dyDescent="0.4">
      <c r="A375">
        <v>373</v>
      </c>
      <c r="B375">
        <v>0</v>
      </c>
      <c r="C375">
        <v>0</v>
      </c>
      <c r="D375">
        <v>8.0500000000000007</v>
      </c>
      <c r="E375">
        <v>19</v>
      </c>
      <c r="F375">
        <v>0</v>
      </c>
      <c r="G375">
        <v>0</v>
      </c>
      <c r="H375">
        <v>0</v>
      </c>
      <c r="I375">
        <v>1</v>
      </c>
      <c r="J375">
        <v>1</v>
      </c>
      <c r="K375">
        <v>0</v>
      </c>
      <c r="L375">
        <v>0</v>
      </c>
      <c r="M375">
        <v>1</v>
      </c>
      <c r="N375">
        <v>0</v>
      </c>
      <c r="O375" s="14">
        <f t="shared" si="16"/>
        <v>0</v>
      </c>
      <c r="P375">
        <f t="shared" si="15"/>
        <v>0.1243098681556207</v>
      </c>
      <c r="Q375">
        <f t="shared" si="17"/>
        <v>-0.1327429813944889</v>
      </c>
    </row>
    <row r="376" spans="1:17" x14ac:dyDescent="0.4">
      <c r="A376">
        <v>374</v>
      </c>
      <c r="B376">
        <v>0</v>
      </c>
      <c r="C376">
        <v>0</v>
      </c>
      <c r="D376">
        <v>135.63329999999999</v>
      </c>
      <c r="E376">
        <v>22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1</v>
      </c>
      <c r="N376">
        <v>0</v>
      </c>
      <c r="O376" s="14">
        <f t="shared" si="16"/>
        <v>1</v>
      </c>
      <c r="P376">
        <f t="shared" si="15"/>
        <v>0.69318647993162763</v>
      </c>
      <c r="Q376">
        <f t="shared" si="17"/>
        <v>-1.1815151424405359</v>
      </c>
    </row>
    <row r="377" spans="1:17" x14ac:dyDescent="0.4">
      <c r="A377">
        <v>375</v>
      </c>
      <c r="B377">
        <v>3</v>
      </c>
      <c r="C377">
        <v>1</v>
      </c>
      <c r="D377">
        <v>21.074999999999999</v>
      </c>
      <c r="E377">
        <v>3</v>
      </c>
      <c r="F377">
        <v>1</v>
      </c>
      <c r="G377">
        <v>0</v>
      </c>
      <c r="H377">
        <v>0</v>
      </c>
      <c r="I377">
        <v>1</v>
      </c>
      <c r="J377">
        <v>1</v>
      </c>
      <c r="K377">
        <v>0</v>
      </c>
      <c r="L377">
        <v>0</v>
      </c>
      <c r="M377">
        <v>1</v>
      </c>
      <c r="N377">
        <v>0</v>
      </c>
      <c r="O377" s="14">
        <f t="shared" si="16"/>
        <v>1</v>
      </c>
      <c r="P377">
        <f t="shared" si="15"/>
        <v>0.58785184533301782</v>
      </c>
      <c r="Q377">
        <f t="shared" si="17"/>
        <v>-0.88637239556646219</v>
      </c>
    </row>
    <row r="378" spans="1:17" x14ac:dyDescent="0.4">
      <c r="A378">
        <v>376</v>
      </c>
      <c r="B378">
        <v>1</v>
      </c>
      <c r="C378">
        <v>0</v>
      </c>
      <c r="D378">
        <v>82.1708</v>
      </c>
      <c r="E378">
        <v>28</v>
      </c>
      <c r="F378">
        <v>1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1</v>
      </c>
      <c r="O378" s="14">
        <f t="shared" si="16"/>
        <v>1</v>
      </c>
      <c r="P378">
        <f t="shared" si="15"/>
        <v>0.9456564764287686</v>
      </c>
      <c r="Q378">
        <f t="shared" si="17"/>
        <v>-5.5875908618063033E-2</v>
      </c>
    </row>
    <row r="379" spans="1:17" x14ac:dyDescent="0.4">
      <c r="A379">
        <v>377</v>
      </c>
      <c r="B379">
        <v>0</v>
      </c>
      <c r="C379">
        <v>0</v>
      </c>
      <c r="D379">
        <v>7.25</v>
      </c>
      <c r="E379">
        <v>22</v>
      </c>
      <c r="F379">
        <v>1</v>
      </c>
      <c r="G379">
        <v>0</v>
      </c>
      <c r="H379">
        <v>0</v>
      </c>
      <c r="I379">
        <v>1</v>
      </c>
      <c r="J379">
        <v>1</v>
      </c>
      <c r="K379">
        <v>0</v>
      </c>
      <c r="L379">
        <v>0</v>
      </c>
      <c r="M379">
        <v>1</v>
      </c>
      <c r="N379">
        <v>1</v>
      </c>
      <c r="O379" s="14">
        <f t="shared" si="16"/>
        <v>1</v>
      </c>
      <c r="P379">
        <f t="shared" si="15"/>
        <v>0.65699328328078432</v>
      </c>
      <c r="Q379">
        <f t="shared" si="17"/>
        <v>-0.42008148386670385</v>
      </c>
    </row>
    <row r="380" spans="1:17" x14ac:dyDescent="0.4">
      <c r="A380">
        <v>378</v>
      </c>
      <c r="B380">
        <v>0</v>
      </c>
      <c r="C380">
        <v>2</v>
      </c>
      <c r="D380">
        <v>211.5</v>
      </c>
      <c r="E380">
        <v>27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1</v>
      </c>
      <c r="M380">
        <v>1</v>
      </c>
      <c r="N380">
        <v>0</v>
      </c>
      <c r="O380" s="14">
        <f t="shared" si="16"/>
        <v>1</v>
      </c>
      <c r="P380">
        <f t="shared" si="15"/>
        <v>0.64865559091786462</v>
      </c>
      <c r="Q380">
        <f t="shared" si="17"/>
        <v>-1.0459883141441249</v>
      </c>
    </row>
    <row r="381" spans="1:17" x14ac:dyDescent="0.4">
      <c r="A381">
        <v>379</v>
      </c>
      <c r="B381">
        <v>0</v>
      </c>
      <c r="C381">
        <v>0</v>
      </c>
      <c r="D381">
        <v>4.0125000000000002</v>
      </c>
      <c r="E381">
        <v>20</v>
      </c>
      <c r="F381">
        <v>0</v>
      </c>
      <c r="G381">
        <v>0</v>
      </c>
      <c r="H381">
        <v>0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 s="14">
        <f t="shared" si="16"/>
        <v>0</v>
      </c>
      <c r="P381">
        <f t="shared" si="15"/>
        <v>0.17287821941426215</v>
      </c>
      <c r="Q381">
        <f t="shared" si="17"/>
        <v>-0.1898033389521987</v>
      </c>
    </row>
    <row r="382" spans="1:17" x14ac:dyDescent="0.4">
      <c r="A382">
        <v>380</v>
      </c>
      <c r="B382">
        <v>0</v>
      </c>
      <c r="C382">
        <v>0</v>
      </c>
      <c r="D382">
        <v>7.7750000000000004</v>
      </c>
      <c r="E382">
        <v>19</v>
      </c>
      <c r="F382">
        <v>0</v>
      </c>
      <c r="G382">
        <v>0</v>
      </c>
      <c r="H382">
        <v>0</v>
      </c>
      <c r="I382">
        <v>1</v>
      </c>
      <c r="J382">
        <v>1</v>
      </c>
      <c r="K382">
        <v>0</v>
      </c>
      <c r="L382">
        <v>0</v>
      </c>
      <c r="M382">
        <v>1</v>
      </c>
      <c r="N382">
        <v>0</v>
      </c>
      <c r="O382" s="14">
        <f t="shared" si="16"/>
        <v>0</v>
      </c>
      <c r="P382">
        <f t="shared" si="15"/>
        <v>0.1242398766266288</v>
      </c>
      <c r="Q382">
        <f t="shared" si="17"/>
        <v>-0.13266305731006728</v>
      </c>
    </row>
    <row r="383" spans="1:17" x14ac:dyDescent="0.4">
      <c r="A383">
        <v>381</v>
      </c>
      <c r="B383">
        <v>0</v>
      </c>
      <c r="C383">
        <v>0</v>
      </c>
      <c r="D383">
        <v>227.52500000000001</v>
      </c>
      <c r="E383">
        <v>42</v>
      </c>
      <c r="F383">
        <v>1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1</v>
      </c>
      <c r="O383" s="14">
        <f t="shared" si="16"/>
        <v>1</v>
      </c>
      <c r="P383">
        <f t="shared" si="15"/>
        <v>0.95161892541331072</v>
      </c>
      <c r="Q383">
        <f t="shared" si="17"/>
        <v>-4.9590612758968131E-2</v>
      </c>
    </row>
    <row r="384" spans="1:17" x14ac:dyDescent="0.4">
      <c r="A384">
        <v>382</v>
      </c>
      <c r="B384">
        <v>0</v>
      </c>
      <c r="C384">
        <v>2</v>
      </c>
      <c r="D384">
        <v>15.7417</v>
      </c>
      <c r="E384">
        <v>1</v>
      </c>
      <c r="F384">
        <v>1</v>
      </c>
      <c r="G384">
        <v>0</v>
      </c>
      <c r="H384">
        <v>0</v>
      </c>
      <c r="I384">
        <v>1</v>
      </c>
      <c r="J384">
        <v>0</v>
      </c>
      <c r="K384">
        <v>0</v>
      </c>
      <c r="L384">
        <v>1</v>
      </c>
      <c r="M384">
        <v>1</v>
      </c>
      <c r="N384">
        <v>1</v>
      </c>
      <c r="O384" s="14">
        <f t="shared" si="16"/>
        <v>1</v>
      </c>
      <c r="P384">
        <f t="shared" si="15"/>
        <v>0.84901999621340163</v>
      </c>
      <c r="Q384">
        <f t="shared" si="17"/>
        <v>-0.16367254028218756</v>
      </c>
    </row>
    <row r="385" spans="1:17" x14ac:dyDescent="0.4">
      <c r="A385">
        <v>383</v>
      </c>
      <c r="B385">
        <v>0</v>
      </c>
      <c r="C385">
        <v>0</v>
      </c>
      <c r="D385">
        <v>7.9249999999999998</v>
      </c>
      <c r="E385">
        <v>32</v>
      </c>
      <c r="F385">
        <v>0</v>
      </c>
      <c r="G385">
        <v>0</v>
      </c>
      <c r="H385">
        <v>0</v>
      </c>
      <c r="I385">
        <v>1</v>
      </c>
      <c r="J385">
        <v>1</v>
      </c>
      <c r="K385">
        <v>0</v>
      </c>
      <c r="L385">
        <v>0</v>
      </c>
      <c r="M385">
        <v>1</v>
      </c>
      <c r="N385">
        <v>0</v>
      </c>
      <c r="O385" s="14">
        <f t="shared" si="16"/>
        <v>0</v>
      </c>
      <c r="P385">
        <f t="shared" si="15"/>
        <v>7.9193288351222899E-2</v>
      </c>
      <c r="Q385">
        <f t="shared" si="17"/>
        <v>-8.2505132668820286E-2</v>
      </c>
    </row>
    <row r="386" spans="1:17" x14ac:dyDescent="0.4">
      <c r="A386">
        <v>384</v>
      </c>
      <c r="B386">
        <v>1</v>
      </c>
      <c r="C386">
        <v>0</v>
      </c>
      <c r="D386">
        <v>52</v>
      </c>
      <c r="E386">
        <v>35</v>
      </c>
      <c r="F386">
        <v>1</v>
      </c>
      <c r="G386">
        <v>1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1</v>
      </c>
      <c r="N386">
        <v>1</v>
      </c>
      <c r="O386" s="14">
        <f t="shared" si="16"/>
        <v>1</v>
      </c>
      <c r="P386">
        <f t="shared" si="15"/>
        <v>0.88908996467917545</v>
      </c>
      <c r="Q386">
        <f t="shared" si="17"/>
        <v>-0.11755685097399504</v>
      </c>
    </row>
    <row r="387" spans="1:17" x14ac:dyDescent="0.4">
      <c r="A387">
        <v>385</v>
      </c>
      <c r="B387">
        <v>0</v>
      </c>
      <c r="C387">
        <v>0</v>
      </c>
      <c r="D387">
        <v>7.8958000000000004</v>
      </c>
      <c r="E387">
        <v>28</v>
      </c>
      <c r="F387">
        <v>0</v>
      </c>
      <c r="G387">
        <v>0</v>
      </c>
      <c r="H387">
        <v>0</v>
      </c>
      <c r="I387">
        <v>1</v>
      </c>
      <c r="J387">
        <v>1</v>
      </c>
      <c r="K387">
        <v>0</v>
      </c>
      <c r="L387">
        <v>0</v>
      </c>
      <c r="M387">
        <v>1</v>
      </c>
      <c r="N387">
        <v>0</v>
      </c>
      <c r="O387" s="14">
        <f t="shared" si="16"/>
        <v>0</v>
      </c>
      <c r="P387">
        <f t="shared" ref="P387:P450" si="18">1/(1+EXP(-SUMPRODUCT(B$1:M$1,B387:M387)))</f>
        <v>9.117888566880443E-2</v>
      </c>
      <c r="Q387">
        <f t="shared" si="17"/>
        <v>-9.5606998086197895E-2</v>
      </c>
    </row>
    <row r="388" spans="1:17" x14ac:dyDescent="0.4">
      <c r="A388">
        <v>386</v>
      </c>
      <c r="B388">
        <v>0</v>
      </c>
      <c r="C388">
        <v>0</v>
      </c>
      <c r="D388">
        <v>73.5</v>
      </c>
      <c r="E388">
        <v>18</v>
      </c>
      <c r="F388">
        <v>0</v>
      </c>
      <c r="G388">
        <v>0</v>
      </c>
      <c r="H388">
        <v>1</v>
      </c>
      <c r="I388">
        <v>0</v>
      </c>
      <c r="J388">
        <v>1</v>
      </c>
      <c r="K388">
        <v>0</v>
      </c>
      <c r="L388">
        <v>0</v>
      </c>
      <c r="M388">
        <v>1</v>
      </c>
      <c r="N388">
        <v>0</v>
      </c>
      <c r="O388" s="14">
        <f t="shared" ref="O388:O451" si="19">IF(P388&gt;0.5,1,0)</f>
        <v>0</v>
      </c>
      <c r="P388">
        <f t="shared" si="18"/>
        <v>0.37029774038984758</v>
      </c>
      <c r="Q388">
        <f t="shared" ref="Q388:Q451" si="20">N388*LN(P388)+(1-N388)*LN(1-P388)</f>
        <v>-0.46250817510233877</v>
      </c>
    </row>
    <row r="389" spans="1:17" x14ac:dyDescent="0.4">
      <c r="A389">
        <v>387</v>
      </c>
      <c r="B389">
        <v>5</v>
      </c>
      <c r="C389">
        <v>2</v>
      </c>
      <c r="D389">
        <v>46.9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0</v>
      </c>
      <c r="L389">
        <v>0</v>
      </c>
      <c r="M389">
        <v>1</v>
      </c>
      <c r="N389">
        <v>0</v>
      </c>
      <c r="O389" s="14">
        <f t="shared" si="19"/>
        <v>0</v>
      </c>
      <c r="P389">
        <f t="shared" si="18"/>
        <v>4.9065625557276747E-2</v>
      </c>
      <c r="Q389">
        <f t="shared" si="20"/>
        <v>-5.0310225712970648E-2</v>
      </c>
    </row>
    <row r="390" spans="1:17" x14ac:dyDescent="0.4">
      <c r="A390">
        <v>388</v>
      </c>
      <c r="B390">
        <v>0</v>
      </c>
      <c r="C390">
        <v>0</v>
      </c>
      <c r="D390">
        <v>13</v>
      </c>
      <c r="E390">
        <v>36</v>
      </c>
      <c r="F390">
        <v>1</v>
      </c>
      <c r="G390">
        <v>0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1</v>
      </c>
      <c r="N390">
        <v>1</v>
      </c>
      <c r="O390" s="14">
        <f t="shared" si="19"/>
        <v>1</v>
      </c>
      <c r="P390">
        <f t="shared" si="18"/>
        <v>0.79473719807308152</v>
      </c>
      <c r="Q390">
        <f t="shared" si="20"/>
        <v>-0.2297437874391357</v>
      </c>
    </row>
    <row r="391" spans="1:17" x14ac:dyDescent="0.4">
      <c r="A391">
        <v>389</v>
      </c>
      <c r="B391">
        <v>0</v>
      </c>
      <c r="C391">
        <v>0</v>
      </c>
      <c r="D391">
        <v>7.7291999999999996</v>
      </c>
      <c r="E391">
        <v>28</v>
      </c>
      <c r="F391">
        <v>0</v>
      </c>
      <c r="G391">
        <v>0</v>
      </c>
      <c r="H391">
        <v>0</v>
      </c>
      <c r="I391">
        <v>1</v>
      </c>
      <c r="J391">
        <v>0</v>
      </c>
      <c r="K391">
        <v>1</v>
      </c>
      <c r="L391">
        <v>0</v>
      </c>
      <c r="M391">
        <v>1</v>
      </c>
      <c r="N391">
        <v>0</v>
      </c>
      <c r="O391" s="14">
        <f t="shared" si="19"/>
        <v>0</v>
      </c>
      <c r="P391">
        <f t="shared" si="18"/>
        <v>0.12769662313381591</v>
      </c>
      <c r="Q391">
        <f t="shared" si="20"/>
        <v>-0.1366180063293361</v>
      </c>
    </row>
    <row r="392" spans="1:17" x14ac:dyDescent="0.4">
      <c r="A392">
        <v>390</v>
      </c>
      <c r="B392">
        <v>0</v>
      </c>
      <c r="C392">
        <v>0</v>
      </c>
      <c r="D392">
        <v>12</v>
      </c>
      <c r="E392">
        <v>17</v>
      </c>
      <c r="F392">
        <v>1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1</v>
      </c>
      <c r="M392">
        <v>1</v>
      </c>
      <c r="N392">
        <v>1</v>
      </c>
      <c r="O392" s="14">
        <f t="shared" si="19"/>
        <v>1</v>
      </c>
      <c r="P392">
        <f t="shared" si="18"/>
        <v>0.92540818388385016</v>
      </c>
      <c r="Q392">
        <f t="shared" si="20"/>
        <v>-7.7520358930609351E-2</v>
      </c>
    </row>
    <row r="393" spans="1:17" x14ac:dyDescent="0.4">
      <c r="A393">
        <v>391</v>
      </c>
      <c r="B393">
        <v>1</v>
      </c>
      <c r="C393">
        <v>2</v>
      </c>
      <c r="D393">
        <v>120</v>
      </c>
      <c r="E393">
        <v>36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1</v>
      </c>
      <c r="N393">
        <v>1</v>
      </c>
      <c r="O393" s="14">
        <f t="shared" si="19"/>
        <v>0</v>
      </c>
      <c r="P393">
        <f t="shared" si="18"/>
        <v>0.33084929465929408</v>
      </c>
      <c r="Q393">
        <f t="shared" si="20"/>
        <v>-1.1060923104311498</v>
      </c>
    </row>
    <row r="394" spans="1:17" x14ac:dyDescent="0.4">
      <c r="A394">
        <v>392</v>
      </c>
      <c r="B394">
        <v>0</v>
      </c>
      <c r="C394">
        <v>0</v>
      </c>
      <c r="D394">
        <v>7.7957999999999998</v>
      </c>
      <c r="E394">
        <v>21</v>
      </c>
      <c r="F394">
        <v>0</v>
      </c>
      <c r="G394">
        <v>0</v>
      </c>
      <c r="H394">
        <v>0</v>
      </c>
      <c r="I394">
        <v>1</v>
      </c>
      <c r="J394">
        <v>1</v>
      </c>
      <c r="K394">
        <v>0</v>
      </c>
      <c r="L394">
        <v>0</v>
      </c>
      <c r="M394">
        <v>1</v>
      </c>
      <c r="N394">
        <v>1</v>
      </c>
      <c r="O394" s="14">
        <f t="shared" si="19"/>
        <v>0</v>
      </c>
      <c r="P394">
        <f t="shared" si="18"/>
        <v>0.11610119817080281</v>
      </c>
      <c r="Q394">
        <f t="shared" si="20"/>
        <v>-2.1532930701695903</v>
      </c>
    </row>
    <row r="395" spans="1:17" x14ac:dyDescent="0.4">
      <c r="A395">
        <v>393</v>
      </c>
      <c r="B395">
        <v>2</v>
      </c>
      <c r="C395">
        <v>0</v>
      </c>
      <c r="D395">
        <v>7.9249999999999998</v>
      </c>
      <c r="E395">
        <v>28</v>
      </c>
      <c r="F395">
        <v>0</v>
      </c>
      <c r="G395">
        <v>0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1</v>
      </c>
      <c r="N395">
        <v>0</v>
      </c>
      <c r="O395" s="14">
        <f t="shared" si="19"/>
        <v>0</v>
      </c>
      <c r="P395">
        <f t="shared" si="18"/>
        <v>5.0062937841173889E-2</v>
      </c>
      <c r="Q395">
        <f t="shared" si="20"/>
        <v>-5.1359546941332906E-2</v>
      </c>
    </row>
    <row r="396" spans="1:17" x14ac:dyDescent="0.4">
      <c r="A396">
        <v>394</v>
      </c>
      <c r="B396">
        <v>1</v>
      </c>
      <c r="C396">
        <v>0</v>
      </c>
      <c r="D396">
        <v>113.27500000000001</v>
      </c>
      <c r="E396">
        <v>23</v>
      </c>
      <c r="F396">
        <v>1</v>
      </c>
      <c r="G396">
        <v>1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1</v>
      </c>
      <c r="N396">
        <v>1</v>
      </c>
      <c r="O396" s="14">
        <f t="shared" si="19"/>
        <v>1</v>
      </c>
      <c r="P396">
        <f t="shared" si="18"/>
        <v>0.95778802788905626</v>
      </c>
      <c r="Q396">
        <f t="shared" si="20"/>
        <v>-4.312879074555083E-2</v>
      </c>
    </row>
    <row r="397" spans="1:17" x14ac:dyDescent="0.4">
      <c r="A397">
        <v>395</v>
      </c>
      <c r="B397">
        <v>0</v>
      </c>
      <c r="C397">
        <v>2</v>
      </c>
      <c r="D397">
        <v>16.7</v>
      </c>
      <c r="E397">
        <v>24</v>
      </c>
      <c r="F397">
        <v>1</v>
      </c>
      <c r="G397">
        <v>0</v>
      </c>
      <c r="H397">
        <v>0</v>
      </c>
      <c r="I397">
        <v>1</v>
      </c>
      <c r="J397">
        <v>1</v>
      </c>
      <c r="K397">
        <v>0</v>
      </c>
      <c r="L397">
        <v>0</v>
      </c>
      <c r="M397">
        <v>1</v>
      </c>
      <c r="N397">
        <v>1</v>
      </c>
      <c r="O397" s="14">
        <f t="shared" si="19"/>
        <v>1</v>
      </c>
      <c r="P397">
        <f t="shared" si="18"/>
        <v>0.60066869381703225</v>
      </c>
      <c r="Q397">
        <f t="shared" si="20"/>
        <v>-0.50971175465353136</v>
      </c>
    </row>
    <row r="398" spans="1:17" x14ac:dyDescent="0.4">
      <c r="A398">
        <v>396</v>
      </c>
      <c r="B398">
        <v>0</v>
      </c>
      <c r="C398">
        <v>0</v>
      </c>
      <c r="D398">
        <v>7.7957999999999998</v>
      </c>
      <c r="E398">
        <v>22</v>
      </c>
      <c r="F398">
        <v>0</v>
      </c>
      <c r="G398">
        <v>0</v>
      </c>
      <c r="H398">
        <v>0</v>
      </c>
      <c r="I398">
        <v>1</v>
      </c>
      <c r="J398">
        <v>1</v>
      </c>
      <c r="K398">
        <v>0</v>
      </c>
      <c r="L398">
        <v>0</v>
      </c>
      <c r="M398">
        <v>1</v>
      </c>
      <c r="N398">
        <v>0</v>
      </c>
      <c r="O398" s="14">
        <f t="shared" si="19"/>
        <v>0</v>
      </c>
      <c r="P398">
        <f t="shared" si="18"/>
        <v>0.11220574180772472</v>
      </c>
      <c r="Q398">
        <f t="shared" si="20"/>
        <v>-0.11901525405944055</v>
      </c>
    </row>
    <row r="399" spans="1:17" x14ac:dyDescent="0.4">
      <c r="A399">
        <v>397</v>
      </c>
      <c r="B399">
        <v>0</v>
      </c>
      <c r="C399">
        <v>0</v>
      </c>
      <c r="D399">
        <v>7.8541999999999996</v>
      </c>
      <c r="E399">
        <v>31</v>
      </c>
      <c r="F399">
        <v>1</v>
      </c>
      <c r="G399">
        <v>0</v>
      </c>
      <c r="H399">
        <v>0</v>
      </c>
      <c r="I399">
        <v>1</v>
      </c>
      <c r="J399">
        <v>1</v>
      </c>
      <c r="K399">
        <v>0</v>
      </c>
      <c r="L399">
        <v>0</v>
      </c>
      <c r="M399">
        <v>1</v>
      </c>
      <c r="N399">
        <v>0</v>
      </c>
      <c r="O399" s="14">
        <f t="shared" si="19"/>
        <v>1</v>
      </c>
      <c r="P399">
        <f t="shared" si="18"/>
        <v>0.57556843815513592</v>
      </c>
      <c r="Q399">
        <f t="shared" si="20"/>
        <v>-0.85700450685276097</v>
      </c>
    </row>
    <row r="400" spans="1:17" x14ac:dyDescent="0.4">
      <c r="A400">
        <v>398</v>
      </c>
      <c r="B400">
        <v>0</v>
      </c>
      <c r="C400">
        <v>0</v>
      </c>
      <c r="D400">
        <v>26</v>
      </c>
      <c r="E400">
        <v>46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0</v>
      </c>
      <c r="L400">
        <v>0</v>
      </c>
      <c r="M400">
        <v>1</v>
      </c>
      <c r="N400">
        <v>0</v>
      </c>
      <c r="O400" s="14">
        <f t="shared" si="19"/>
        <v>0</v>
      </c>
      <c r="P400">
        <f t="shared" si="18"/>
        <v>0.1517760822950929</v>
      </c>
      <c r="Q400">
        <f t="shared" si="20"/>
        <v>-0.16461062414903238</v>
      </c>
    </row>
    <row r="401" spans="1:17" x14ac:dyDescent="0.4">
      <c r="A401">
        <v>399</v>
      </c>
      <c r="B401">
        <v>0</v>
      </c>
      <c r="C401">
        <v>0</v>
      </c>
      <c r="D401">
        <v>10.5</v>
      </c>
      <c r="E401">
        <v>23</v>
      </c>
      <c r="F401">
        <v>0</v>
      </c>
      <c r="G401">
        <v>0</v>
      </c>
      <c r="H401">
        <v>1</v>
      </c>
      <c r="I401">
        <v>0</v>
      </c>
      <c r="J401">
        <v>1</v>
      </c>
      <c r="K401">
        <v>0</v>
      </c>
      <c r="L401">
        <v>0</v>
      </c>
      <c r="M401">
        <v>1</v>
      </c>
      <c r="N401">
        <v>0</v>
      </c>
      <c r="O401" s="14">
        <f t="shared" si="19"/>
        <v>0</v>
      </c>
      <c r="P401">
        <f t="shared" si="18"/>
        <v>0.2950668779969331</v>
      </c>
      <c r="Q401">
        <f t="shared" si="20"/>
        <v>-0.34965234307658838</v>
      </c>
    </row>
    <row r="402" spans="1:17" x14ac:dyDescent="0.4">
      <c r="A402">
        <v>400</v>
      </c>
      <c r="B402">
        <v>0</v>
      </c>
      <c r="C402">
        <v>0</v>
      </c>
      <c r="D402">
        <v>12.65</v>
      </c>
      <c r="E402">
        <v>28</v>
      </c>
      <c r="F402">
        <v>1</v>
      </c>
      <c r="G402">
        <v>0</v>
      </c>
      <c r="H402">
        <v>1</v>
      </c>
      <c r="I402">
        <v>0</v>
      </c>
      <c r="J402">
        <v>1</v>
      </c>
      <c r="K402">
        <v>0</v>
      </c>
      <c r="L402">
        <v>0</v>
      </c>
      <c r="M402">
        <v>1</v>
      </c>
      <c r="N402">
        <v>1</v>
      </c>
      <c r="O402" s="14">
        <f t="shared" si="19"/>
        <v>1</v>
      </c>
      <c r="P402">
        <f t="shared" si="18"/>
        <v>0.84038638254065756</v>
      </c>
      <c r="Q402">
        <f t="shared" si="20"/>
        <v>-0.17389351368771863</v>
      </c>
    </row>
    <row r="403" spans="1:17" x14ac:dyDescent="0.4">
      <c r="A403">
        <v>401</v>
      </c>
      <c r="B403">
        <v>0</v>
      </c>
      <c r="C403">
        <v>0</v>
      </c>
      <c r="D403">
        <v>7.9249999999999998</v>
      </c>
      <c r="E403">
        <v>39</v>
      </c>
      <c r="F403">
        <v>0</v>
      </c>
      <c r="G403">
        <v>0</v>
      </c>
      <c r="H403">
        <v>0</v>
      </c>
      <c r="I403">
        <v>1</v>
      </c>
      <c r="J403">
        <v>1</v>
      </c>
      <c r="K403">
        <v>0</v>
      </c>
      <c r="L403">
        <v>0</v>
      </c>
      <c r="M403">
        <v>1</v>
      </c>
      <c r="N403">
        <v>1</v>
      </c>
      <c r="O403" s="14">
        <f t="shared" si="19"/>
        <v>0</v>
      </c>
      <c r="P403">
        <f t="shared" si="18"/>
        <v>6.1627602781178403E-2</v>
      </c>
      <c r="Q403">
        <f t="shared" si="20"/>
        <v>-2.7866454117111341</v>
      </c>
    </row>
    <row r="404" spans="1:17" x14ac:dyDescent="0.4">
      <c r="A404">
        <v>402</v>
      </c>
      <c r="B404">
        <v>0</v>
      </c>
      <c r="C404">
        <v>0</v>
      </c>
      <c r="D404">
        <v>8.0500000000000007</v>
      </c>
      <c r="E404">
        <v>26</v>
      </c>
      <c r="F404">
        <v>0</v>
      </c>
      <c r="G404">
        <v>0</v>
      </c>
      <c r="H404">
        <v>0</v>
      </c>
      <c r="I404">
        <v>1</v>
      </c>
      <c r="J404">
        <v>1</v>
      </c>
      <c r="K404">
        <v>0</v>
      </c>
      <c r="L404">
        <v>0</v>
      </c>
      <c r="M404">
        <v>1</v>
      </c>
      <c r="N404">
        <v>0</v>
      </c>
      <c r="O404" s="14">
        <f t="shared" si="19"/>
        <v>0</v>
      </c>
      <c r="P404">
        <f t="shared" si="18"/>
        <v>9.779985130233515E-2</v>
      </c>
      <c r="Q404">
        <f t="shared" si="20"/>
        <v>-0.10291888919111283</v>
      </c>
    </row>
    <row r="405" spans="1:17" x14ac:dyDescent="0.4">
      <c r="A405">
        <v>403</v>
      </c>
      <c r="B405">
        <v>1</v>
      </c>
      <c r="C405">
        <v>0</v>
      </c>
      <c r="D405">
        <v>9.8249999999999993</v>
      </c>
      <c r="E405">
        <v>21</v>
      </c>
      <c r="F405">
        <v>1</v>
      </c>
      <c r="G405">
        <v>0</v>
      </c>
      <c r="H405">
        <v>0</v>
      </c>
      <c r="I405">
        <v>1</v>
      </c>
      <c r="J405">
        <v>1</v>
      </c>
      <c r="K405">
        <v>0</v>
      </c>
      <c r="L405">
        <v>0</v>
      </c>
      <c r="M405">
        <v>1</v>
      </c>
      <c r="N405">
        <v>0</v>
      </c>
      <c r="O405" s="14">
        <f t="shared" si="19"/>
        <v>1</v>
      </c>
      <c r="P405">
        <f t="shared" si="18"/>
        <v>0.59207311268059393</v>
      </c>
      <c r="Q405">
        <f t="shared" si="20"/>
        <v>-0.89666731838236369</v>
      </c>
    </row>
    <row r="406" spans="1:17" x14ac:dyDescent="0.4">
      <c r="A406">
        <v>404</v>
      </c>
      <c r="B406">
        <v>1</v>
      </c>
      <c r="C406">
        <v>0</v>
      </c>
      <c r="D406">
        <v>15.85</v>
      </c>
      <c r="E406">
        <v>28</v>
      </c>
      <c r="F406">
        <v>0</v>
      </c>
      <c r="G406">
        <v>0</v>
      </c>
      <c r="H406">
        <v>0</v>
      </c>
      <c r="I406">
        <v>1</v>
      </c>
      <c r="J406">
        <v>1</v>
      </c>
      <c r="K406">
        <v>0</v>
      </c>
      <c r="L406">
        <v>0</v>
      </c>
      <c r="M406">
        <v>1</v>
      </c>
      <c r="N406">
        <v>0</v>
      </c>
      <c r="O406" s="14">
        <f t="shared" si="19"/>
        <v>0</v>
      </c>
      <c r="P406">
        <f t="shared" si="18"/>
        <v>6.8967933728784625E-2</v>
      </c>
      <c r="Q406">
        <f t="shared" si="20"/>
        <v>-7.1461559471985611E-2</v>
      </c>
    </row>
    <row r="407" spans="1:17" x14ac:dyDescent="0.4">
      <c r="A407">
        <v>405</v>
      </c>
      <c r="B407">
        <v>0</v>
      </c>
      <c r="C407">
        <v>0</v>
      </c>
      <c r="D407">
        <v>8.6624999999999996</v>
      </c>
      <c r="E407">
        <v>20</v>
      </c>
      <c r="F407">
        <v>1</v>
      </c>
      <c r="G407">
        <v>0</v>
      </c>
      <c r="H407">
        <v>0</v>
      </c>
      <c r="I407">
        <v>1</v>
      </c>
      <c r="J407">
        <v>1</v>
      </c>
      <c r="K407">
        <v>0</v>
      </c>
      <c r="L407">
        <v>0</v>
      </c>
      <c r="M407">
        <v>1</v>
      </c>
      <c r="N407">
        <v>0</v>
      </c>
      <c r="O407" s="14">
        <f t="shared" si="19"/>
        <v>1</v>
      </c>
      <c r="P407">
        <f t="shared" si="18"/>
        <v>0.67486628779424107</v>
      </c>
      <c r="Q407">
        <f t="shared" si="20"/>
        <v>-1.1235187590917288</v>
      </c>
    </row>
    <row r="408" spans="1:17" x14ac:dyDescent="0.4">
      <c r="A408">
        <v>406</v>
      </c>
      <c r="B408">
        <v>1</v>
      </c>
      <c r="C408">
        <v>0</v>
      </c>
      <c r="D408">
        <v>21</v>
      </c>
      <c r="E408">
        <v>34</v>
      </c>
      <c r="F408">
        <v>0</v>
      </c>
      <c r="G408">
        <v>0</v>
      </c>
      <c r="H408">
        <v>1</v>
      </c>
      <c r="I408">
        <v>0</v>
      </c>
      <c r="J408">
        <v>1</v>
      </c>
      <c r="K408">
        <v>0</v>
      </c>
      <c r="L408">
        <v>0</v>
      </c>
      <c r="M408">
        <v>1</v>
      </c>
      <c r="N408">
        <v>0</v>
      </c>
      <c r="O408" s="14">
        <f t="shared" si="19"/>
        <v>0</v>
      </c>
      <c r="P408">
        <f t="shared" si="18"/>
        <v>0.16909500948210321</v>
      </c>
      <c r="Q408">
        <f t="shared" si="20"/>
        <v>-0.18523982216977652</v>
      </c>
    </row>
    <row r="409" spans="1:17" x14ac:dyDescent="0.4">
      <c r="A409">
        <v>407</v>
      </c>
      <c r="B409">
        <v>0</v>
      </c>
      <c r="C409">
        <v>0</v>
      </c>
      <c r="D409">
        <v>7.75</v>
      </c>
      <c r="E409">
        <v>51</v>
      </c>
      <c r="F409">
        <v>0</v>
      </c>
      <c r="G409">
        <v>0</v>
      </c>
      <c r="H409">
        <v>0</v>
      </c>
      <c r="I409">
        <v>1</v>
      </c>
      <c r="J409">
        <v>1</v>
      </c>
      <c r="K409">
        <v>0</v>
      </c>
      <c r="L409">
        <v>0</v>
      </c>
      <c r="M409">
        <v>1</v>
      </c>
      <c r="N409">
        <v>0</v>
      </c>
      <c r="O409" s="14">
        <f t="shared" si="19"/>
        <v>0</v>
      </c>
      <c r="P409">
        <f t="shared" si="18"/>
        <v>3.9705429523155096E-2</v>
      </c>
      <c r="Q409">
        <f t="shared" si="20"/>
        <v>-4.0515197340609682E-2</v>
      </c>
    </row>
    <row r="410" spans="1:17" x14ac:dyDescent="0.4">
      <c r="A410">
        <v>408</v>
      </c>
      <c r="B410">
        <v>1</v>
      </c>
      <c r="C410">
        <v>1</v>
      </c>
      <c r="D410">
        <v>18.75</v>
      </c>
      <c r="E410">
        <v>3</v>
      </c>
      <c r="F410">
        <v>0</v>
      </c>
      <c r="G410">
        <v>0</v>
      </c>
      <c r="H410">
        <v>1</v>
      </c>
      <c r="I410">
        <v>0</v>
      </c>
      <c r="J410">
        <v>1</v>
      </c>
      <c r="K410">
        <v>0</v>
      </c>
      <c r="L410">
        <v>0</v>
      </c>
      <c r="M410">
        <v>1</v>
      </c>
      <c r="N410">
        <v>1</v>
      </c>
      <c r="O410" s="14">
        <f t="shared" si="19"/>
        <v>0</v>
      </c>
      <c r="P410">
        <f t="shared" si="18"/>
        <v>0.37839014670764054</v>
      </c>
      <c r="Q410">
        <f t="shared" si="20"/>
        <v>-0.97182948149957338</v>
      </c>
    </row>
    <row r="411" spans="1:17" x14ac:dyDescent="0.4">
      <c r="A411">
        <v>409</v>
      </c>
      <c r="B411">
        <v>0</v>
      </c>
      <c r="C411">
        <v>0</v>
      </c>
      <c r="D411">
        <v>7.7750000000000004</v>
      </c>
      <c r="E411">
        <v>21</v>
      </c>
      <c r="F411">
        <v>0</v>
      </c>
      <c r="G411">
        <v>0</v>
      </c>
      <c r="H411">
        <v>0</v>
      </c>
      <c r="I411">
        <v>1</v>
      </c>
      <c r="J411">
        <v>1</v>
      </c>
      <c r="K411">
        <v>0</v>
      </c>
      <c r="L411">
        <v>0</v>
      </c>
      <c r="M411">
        <v>1</v>
      </c>
      <c r="N411">
        <v>0</v>
      </c>
      <c r="O411" s="14">
        <f t="shared" si="19"/>
        <v>0</v>
      </c>
      <c r="P411">
        <f t="shared" si="18"/>
        <v>0.11609620638281329</v>
      </c>
      <c r="Q411">
        <f t="shared" si="20"/>
        <v>-0.12340705301677812</v>
      </c>
    </row>
    <row r="412" spans="1:17" x14ac:dyDescent="0.4">
      <c r="A412">
        <v>410</v>
      </c>
      <c r="B412">
        <v>3</v>
      </c>
      <c r="C412">
        <v>1</v>
      </c>
      <c r="D412">
        <v>25.466699999999999</v>
      </c>
      <c r="E412">
        <v>28</v>
      </c>
      <c r="F412">
        <v>1</v>
      </c>
      <c r="G412">
        <v>0</v>
      </c>
      <c r="H412">
        <v>0</v>
      </c>
      <c r="I412">
        <v>1</v>
      </c>
      <c r="J412">
        <v>1</v>
      </c>
      <c r="K412">
        <v>0</v>
      </c>
      <c r="L412">
        <v>0</v>
      </c>
      <c r="M412">
        <v>1</v>
      </c>
      <c r="N412">
        <v>0</v>
      </c>
      <c r="O412" s="14">
        <f t="shared" si="19"/>
        <v>0</v>
      </c>
      <c r="P412">
        <f t="shared" si="18"/>
        <v>0.35485299892195843</v>
      </c>
      <c r="Q412">
        <f t="shared" si="20"/>
        <v>-0.43827707950546868</v>
      </c>
    </row>
    <row r="413" spans="1:17" x14ac:dyDescent="0.4">
      <c r="A413">
        <v>411</v>
      </c>
      <c r="B413">
        <v>0</v>
      </c>
      <c r="C413">
        <v>0</v>
      </c>
      <c r="D413">
        <v>7.8958000000000004</v>
      </c>
      <c r="E413">
        <v>28</v>
      </c>
      <c r="F413">
        <v>0</v>
      </c>
      <c r="G413">
        <v>0</v>
      </c>
      <c r="H413">
        <v>0</v>
      </c>
      <c r="I413">
        <v>1</v>
      </c>
      <c r="J413">
        <v>1</v>
      </c>
      <c r="K413">
        <v>0</v>
      </c>
      <c r="L413">
        <v>0</v>
      </c>
      <c r="M413">
        <v>1</v>
      </c>
      <c r="N413">
        <v>0</v>
      </c>
      <c r="O413" s="14">
        <f t="shared" si="19"/>
        <v>0</v>
      </c>
      <c r="P413">
        <f t="shared" si="18"/>
        <v>9.117888566880443E-2</v>
      </c>
      <c r="Q413">
        <f t="shared" si="20"/>
        <v>-9.5606998086197895E-2</v>
      </c>
    </row>
    <row r="414" spans="1:17" x14ac:dyDescent="0.4">
      <c r="A414">
        <v>412</v>
      </c>
      <c r="B414">
        <v>0</v>
      </c>
      <c r="C414">
        <v>0</v>
      </c>
      <c r="D414">
        <v>6.8582999999999998</v>
      </c>
      <c r="E414">
        <v>28</v>
      </c>
      <c r="F414">
        <v>0</v>
      </c>
      <c r="G414">
        <v>0</v>
      </c>
      <c r="H414">
        <v>0</v>
      </c>
      <c r="I414">
        <v>1</v>
      </c>
      <c r="J414">
        <v>0</v>
      </c>
      <c r="K414">
        <v>1</v>
      </c>
      <c r="L414">
        <v>0</v>
      </c>
      <c r="M414">
        <v>1</v>
      </c>
      <c r="N414">
        <v>0</v>
      </c>
      <c r="O414" s="14">
        <f t="shared" si="19"/>
        <v>0</v>
      </c>
      <c r="P414">
        <f t="shared" si="18"/>
        <v>0.12746992519209099</v>
      </c>
      <c r="Q414">
        <f t="shared" si="20"/>
        <v>-0.13635815580574256</v>
      </c>
    </row>
    <row r="415" spans="1:17" x14ac:dyDescent="0.4">
      <c r="A415">
        <v>413</v>
      </c>
      <c r="B415">
        <v>1</v>
      </c>
      <c r="C415">
        <v>0</v>
      </c>
      <c r="D415">
        <v>90</v>
      </c>
      <c r="E415">
        <v>33</v>
      </c>
      <c r="F415">
        <v>1</v>
      </c>
      <c r="G415">
        <v>1</v>
      </c>
      <c r="H415">
        <v>0</v>
      </c>
      <c r="I415">
        <v>0</v>
      </c>
      <c r="J415">
        <v>0</v>
      </c>
      <c r="K415">
        <v>1</v>
      </c>
      <c r="L415">
        <v>0</v>
      </c>
      <c r="M415">
        <v>1</v>
      </c>
      <c r="N415">
        <v>1</v>
      </c>
      <c r="O415" s="14">
        <f t="shared" si="19"/>
        <v>1</v>
      </c>
      <c r="P415">
        <f t="shared" si="18"/>
        <v>0.93249314073447442</v>
      </c>
      <c r="Q415">
        <f t="shared" si="20"/>
        <v>-6.9893483271944806E-2</v>
      </c>
    </row>
    <row r="416" spans="1:17" x14ac:dyDescent="0.4">
      <c r="A416">
        <v>414</v>
      </c>
      <c r="B416">
        <v>0</v>
      </c>
      <c r="C416">
        <v>0</v>
      </c>
      <c r="D416">
        <v>0</v>
      </c>
      <c r="E416">
        <v>28</v>
      </c>
      <c r="F416">
        <v>0</v>
      </c>
      <c r="G416">
        <v>0</v>
      </c>
      <c r="H416">
        <v>1</v>
      </c>
      <c r="I416">
        <v>0</v>
      </c>
      <c r="J416">
        <v>1</v>
      </c>
      <c r="K416">
        <v>0</v>
      </c>
      <c r="L416">
        <v>0</v>
      </c>
      <c r="M416">
        <v>1</v>
      </c>
      <c r="N416">
        <v>0</v>
      </c>
      <c r="O416" s="14">
        <f t="shared" si="19"/>
        <v>0</v>
      </c>
      <c r="P416">
        <f t="shared" si="18"/>
        <v>0.25197925163314788</v>
      </c>
      <c r="Q416">
        <f t="shared" si="20"/>
        <v>-0.29032456293400521</v>
      </c>
    </row>
    <row r="417" spans="1:17" x14ac:dyDescent="0.4">
      <c r="A417">
        <v>415</v>
      </c>
      <c r="B417">
        <v>0</v>
      </c>
      <c r="C417">
        <v>0</v>
      </c>
      <c r="D417">
        <v>7.9249999999999998</v>
      </c>
      <c r="E417">
        <v>44</v>
      </c>
      <c r="F417">
        <v>0</v>
      </c>
      <c r="G417">
        <v>0</v>
      </c>
      <c r="H417">
        <v>0</v>
      </c>
      <c r="I417">
        <v>1</v>
      </c>
      <c r="J417">
        <v>1</v>
      </c>
      <c r="K417">
        <v>0</v>
      </c>
      <c r="L417">
        <v>0</v>
      </c>
      <c r="M417">
        <v>1</v>
      </c>
      <c r="N417">
        <v>1</v>
      </c>
      <c r="O417" s="14">
        <f t="shared" si="19"/>
        <v>0</v>
      </c>
      <c r="P417">
        <f t="shared" si="18"/>
        <v>5.1384623044558368E-2</v>
      </c>
      <c r="Q417">
        <f t="shared" si="20"/>
        <v>-2.9684163138362925</v>
      </c>
    </row>
    <row r="418" spans="1:17" x14ac:dyDescent="0.4">
      <c r="A418">
        <v>416</v>
      </c>
      <c r="B418">
        <v>0</v>
      </c>
      <c r="C418">
        <v>0</v>
      </c>
      <c r="D418">
        <v>8.0500000000000007</v>
      </c>
      <c r="E418">
        <v>28</v>
      </c>
      <c r="F418">
        <v>1</v>
      </c>
      <c r="G418">
        <v>0</v>
      </c>
      <c r="H418">
        <v>0</v>
      </c>
      <c r="I418">
        <v>1</v>
      </c>
      <c r="J418">
        <v>1</v>
      </c>
      <c r="K418">
        <v>0</v>
      </c>
      <c r="L418">
        <v>0</v>
      </c>
      <c r="M418">
        <v>1</v>
      </c>
      <c r="N418">
        <v>0</v>
      </c>
      <c r="O418" s="14">
        <f t="shared" si="19"/>
        <v>1</v>
      </c>
      <c r="P418">
        <f t="shared" si="18"/>
        <v>0.60363680202197822</v>
      </c>
      <c r="Q418">
        <f t="shared" si="20"/>
        <v>-0.92542432145679165</v>
      </c>
    </row>
    <row r="419" spans="1:17" x14ac:dyDescent="0.4">
      <c r="A419">
        <v>417</v>
      </c>
      <c r="B419">
        <v>1</v>
      </c>
      <c r="C419">
        <v>1</v>
      </c>
      <c r="D419">
        <v>32.5</v>
      </c>
      <c r="E419">
        <v>34</v>
      </c>
      <c r="F419">
        <v>1</v>
      </c>
      <c r="G419">
        <v>0</v>
      </c>
      <c r="H419">
        <v>1</v>
      </c>
      <c r="I419">
        <v>0</v>
      </c>
      <c r="J419">
        <v>1</v>
      </c>
      <c r="K419">
        <v>0</v>
      </c>
      <c r="L419">
        <v>0</v>
      </c>
      <c r="M419">
        <v>1</v>
      </c>
      <c r="N419">
        <v>1</v>
      </c>
      <c r="O419" s="14">
        <f t="shared" si="19"/>
        <v>1</v>
      </c>
      <c r="P419">
        <f t="shared" si="18"/>
        <v>0.74289787761503867</v>
      </c>
      <c r="Q419">
        <f t="shared" si="20"/>
        <v>-0.29719668972031543</v>
      </c>
    </row>
    <row r="420" spans="1:17" x14ac:dyDescent="0.4">
      <c r="A420">
        <v>418</v>
      </c>
      <c r="B420">
        <v>0</v>
      </c>
      <c r="C420">
        <v>2</v>
      </c>
      <c r="D420">
        <v>13</v>
      </c>
      <c r="E420">
        <v>18</v>
      </c>
      <c r="F420">
        <v>1</v>
      </c>
      <c r="G420">
        <v>0</v>
      </c>
      <c r="H420">
        <v>1</v>
      </c>
      <c r="I420">
        <v>0</v>
      </c>
      <c r="J420">
        <v>1</v>
      </c>
      <c r="K420">
        <v>0</v>
      </c>
      <c r="L420">
        <v>0</v>
      </c>
      <c r="M420">
        <v>1</v>
      </c>
      <c r="N420">
        <v>1</v>
      </c>
      <c r="O420" s="14">
        <f t="shared" si="19"/>
        <v>1</v>
      </c>
      <c r="P420">
        <f t="shared" si="18"/>
        <v>0.86535037290202865</v>
      </c>
      <c r="Q420">
        <f t="shared" si="20"/>
        <v>-0.14462079868497385</v>
      </c>
    </row>
    <row r="421" spans="1:17" x14ac:dyDescent="0.4">
      <c r="A421">
        <v>419</v>
      </c>
      <c r="B421">
        <v>0</v>
      </c>
      <c r="C421">
        <v>0</v>
      </c>
      <c r="D421">
        <v>13</v>
      </c>
      <c r="E421">
        <v>30</v>
      </c>
      <c r="F421">
        <v>0</v>
      </c>
      <c r="G421">
        <v>0</v>
      </c>
      <c r="H421">
        <v>1</v>
      </c>
      <c r="I421">
        <v>0</v>
      </c>
      <c r="J421">
        <v>1</v>
      </c>
      <c r="K421">
        <v>0</v>
      </c>
      <c r="L421">
        <v>0</v>
      </c>
      <c r="M421">
        <v>1</v>
      </c>
      <c r="N421">
        <v>0</v>
      </c>
      <c r="O421" s="14">
        <f t="shared" si="19"/>
        <v>0</v>
      </c>
      <c r="P421">
        <f t="shared" si="18"/>
        <v>0.24328874764912325</v>
      </c>
      <c r="Q421">
        <f t="shared" si="20"/>
        <v>-0.27877353509900654</v>
      </c>
    </row>
    <row r="422" spans="1:17" x14ac:dyDescent="0.4">
      <c r="A422">
        <v>420</v>
      </c>
      <c r="B422">
        <v>0</v>
      </c>
      <c r="C422">
        <v>2</v>
      </c>
      <c r="D422">
        <v>24.15</v>
      </c>
      <c r="E422">
        <v>10</v>
      </c>
      <c r="F422">
        <v>1</v>
      </c>
      <c r="G422">
        <v>0</v>
      </c>
      <c r="H422">
        <v>0</v>
      </c>
      <c r="I422">
        <v>1</v>
      </c>
      <c r="J422">
        <v>1</v>
      </c>
      <c r="K422">
        <v>0</v>
      </c>
      <c r="L422">
        <v>0</v>
      </c>
      <c r="M422">
        <v>1</v>
      </c>
      <c r="N422">
        <v>0</v>
      </c>
      <c r="O422" s="14">
        <f t="shared" si="19"/>
        <v>1</v>
      </c>
      <c r="P422">
        <f t="shared" si="18"/>
        <v>0.72412811370361896</v>
      </c>
      <c r="Q422">
        <f t="shared" si="20"/>
        <v>-1.2878187011154885</v>
      </c>
    </row>
    <row r="423" spans="1:17" x14ac:dyDescent="0.4">
      <c r="A423">
        <v>421</v>
      </c>
      <c r="B423">
        <v>0</v>
      </c>
      <c r="C423">
        <v>0</v>
      </c>
      <c r="D423">
        <v>7.8958000000000004</v>
      </c>
      <c r="E423">
        <v>28</v>
      </c>
      <c r="F423">
        <v>0</v>
      </c>
      <c r="G423">
        <v>0</v>
      </c>
      <c r="H423">
        <v>0</v>
      </c>
      <c r="I423">
        <v>1</v>
      </c>
      <c r="J423">
        <v>0</v>
      </c>
      <c r="K423">
        <v>0</v>
      </c>
      <c r="L423">
        <v>1</v>
      </c>
      <c r="M423">
        <v>1</v>
      </c>
      <c r="N423">
        <v>0</v>
      </c>
      <c r="O423" s="14">
        <f t="shared" si="19"/>
        <v>0</v>
      </c>
      <c r="P423">
        <f t="shared" si="18"/>
        <v>0.13418093180305438</v>
      </c>
      <c r="Q423">
        <f t="shared" si="20"/>
        <v>-0.14407932042728094</v>
      </c>
    </row>
    <row r="424" spans="1:17" x14ac:dyDescent="0.4">
      <c r="A424">
        <v>422</v>
      </c>
      <c r="B424">
        <v>0</v>
      </c>
      <c r="C424">
        <v>0</v>
      </c>
      <c r="D424">
        <v>7.7332999999999998</v>
      </c>
      <c r="E424">
        <v>21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1</v>
      </c>
      <c r="L424">
        <v>0</v>
      </c>
      <c r="M424">
        <v>1</v>
      </c>
      <c r="N424">
        <v>0</v>
      </c>
      <c r="O424" s="14">
        <f t="shared" si="19"/>
        <v>0</v>
      </c>
      <c r="P424">
        <f t="shared" si="18"/>
        <v>0.16086691020340829</v>
      </c>
      <c r="Q424">
        <f t="shared" si="20"/>
        <v>-0.17538595601701426</v>
      </c>
    </row>
    <row r="425" spans="1:17" x14ac:dyDescent="0.4">
      <c r="A425">
        <v>423</v>
      </c>
      <c r="B425">
        <v>0</v>
      </c>
      <c r="C425">
        <v>0</v>
      </c>
      <c r="D425">
        <v>7.875</v>
      </c>
      <c r="E425">
        <v>29</v>
      </c>
      <c r="F425">
        <v>0</v>
      </c>
      <c r="G425">
        <v>0</v>
      </c>
      <c r="H425">
        <v>0</v>
      </c>
      <c r="I425">
        <v>1</v>
      </c>
      <c r="J425">
        <v>1</v>
      </c>
      <c r="K425">
        <v>0</v>
      </c>
      <c r="L425">
        <v>0</v>
      </c>
      <c r="M425">
        <v>1</v>
      </c>
      <c r="N425">
        <v>0</v>
      </c>
      <c r="O425" s="14">
        <f t="shared" si="19"/>
        <v>0</v>
      </c>
      <c r="P425">
        <f t="shared" si="18"/>
        <v>8.8032438132743002E-2</v>
      </c>
      <c r="Q425">
        <f t="shared" si="20"/>
        <v>-9.2150857668374178E-2</v>
      </c>
    </row>
    <row r="426" spans="1:17" x14ac:dyDescent="0.4">
      <c r="A426">
        <v>424</v>
      </c>
      <c r="B426">
        <v>1</v>
      </c>
      <c r="C426">
        <v>1</v>
      </c>
      <c r="D426">
        <v>14.4</v>
      </c>
      <c r="E426">
        <v>28</v>
      </c>
      <c r="F426">
        <v>1</v>
      </c>
      <c r="G426">
        <v>0</v>
      </c>
      <c r="H426">
        <v>0</v>
      </c>
      <c r="I426">
        <v>1</v>
      </c>
      <c r="J426">
        <v>1</v>
      </c>
      <c r="K426">
        <v>0</v>
      </c>
      <c r="L426">
        <v>0</v>
      </c>
      <c r="M426">
        <v>1</v>
      </c>
      <c r="N426">
        <v>0</v>
      </c>
      <c r="O426" s="14">
        <f t="shared" si="19"/>
        <v>1</v>
      </c>
      <c r="P426">
        <f t="shared" si="18"/>
        <v>0.5050504815967739</v>
      </c>
      <c r="Q426">
        <f t="shared" si="20"/>
        <v>-0.70329950463785462</v>
      </c>
    </row>
    <row r="427" spans="1:17" x14ac:dyDescent="0.4">
      <c r="A427">
        <v>425</v>
      </c>
      <c r="B427">
        <v>1</v>
      </c>
      <c r="C427">
        <v>1</v>
      </c>
      <c r="D427">
        <v>20.212499999999999</v>
      </c>
      <c r="E427">
        <v>18</v>
      </c>
      <c r="F427">
        <v>0</v>
      </c>
      <c r="G427">
        <v>0</v>
      </c>
      <c r="H427">
        <v>0</v>
      </c>
      <c r="I427">
        <v>1</v>
      </c>
      <c r="J427">
        <v>1</v>
      </c>
      <c r="K427">
        <v>0</v>
      </c>
      <c r="L427">
        <v>0</v>
      </c>
      <c r="M427">
        <v>1</v>
      </c>
      <c r="N427">
        <v>0</v>
      </c>
      <c r="O427" s="14">
        <f t="shared" si="19"/>
        <v>0</v>
      </c>
      <c r="P427">
        <f t="shared" si="18"/>
        <v>9.1076985289892609E-2</v>
      </c>
      <c r="Q427">
        <f t="shared" si="20"/>
        <v>-9.5494880679363237E-2</v>
      </c>
    </row>
    <row r="428" spans="1:17" x14ac:dyDescent="0.4">
      <c r="A428">
        <v>426</v>
      </c>
      <c r="B428">
        <v>0</v>
      </c>
      <c r="C428">
        <v>0</v>
      </c>
      <c r="D428">
        <v>7.25</v>
      </c>
      <c r="E428">
        <v>28</v>
      </c>
      <c r="F428">
        <v>0</v>
      </c>
      <c r="G428">
        <v>0</v>
      </c>
      <c r="H428">
        <v>0</v>
      </c>
      <c r="I428">
        <v>1</v>
      </c>
      <c r="J428">
        <v>1</v>
      </c>
      <c r="K428">
        <v>0</v>
      </c>
      <c r="L428">
        <v>0</v>
      </c>
      <c r="M428">
        <v>1</v>
      </c>
      <c r="N428">
        <v>0</v>
      </c>
      <c r="O428" s="14">
        <f t="shared" si="19"/>
        <v>0</v>
      </c>
      <c r="P428">
        <f t="shared" si="18"/>
        <v>9.1053812475040241E-2</v>
      </c>
      <c r="Q428">
        <f t="shared" si="20"/>
        <v>-9.546938619953467E-2</v>
      </c>
    </row>
    <row r="429" spans="1:17" x14ac:dyDescent="0.4">
      <c r="A429">
        <v>427</v>
      </c>
      <c r="B429">
        <v>1</v>
      </c>
      <c r="C429">
        <v>0</v>
      </c>
      <c r="D429">
        <v>26</v>
      </c>
      <c r="E429">
        <v>28</v>
      </c>
      <c r="F429">
        <v>1</v>
      </c>
      <c r="G429">
        <v>0</v>
      </c>
      <c r="H429">
        <v>1</v>
      </c>
      <c r="I429">
        <v>0</v>
      </c>
      <c r="J429">
        <v>1</v>
      </c>
      <c r="K429">
        <v>0</v>
      </c>
      <c r="L429">
        <v>0</v>
      </c>
      <c r="M429">
        <v>1</v>
      </c>
      <c r="N429">
        <v>1</v>
      </c>
      <c r="O429" s="14">
        <f t="shared" si="19"/>
        <v>1</v>
      </c>
      <c r="P429">
        <f t="shared" si="18"/>
        <v>0.79744435537400726</v>
      </c>
      <c r="Q429">
        <f t="shared" si="20"/>
        <v>-0.22634322058314024</v>
      </c>
    </row>
    <row r="430" spans="1:17" x14ac:dyDescent="0.4">
      <c r="A430">
        <v>428</v>
      </c>
      <c r="B430">
        <v>0</v>
      </c>
      <c r="C430">
        <v>0</v>
      </c>
      <c r="D430">
        <v>26</v>
      </c>
      <c r="E430">
        <v>19</v>
      </c>
      <c r="F430">
        <v>1</v>
      </c>
      <c r="G430">
        <v>0</v>
      </c>
      <c r="H430">
        <v>1</v>
      </c>
      <c r="I430">
        <v>0</v>
      </c>
      <c r="J430">
        <v>1</v>
      </c>
      <c r="K430">
        <v>0</v>
      </c>
      <c r="L430">
        <v>0</v>
      </c>
      <c r="M430">
        <v>1</v>
      </c>
      <c r="N430">
        <v>1</v>
      </c>
      <c r="O430" s="14">
        <f t="shared" si="19"/>
        <v>1</v>
      </c>
      <c r="P430">
        <f t="shared" si="18"/>
        <v>0.88483709673619504</v>
      </c>
      <c r="Q430">
        <f t="shared" si="20"/>
        <v>-0.12235172240196783</v>
      </c>
    </row>
    <row r="431" spans="1:17" x14ac:dyDescent="0.4">
      <c r="A431">
        <v>429</v>
      </c>
      <c r="B431">
        <v>0</v>
      </c>
      <c r="C431">
        <v>0</v>
      </c>
      <c r="D431">
        <v>7.75</v>
      </c>
      <c r="E431">
        <v>28</v>
      </c>
      <c r="F431">
        <v>0</v>
      </c>
      <c r="G431">
        <v>0</v>
      </c>
      <c r="H431">
        <v>0</v>
      </c>
      <c r="I431">
        <v>1</v>
      </c>
      <c r="J431">
        <v>0</v>
      </c>
      <c r="K431">
        <v>1</v>
      </c>
      <c r="L431">
        <v>0</v>
      </c>
      <c r="M431">
        <v>1</v>
      </c>
      <c r="N431">
        <v>0</v>
      </c>
      <c r="O431" s="14">
        <f t="shared" si="19"/>
        <v>0</v>
      </c>
      <c r="P431">
        <f t="shared" si="18"/>
        <v>0.12770204164315915</v>
      </c>
      <c r="Q431">
        <f t="shared" si="20"/>
        <v>-0.13662421807437358</v>
      </c>
    </row>
    <row r="432" spans="1:17" x14ac:dyDescent="0.4">
      <c r="A432">
        <v>430</v>
      </c>
      <c r="B432">
        <v>0</v>
      </c>
      <c r="C432">
        <v>0</v>
      </c>
      <c r="D432">
        <v>8.0500000000000007</v>
      </c>
      <c r="E432">
        <v>32</v>
      </c>
      <c r="F432">
        <v>0</v>
      </c>
      <c r="G432">
        <v>0</v>
      </c>
      <c r="H432">
        <v>0</v>
      </c>
      <c r="I432">
        <v>1</v>
      </c>
      <c r="J432">
        <v>1</v>
      </c>
      <c r="K432">
        <v>0</v>
      </c>
      <c r="L432">
        <v>0</v>
      </c>
      <c r="M432">
        <v>1</v>
      </c>
      <c r="N432">
        <v>1</v>
      </c>
      <c r="O432" s="14">
        <f t="shared" si="19"/>
        <v>0</v>
      </c>
      <c r="P432">
        <f t="shared" si="18"/>
        <v>7.9214608093490901E-2</v>
      </c>
      <c r="Q432">
        <f t="shared" si="20"/>
        <v>-2.5355945515448748</v>
      </c>
    </row>
    <row r="433" spans="1:17" x14ac:dyDescent="0.4">
      <c r="A433">
        <v>431</v>
      </c>
      <c r="B433">
        <v>0</v>
      </c>
      <c r="C433">
        <v>0</v>
      </c>
      <c r="D433">
        <v>26.55</v>
      </c>
      <c r="E433">
        <v>28</v>
      </c>
      <c r="F433">
        <v>0</v>
      </c>
      <c r="G433">
        <v>1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1</v>
      </c>
      <c r="N433">
        <v>1</v>
      </c>
      <c r="O433" s="14">
        <f t="shared" si="19"/>
        <v>0</v>
      </c>
      <c r="P433">
        <f t="shared" si="18"/>
        <v>0.47351539329993997</v>
      </c>
      <c r="Q433">
        <f t="shared" si="20"/>
        <v>-0.74757085727526429</v>
      </c>
    </row>
    <row r="434" spans="1:17" x14ac:dyDescent="0.4">
      <c r="A434">
        <v>432</v>
      </c>
      <c r="B434">
        <v>1</v>
      </c>
      <c r="C434">
        <v>0</v>
      </c>
      <c r="D434">
        <v>16.100000000000001</v>
      </c>
      <c r="E434">
        <v>28</v>
      </c>
      <c r="F434">
        <v>1</v>
      </c>
      <c r="G434">
        <v>0</v>
      </c>
      <c r="H434">
        <v>0</v>
      </c>
      <c r="I434">
        <v>1</v>
      </c>
      <c r="J434">
        <v>1</v>
      </c>
      <c r="K434">
        <v>0</v>
      </c>
      <c r="L434">
        <v>0</v>
      </c>
      <c r="M434">
        <v>1</v>
      </c>
      <c r="N434">
        <v>1</v>
      </c>
      <c r="O434" s="14">
        <f t="shared" si="19"/>
        <v>1</v>
      </c>
      <c r="P434">
        <f t="shared" si="18"/>
        <v>0.52935088053731072</v>
      </c>
      <c r="Q434">
        <f t="shared" si="20"/>
        <v>-0.63610377676292229</v>
      </c>
    </row>
    <row r="435" spans="1:17" x14ac:dyDescent="0.4">
      <c r="A435">
        <v>433</v>
      </c>
      <c r="B435">
        <v>1</v>
      </c>
      <c r="C435">
        <v>0</v>
      </c>
      <c r="D435">
        <v>26</v>
      </c>
      <c r="E435">
        <v>42</v>
      </c>
      <c r="F435">
        <v>1</v>
      </c>
      <c r="G435">
        <v>0</v>
      </c>
      <c r="H435">
        <v>1</v>
      </c>
      <c r="I435">
        <v>0</v>
      </c>
      <c r="J435">
        <v>1</v>
      </c>
      <c r="K435">
        <v>0</v>
      </c>
      <c r="L435">
        <v>0</v>
      </c>
      <c r="M435">
        <v>1</v>
      </c>
      <c r="N435">
        <v>1</v>
      </c>
      <c r="O435" s="14">
        <f t="shared" si="19"/>
        <v>1</v>
      </c>
      <c r="P435">
        <f t="shared" si="18"/>
        <v>0.69657490997470795</v>
      </c>
      <c r="Q435">
        <f t="shared" si="20"/>
        <v>-0.36157993953594847</v>
      </c>
    </row>
    <row r="436" spans="1:17" x14ac:dyDescent="0.4">
      <c r="A436">
        <v>434</v>
      </c>
      <c r="B436">
        <v>0</v>
      </c>
      <c r="C436">
        <v>0</v>
      </c>
      <c r="D436">
        <v>7.125</v>
      </c>
      <c r="E436">
        <v>17</v>
      </c>
      <c r="F436">
        <v>0</v>
      </c>
      <c r="G436">
        <v>0</v>
      </c>
      <c r="H436">
        <v>0</v>
      </c>
      <c r="I436">
        <v>1</v>
      </c>
      <c r="J436">
        <v>1</v>
      </c>
      <c r="K436">
        <v>0</v>
      </c>
      <c r="L436">
        <v>0</v>
      </c>
      <c r="M436">
        <v>1</v>
      </c>
      <c r="N436">
        <v>0</v>
      </c>
      <c r="O436" s="14">
        <f t="shared" si="19"/>
        <v>0</v>
      </c>
      <c r="P436">
        <f t="shared" si="18"/>
        <v>0.13269388050016157</v>
      </c>
      <c r="Q436">
        <f t="shared" si="20"/>
        <v>-0.1423632855114324</v>
      </c>
    </row>
    <row r="437" spans="1:17" x14ac:dyDescent="0.4">
      <c r="A437">
        <v>435</v>
      </c>
      <c r="B437">
        <v>1</v>
      </c>
      <c r="C437">
        <v>0</v>
      </c>
      <c r="D437">
        <v>55.9</v>
      </c>
      <c r="E437">
        <v>50</v>
      </c>
      <c r="F437">
        <v>0</v>
      </c>
      <c r="G437">
        <v>1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1</v>
      </c>
      <c r="N437">
        <v>0</v>
      </c>
      <c r="O437" s="14">
        <f t="shared" si="19"/>
        <v>0</v>
      </c>
      <c r="P437">
        <f t="shared" si="18"/>
        <v>0.23025202764997374</v>
      </c>
      <c r="Q437">
        <f t="shared" si="20"/>
        <v>-0.26169212634789996</v>
      </c>
    </row>
    <row r="438" spans="1:17" x14ac:dyDescent="0.4">
      <c r="A438">
        <v>436</v>
      </c>
      <c r="B438">
        <v>1</v>
      </c>
      <c r="C438">
        <v>2</v>
      </c>
      <c r="D438">
        <v>120</v>
      </c>
      <c r="E438">
        <v>14</v>
      </c>
      <c r="F438">
        <v>1</v>
      </c>
      <c r="G438">
        <v>1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1</v>
      </c>
      <c r="N438">
        <v>1</v>
      </c>
      <c r="O438" s="14">
        <f t="shared" si="19"/>
        <v>1</v>
      </c>
      <c r="P438">
        <f t="shared" si="18"/>
        <v>0.94597761785736456</v>
      </c>
      <c r="Q438">
        <f t="shared" si="20"/>
        <v>-5.5536369980383291E-2</v>
      </c>
    </row>
    <row r="439" spans="1:17" x14ac:dyDescent="0.4">
      <c r="A439">
        <v>437</v>
      </c>
      <c r="B439">
        <v>2</v>
      </c>
      <c r="C439">
        <v>2</v>
      </c>
      <c r="D439">
        <v>34.375</v>
      </c>
      <c r="E439">
        <v>21</v>
      </c>
      <c r="F439">
        <v>1</v>
      </c>
      <c r="G439">
        <v>0</v>
      </c>
      <c r="H439">
        <v>0</v>
      </c>
      <c r="I439">
        <v>1</v>
      </c>
      <c r="J439">
        <v>1</v>
      </c>
      <c r="K439">
        <v>0</v>
      </c>
      <c r="L439">
        <v>0</v>
      </c>
      <c r="M439">
        <v>1</v>
      </c>
      <c r="N439">
        <v>0</v>
      </c>
      <c r="O439" s="14">
        <f t="shared" si="19"/>
        <v>0</v>
      </c>
      <c r="P439">
        <f t="shared" si="18"/>
        <v>0.48033658497533127</v>
      </c>
      <c r="Q439">
        <f t="shared" si="20"/>
        <v>-0.65457395578074029</v>
      </c>
    </row>
    <row r="440" spans="1:17" x14ac:dyDescent="0.4">
      <c r="A440">
        <v>438</v>
      </c>
      <c r="B440">
        <v>2</v>
      </c>
      <c r="C440">
        <v>3</v>
      </c>
      <c r="D440">
        <v>18.75</v>
      </c>
      <c r="E440">
        <v>24</v>
      </c>
      <c r="F440">
        <v>1</v>
      </c>
      <c r="G440">
        <v>0</v>
      </c>
      <c r="H440">
        <v>1</v>
      </c>
      <c r="I440">
        <v>0</v>
      </c>
      <c r="J440">
        <v>1</v>
      </c>
      <c r="K440">
        <v>0</v>
      </c>
      <c r="L440">
        <v>0</v>
      </c>
      <c r="M440">
        <v>1</v>
      </c>
      <c r="N440">
        <v>1</v>
      </c>
      <c r="O440" s="14">
        <f t="shared" si="19"/>
        <v>1</v>
      </c>
      <c r="P440">
        <f t="shared" si="18"/>
        <v>0.71208543984837813</v>
      </c>
      <c r="Q440">
        <f t="shared" si="20"/>
        <v>-0.33955737498251187</v>
      </c>
    </row>
    <row r="441" spans="1:17" x14ac:dyDescent="0.4">
      <c r="A441">
        <v>439</v>
      </c>
      <c r="B441">
        <v>1</v>
      </c>
      <c r="C441">
        <v>4</v>
      </c>
      <c r="D441">
        <v>263</v>
      </c>
      <c r="E441">
        <v>64</v>
      </c>
      <c r="F441">
        <v>0</v>
      </c>
      <c r="G441">
        <v>1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1</v>
      </c>
      <c r="N441">
        <v>0</v>
      </c>
      <c r="O441" s="14">
        <f t="shared" si="19"/>
        <v>0</v>
      </c>
      <c r="P441">
        <f t="shared" si="18"/>
        <v>0.16309788733960154</v>
      </c>
      <c r="Q441">
        <f t="shared" si="20"/>
        <v>-0.17804816555839781</v>
      </c>
    </row>
    <row r="442" spans="1:17" x14ac:dyDescent="0.4">
      <c r="A442">
        <v>440</v>
      </c>
      <c r="B442">
        <v>0</v>
      </c>
      <c r="C442">
        <v>0</v>
      </c>
      <c r="D442">
        <v>10.5</v>
      </c>
      <c r="E442">
        <v>31</v>
      </c>
      <c r="F442">
        <v>0</v>
      </c>
      <c r="G442">
        <v>0</v>
      </c>
      <c r="H442">
        <v>1</v>
      </c>
      <c r="I442">
        <v>0</v>
      </c>
      <c r="J442">
        <v>1</v>
      </c>
      <c r="K442">
        <v>0</v>
      </c>
      <c r="L442">
        <v>0</v>
      </c>
      <c r="M442">
        <v>1</v>
      </c>
      <c r="N442">
        <v>0</v>
      </c>
      <c r="O442" s="14">
        <f t="shared" si="19"/>
        <v>0</v>
      </c>
      <c r="P442">
        <f t="shared" si="18"/>
        <v>0.23521319201724181</v>
      </c>
      <c r="Q442">
        <f t="shared" si="20"/>
        <v>-0.26815816637022988</v>
      </c>
    </row>
    <row r="443" spans="1:17" x14ac:dyDescent="0.4">
      <c r="A443">
        <v>441</v>
      </c>
      <c r="B443">
        <v>1</v>
      </c>
      <c r="C443">
        <v>1</v>
      </c>
      <c r="D443">
        <v>26.25</v>
      </c>
      <c r="E443">
        <v>45</v>
      </c>
      <c r="F443">
        <v>1</v>
      </c>
      <c r="G443">
        <v>0</v>
      </c>
      <c r="H443">
        <v>1</v>
      </c>
      <c r="I443">
        <v>0</v>
      </c>
      <c r="J443">
        <v>1</v>
      </c>
      <c r="K443">
        <v>0</v>
      </c>
      <c r="L443">
        <v>0</v>
      </c>
      <c r="M443">
        <v>1</v>
      </c>
      <c r="N443">
        <v>1</v>
      </c>
      <c r="O443" s="14">
        <f t="shared" si="19"/>
        <v>1</v>
      </c>
      <c r="P443">
        <f t="shared" si="18"/>
        <v>0.65082973646027675</v>
      </c>
      <c r="Q443">
        <f t="shared" si="20"/>
        <v>-0.42950721251719309</v>
      </c>
    </row>
    <row r="444" spans="1:17" x14ac:dyDescent="0.4">
      <c r="A444">
        <v>442</v>
      </c>
      <c r="B444">
        <v>0</v>
      </c>
      <c r="C444">
        <v>0</v>
      </c>
      <c r="D444">
        <v>9.5</v>
      </c>
      <c r="E444">
        <v>20</v>
      </c>
      <c r="F444">
        <v>0</v>
      </c>
      <c r="G444">
        <v>0</v>
      </c>
      <c r="H444">
        <v>0</v>
      </c>
      <c r="I444">
        <v>1</v>
      </c>
      <c r="J444">
        <v>1</v>
      </c>
      <c r="K444">
        <v>0</v>
      </c>
      <c r="L444">
        <v>0</v>
      </c>
      <c r="M444">
        <v>1</v>
      </c>
      <c r="N444">
        <v>0</v>
      </c>
      <c r="O444" s="14">
        <f t="shared" si="19"/>
        <v>0</v>
      </c>
      <c r="P444">
        <f t="shared" si="18"/>
        <v>0.12053544675399107</v>
      </c>
      <c r="Q444">
        <f t="shared" si="20"/>
        <v>-0.12844201891859</v>
      </c>
    </row>
    <row r="445" spans="1:17" x14ac:dyDescent="0.4">
      <c r="A445">
        <v>443</v>
      </c>
      <c r="B445">
        <v>1</v>
      </c>
      <c r="C445">
        <v>0</v>
      </c>
      <c r="D445">
        <v>7.7750000000000004</v>
      </c>
      <c r="E445">
        <v>25</v>
      </c>
      <c r="F445">
        <v>0</v>
      </c>
      <c r="G445">
        <v>0</v>
      </c>
      <c r="H445">
        <v>0</v>
      </c>
      <c r="I445">
        <v>1</v>
      </c>
      <c r="J445">
        <v>1</v>
      </c>
      <c r="K445">
        <v>0</v>
      </c>
      <c r="L445">
        <v>0</v>
      </c>
      <c r="M445">
        <v>1</v>
      </c>
      <c r="N445">
        <v>0</v>
      </c>
      <c r="O445" s="14">
        <f t="shared" si="19"/>
        <v>0</v>
      </c>
      <c r="P445">
        <f t="shared" si="18"/>
        <v>7.5441414615694258E-2</v>
      </c>
      <c r="Q445">
        <f t="shared" si="20"/>
        <v>-7.8438860358189616E-2</v>
      </c>
    </row>
    <row r="446" spans="1:17" x14ac:dyDescent="0.4">
      <c r="A446">
        <v>444</v>
      </c>
      <c r="B446">
        <v>0</v>
      </c>
      <c r="C446">
        <v>0</v>
      </c>
      <c r="D446">
        <v>13</v>
      </c>
      <c r="E446">
        <v>28</v>
      </c>
      <c r="F446">
        <v>1</v>
      </c>
      <c r="G446">
        <v>0</v>
      </c>
      <c r="H446">
        <v>1</v>
      </c>
      <c r="I446">
        <v>0</v>
      </c>
      <c r="J446">
        <v>1</v>
      </c>
      <c r="K446">
        <v>0</v>
      </c>
      <c r="L446">
        <v>0</v>
      </c>
      <c r="M446">
        <v>1</v>
      </c>
      <c r="N446">
        <v>1</v>
      </c>
      <c r="O446" s="14">
        <f t="shared" si="19"/>
        <v>1</v>
      </c>
      <c r="P446">
        <f t="shared" si="18"/>
        <v>0.84049614596407707</v>
      </c>
      <c r="Q446">
        <f t="shared" si="20"/>
        <v>-0.1737629115525734</v>
      </c>
    </row>
    <row r="447" spans="1:17" x14ac:dyDescent="0.4">
      <c r="A447">
        <v>445</v>
      </c>
      <c r="B447">
        <v>0</v>
      </c>
      <c r="C447">
        <v>0</v>
      </c>
      <c r="D447">
        <v>8.1125000000000007</v>
      </c>
      <c r="E447">
        <v>28</v>
      </c>
      <c r="F447">
        <v>0</v>
      </c>
      <c r="G447">
        <v>0</v>
      </c>
      <c r="H447">
        <v>0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1</v>
      </c>
      <c r="O447" s="14">
        <f t="shared" si="19"/>
        <v>0</v>
      </c>
      <c r="P447">
        <f t="shared" si="18"/>
        <v>9.1220888951983811E-2</v>
      </c>
      <c r="Q447">
        <f t="shared" si="20"/>
        <v>-2.3944713626026348</v>
      </c>
    </row>
    <row r="448" spans="1:17" x14ac:dyDescent="0.4">
      <c r="A448">
        <v>446</v>
      </c>
      <c r="B448">
        <v>0</v>
      </c>
      <c r="C448">
        <v>2</v>
      </c>
      <c r="D448">
        <v>81.8583</v>
      </c>
      <c r="E448">
        <v>4</v>
      </c>
      <c r="F448">
        <v>0</v>
      </c>
      <c r="G448">
        <v>1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1</v>
      </c>
      <c r="N448">
        <v>1</v>
      </c>
      <c r="O448" s="14">
        <f t="shared" si="19"/>
        <v>1</v>
      </c>
      <c r="P448">
        <f t="shared" si="18"/>
        <v>0.68161399515498811</v>
      </c>
      <c r="Q448">
        <f t="shared" si="20"/>
        <v>-0.38329177088001487</v>
      </c>
    </row>
    <row r="449" spans="1:17" x14ac:dyDescent="0.4">
      <c r="A449">
        <v>447</v>
      </c>
      <c r="B449">
        <v>0</v>
      </c>
      <c r="C449">
        <v>1</v>
      </c>
      <c r="D449">
        <v>19.5</v>
      </c>
      <c r="E449">
        <v>13</v>
      </c>
      <c r="F449">
        <v>1</v>
      </c>
      <c r="G449">
        <v>0</v>
      </c>
      <c r="H449">
        <v>1</v>
      </c>
      <c r="I449">
        <v>0</v>
      </c>
      <c r="J449">
        <v>1</v>
      </c>
      <c r="K449">
        <v>0</v>
      </c>
      <c r="L449">
        <v>0</v>
      </c>
      <c r="M449">
        <v>1</v>
      </c>
      <c r="N449">
        <v>1</v>
      </c>
      <c r="O449" s="14">
        <f t="shared" si="19"/>
        <v>1</v>
      </c>
      <c r="P449">
        <f t="shared" si="18"/>
        <v>0.89675217200262902</v>
      </c>
      <c r="Q449">
        <f t="shared" si="20"/>
        <v>-0.10897574049001424</v>
      </c>
    </row>
    <row r="450" spans="1:17" x14ac:dyDescent="0.4">
      <c r="A450">
        <v>448</v>
      </c>
      <c r="B450">
        <v>0</v>
      </c>
      <c r="C450">
        <v>0</v>
      </c>
      <c r="D450">
        <v>26.55</v>
      </c>
      <c r="E450">
        <v>34</v>
      </c>
      <c r="F450">
        <v>0</v>
      </c>
      <c r="G450">
        <v>1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1</v>
      </c>
      <c r="N450">
        <v>1</v>
      </c>
      <c r="O450" s="14">
        <f t="shared" si="19"/>
        <v>0</v>
      </c>
      <c r="P450">
        <f t="shared" si="18"/>
        <v>0.41649207382145975</v>
      </c>
      <c r="Q450">
        <f t="shared" si="20"/>
        <v>-0.87588784799699371</v>
      </c>
    </row>
    <row r="451" spans="1:17" x14ac:dyDescent="0.4">
      <c r="A451">
        <v>449</v>
      </c>
      <c r="B451">
        <v>2</v>
      </c>
      <c r="C451">
        <v>1</v>
      </c>
      <c r="D451">
        <v>19.258299999999998</v>
      </c>
      <c r="E451">
        <v>5</v>
      </c>
      <c r="F451">
        <v>1</v>
      </c>
      <c r="G451">
        <v>0</v>
      </c>
      <c r="H451">
        <v>0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1</v>
      </c>
      <c r="O451" s="14">
        <f t="shared" si="19"/>
        <v>1</v>
      </c>
      <c r="P451">
        <f t="shared" ref="P451:P514" si="21">1/(1+EXP(-SUMPRODUCT(B$1:M$1,B451:M451)))</f>
        <v>0.73702438272582071</v>
      </c>
      <c r="Q451">
        <f t="shared" si="20"/>
        <v>-0.30513430358724608</v>
      </c>
    </row>
    <row r="452" spans="1:17" x14ac:dyDescent="0.4">
      <c r="A452">
        <v>450</v>
      </c>
      <c r="B452">
        <v>0</v>
      </c>
      <c r="C452">
        <v>0</v>
      </c>
      <c r="D452">
        <v>30.5</v>
      </c>
      <c r="E452">
        <v>52</v>
      </c>
      <c r="F452">
        <v>0</v>
      </c>
      <c r="G452">
        <v>1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1</v>
      </c>
      <c r="N452">
        <v>1</v>
      </c>
      <c r="O452" s="14">
        <f t="shared" ref="O452:O515" si="22">IF(P452&gt;0.5,1,0)</f>
        <v>0</v>
      </c>
      <c r="P452">
        <f t="shared" si="21"/>
        <v>0.26475248845023602</v>
      </c>
      <c r="Q452">
        <f t="shared" ref="Q452:Q515" si="23">N452*LN(P452)+(1-N452)*LN(1-P452)</f>
        <v>-1.328959895299332</v>
      </c>
    </row>
    <row r="453" spans="1:17" x14ac:dyDescent="0.4">
      <c r="A453">
        <v>451</v>
      </c>
      <c r="B453">
        <v>1</v>
      </c>
      <c r="C453">
        <v>2</v>
      </c>
      <c r="D453">
        <v>27.75</v>
      </c>
      <c r="E453">
        <v>36</v>
      </c>
      <c r="F453">
        <v>0</v>
      </c>
      <c r="G453">
        <v>0</v>
      </c>
      <c r="H453">
        <v>1</v>
      </c>
      <c r="I453">
        <v>0</v>
      </c>
      <c r="J453">
        <v>1</v>
      </c>
      <c r="K453">
        <v>0</v>
      </c>
      <c r="L453">
        <v>0</v>
      </c>
      <c r="M453">
        <v>1</v>
      </c>
      <c r="N453">
        <v>0</v>
      </c>
      <c r="O453" s="14">
        <f t="shared" si="22"/>
        <v>0</v>
      </c>
      <c r="P453">
        <f t="shared" si="21"/>
        <v>0.13704648245765236</v>
      </c>
      <c r="Q453">
        <f t="shared" si="23"/>
        <v>-0.1473944508297686</v>
      </c>
    </row>
    <row r="454" spans="1:17" x14ac:dyDescent="0.4">
      <c r="A454">
        <v>452</v>
      </c>
      <c r="B454">
        <v>1</v>
      </c>
      <c r="C454">
        <v>0</v>
      </c>
      <c r="D454">
        <v>19.966699999999999</v>
      </c>
      <c r="E454">
        <v>28</v>
      </c>
      <c r="F454">
        <v>0</v>
      </c>
      <c r="G454">
        <v>0</v>
      </c>
      <c r="H454">
        <v>0</v>
      </c>
      <c r="I454">
        <v>1</v>
      </c>
      <c r="J454">
        <v>1</v>
      </c>
      <c r="K454">
        <v>0</v>
      </c>
      <c r="L454">
        <v>0</v>
      </c>
      <c r="M454">
        <v>1</v>
      </c>
      <c r="N454">
        <v>0</v>
      </c>
      <c r="O454" s="14">
        <f t="shared" si="22"/>
        <v>0</v>
      </c>
      <c r="P454">
        <f t="shared" si="21"/>
        <v>6.9588696012180623E-2</v>
      </c>
      <c r="Q454">
        <f t="shared" si="23"/>
        <v>-7.2128528251510365E-2</v>
      </c>
    </row>
    <row r="455" spans="1:17" x14ac:dyDescent="0.4">
      <c r="A455">
        <v>453</v>
      </c>
      <c r="B455">
        <v>0</v>
      </c>
      <c r="C455">
        <v>0</v>
      </c>
      <c r="D455">
        <v>27.75</v>
      </c>
      <c r="E455">
        <v>30</v>
      </c>
      <c r="F455">
        <v>0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1</v>
      </c>
      <c r="N455">
        <v>0</v>
      </c>
      <c r="O455" s="14">
        <f t="shared" si="22"/>
        <v>1</v>
      </c>
      <c r="P455">
        <f t="shared" si="21"/>
        <v>0.56329751968419983</v>
      </c>
      <c r="Q455">
        <f t="shared" si="23"/>
        <v>-0.82850313882779492</v>
      </c>
    </row>
    <row r="456" spans="1:17" x14ac:dyDescent="0.4">
      <c r="A456">
        <v>454</v>
      </c>
      <c r="B456">
        <v>1</v>
      </c>
      <c r="C456">
        <v>0</v>
      </c>
      <c r="D456">
        <v>89.104200000000006</v>
      </c>
      <c r="E456">
        <v>49</v>
      </c>
      <c r="F456">
        <v>0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1</v>
      </c>
      <c r="N456">
        <v>1</v>
      </c>
      <c r="O456" s="14">
        <f t="shared" si="22"/>
        <v>0</v>
      </c>
      <c r="P456">
        <f t="shared" si="21"/>
        <v>0.34166735551704197</v>
      </c>
      <c r="Q456">
        <f t="shared" si="23"/>
        <v>-1.0739176599323308</v>
      </c>
    </row>
    <row r="457" spans="1:17" x14ac:dyDescent="0.4">
      <c r="A457">
        <v>455</v>
      </c>
      <c r="B457">
        <v>0</v>
      </c>
      <c r="C457">
        <v>0</v>
      </c>
      <c r="D457">
        <v>8.0500000000000007</v>
      </c>
      <c r="E457">
        <v>28</v>
      </c>
      <c r="F457">
        <v>0</v>
      </c>
      <c r="G457">
        <v>0</v>
      </c>
      <c r="H457">
        <v>0</v>
      </c>
      <c r="I457">
        <v>1</v>
      </c>
      <c r="J457">
        <v>1</v>
      </c>
      <c r="K457">
        <v>0</v>
      </c>
      <c r="L457">
        <v>0</v>
      </c>
      <c r="M457">
        <v>1</v>
      </c>
      <c r="N457">
        <v>0</v>
      </c>
      <c r="O457" s="14">
        <f t="shared" si="22"/>
        <v>0</v>
      </c>
      <c r="P457">
        <f t="shared" si="21"/>
        <v>9.1208772698105012E-2</v>
      </c>
      <c r="Q457">
        <f t="shared" si="23"/>
        <v>-9.5639884118734919E-2</v>
      </c>
    </row>
    <row r="458" spans="1:17" x14ac:dyDescent="0.4">
      <c r="A458">
        <v>456</v>
      </c>
      <c r="B458">
        <v>0</v>
      </c>
      <c r="C458">
        <v>0</v>
      </c>
      <c r="D458">
        <v>7.8958000000000004</v>
      </c>
      <c r="E458">
        <v>29</v>
      </c>
      <c r="F458">
        <v>0</v>
      </c>
      <c r="G458">
        <v>0</v>
      </c>
      <c r="H458">
        <v>0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1</v>
      </c>
      <c r="O458" s="14">
        <f t="shared" si="22"/>
        <v>0</v>
      </c>
      <c r="P458">
        <f t="shared" si="21"/>
        <v>0.12976791884034042</v>
      </c>
      <c r="Q458">
        <f t="shared" si="23"/>
        <v>-2.0420076636557294</v>
      </c>
    </row>
    <row r="459" spans="1:17" x14ac:dyDescent="0.4">
      <c r="A459">
        <v>457</v>
      </c>
      <c r="B459">
        <v>0</v>
      </c>
      <c r="C459">
        <v>0</v>
      </c>
      <c r="D459">
        <v>26.55</v>
      </c>
      <c r="E459">
        <v>65</v>
      </c>
      <c r="F459">
        <v>0</v>
      </c>
      <c r="G459">
        <v>1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1</v>
      </c>
      <c r="N459">
        <v>0</v>
      </c>
      <c r="O459" s="14">
        <f t="shared" si="22"/>
        <v>0</v>
      </c>
      <c r="P459">
        <f t="shared" si="21"/>
        <v>0.17777713714386589</v>
      </c>
      <c r="Q459">
        <f t="shared" si="23"/>
        <v>-0.19574379797704655</v>
      </c>
    </row>
    <row r="460" spans="1:17" x14ac:dyDescent="0.4">
      <c r="A460">
        <v>458</v>
      </c>
      <c r="B460">
        <v>1</v>
      </c>
      <c r="C460">
        <v>0</v>
      </c>
      <c r="D460">
        <v>51.862499999999997</v>
      </c>
      <c r="E460">
        <v>28</v>
      </c>
      <c r="F460">
        <v>1</v>
      </c>
      <c r="G460">
        <v>1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1</v>
      </c>
      <c r="N460">
        <v>1</v>
      </c>
      <c r="O460" s="14">
        <f t="shared" si="22"/>
        <v>1</v>
      </c>
      <c r="P460">
        <f t="shared" si="21"/>
        <v>0.9130006469664409</v>
      </c>
      <c r="Q460">
        <f t="shared" si="23"/>
        <v>-9.1018689771383623E-2</v>
      </c>
    </row>
    <row r="461" spans="1:17" x14ac:dyDescent="0.4">
      <c r="A461">
        <v>459</v>
      </c>
      <c r="B461">
        <v>0</v>
      </c>
      <c r="C461">
        <v>0</v>
      </c>
      <c r="D461">
        <v>10.5</v>
      </c>
      <c r="E461">
        <v>50</v>
      </c>
      <c r="F461">
        <v>1</v>
      </c>
      <c r="G461">
        <v>0</v>
      </c>
      <c r="H461">
        <v>1</v>
      </c>
      <c r="I461">
        <v>0</v>
      </c>
      <c r="J461">
        <v>1</v>
      </c>
      <c r="K461">
        <v>0</v>
      </c>
      <c r="L461">
        <v>0</v>
      </c>
      <c r="M461">
        <v>1</v>
      </c>
      <c r="N461">
        <v>1</v>
      </c>
      <c r="O461" s="14">
        <f t="shared" si="22"/>
        <v>1</v>
      </c>
      <c r="P461">
        <f t="shared" si="21"/>
        <v>0.69179338624582143</v>
      </c>
      <c r="Q461">
        <f t="shared" si="23"/>
        <v>-0.36846794273606959</v>
      </c>
    </row>
    <row r="462" spans="1:17" x14ac:dyDescent="0.4">
      <c r="A462">
        <v>460</v>
      </c>
      <c r="B462">
        <v>0</v>
      </c>
      <c r="C462">
        <v>0</v>
      </c>
      <c r="D462">
        <v>7.75</v>
      </c>
      <c r="E462">
        <v>28</v>
      </c>
      <c r="F462">
        <v>0</v>
      </c>
      <c r="G462">
        <v>0</v>
      </c>
      <c r="H462">
        <v>0</v>
      </c>
      <c r="I462">
        <v>1</v>
      </c>
      <c r="J462">
        <v>0</v>
      </c>
      <c r="K462">
        <v>1</v>
      </c>
      <c r="L462">
        <v>0</v>
      </c>
      <c r="M462">
        <v>1</v>
      </c>
      <c r="N462">
        <v>0</v>
      </c>
      <c r="O462" s="14">
        <f t="shared" si="22"/>
        <v>0</v>
      </c>
      <c r="P462">
        <f t="shared" si="21"/>
        <v>0.12770204164315915</v>
      </c>
      <c r="Q462">
        <f t="shared" si="23"/>
        <v>-0.13662421807437358</v>
      </c>
    </row>
    <row r="463" spans="1:17" x14ac:dyDescent="0.4">
      <c r="A463">
        <v>461</v>
      </c>
      <c r="B463">
        <v>0</v>
      </c>
      <c r="C463">
        <v>0</v>
      </c>
      <c r="D463">
        <v>26.55</v>
      </c>
      <c r="E463">
        <v>48</v>
      </c>
      <c r="F463">
        <v>0</v>
      </c>
      <c r="G463">
        <v>1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1</v>
      </c>
      <c r="N463">
        <v>1</v>
      </c>
      <c r="O463" s="14">
        <f t="shared" si="22"/>
        <v>0</v>
      </c>
      <c r="P463">
        <f t="shared" si="21"/>
        <v>0.29389374344013225</v>
      </c>
      <c r="Q463">
        <f t="shared" si="23"/>
        <v>-1.2245369938405717</v>
      </c>
    </row>
    <row r="464" spans="1:17" x14ac:dyDescent="0.4">
      <c r="A464">
        <v>462</v>
      </c>
      <c r="B464">
        <v>0</v>
      </c>
      <c r="C464">
        <v>0</v>
      </c>
      <c r="D464">
        <v>8.0500000000000007</v>
      </c>
      <c r="E464">
        <v>34</v>
      </c>
      <c r="F464">
        <v>0</v>
      </c>
      <c r="G464">
        <v>0</v>
      </c>
      <c r="H464">
        <v>0</v>
      </c>
      <c r="I464">
        <v>1</v>
      </c>
      <c r="J464">
        <v>1</v>
      </c>
      <c r="K464">
        <v>0</v>
      </c>
      <c r="L464">
        <v>0</v>
      </c>
      <c r="M464">
        <v>1</v>
      </c>
      <c r="N464">
        <v>0</v>
      </c>
      <c r="O464" s="14">
        <f t="shared" si="22"/>
        <v>0</v>
      </c>
      <c r="P464">
        <f t="shared" si="21"/>
        <v>7.377363488496147E-2</v>
      </c>
      <c r="Q464">
        <f t="shared" si="23"/>
        <v>-7.6636619442295759E-2</v>
      </c>
    </row>
    <row r="465" spans="1:17" x14ac:dyDescent="0.4">
      <c r="A465">
        <v>463</v>
      </c>
      <c r="B465">
        <v>0</v>
      </c>
      <c r="C465">
        <v>0</v>
      </c>
      <c r="D465">
        <v>38.5</v>
      </c>
      <c r="E465">
        <v>47</v>
      </c>
      <c r="F465">
        <v>0</v>
      </c>
      <c r="G465">
        <v>1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1</v>
      </c>
      <c r="N465">
        <v>0</v>
      </c>
      <c r="O465" s="14">
        <f t="shared" si="22"/>
        <v>0</v>
      </c>
      <c r="P465">
        <f t="shared" si="21"/>
        <v>0.30787444576925388</v>
      </c>
      <c r="Q465">
        <f t="shared" si="23"/>
        <v>-0.36798790307249085</v>
      </c>
    </row>
    <row r="466" spans="1:17" x14ac:dyDescent="0.4">
      <c r="A466">
        <v>464</v>
      </c>
      <c r="B466">
        <v>0</v>
      </c>
      <c r="C466">
        <v>0</v>
      </c>
      <c r="D466">
        <v>13</v>
      </c>
      <c r="E466">
        <v>48</v>
      </c>
      <c r="F466">
        <v>0</v>
      </c>
      <c r="G466">
        <v>0</v>
      </c>
      <c r="H466">
        <v>1</v>
      </c>
      <c r="I466">
        <v>0</v>
      </c>
      <c r="J466">
        <v>1</v>
      </c>
      <c r="K466">
        <v>0</v>
      </c>
      <c r="L466">
        <v>0</v>
      </c>
      <c r="M466">
        <v>1</v>
      </c>
      <c r="N466">
        <v>0</v>
      </c>
      <c r="O466" s="14">
        <f t="shared" si="22"/>
        <v>0</v>
      </c>
      <c r="P466">
        <f t="shared" si="21"/>
        <v>0.13845385315501321</v>
      </c>
      <c r="Q466">
        <f t="shared" si="23"/>
        <v>-0.14902665875520088</v>
      </c>
    </row>
    <row r="467" spans="1:17" x14ac:dyDescent="0.4">
      <c r="A467">
        <v>465</v>
      </c>
      <c r="B467">
        <v>0</v>
      </c>
      <c r="C467">
        <v>0</v>
      </c>
      <c r="D467">
        <v>8.0500000000000007</v>
      </c>
      <c r="E467">
        <v>28</v>
      </c>
      <c r="F467">
        <v>0</v>
      </c>
      <c r="G467">
        <v>0</v>
      </c>
      <c r="H467">
        <v>0</v>
      </c>
      <c r="I467">
        <v>1</v>
      </c>
      <c r="J467">
        <v>1</v>
      </c>
      <c r="K467">
        <v>0</v>
      </c>
      <c r="L467">
        <v>0</v>
      </c>
      <c r="M467">
        <v>1</v>
      </c>
      <c r="N467">
        <v>0</v>
      </c>
      <c r="O467" s="14">
        <f t="shared" si="22"/>
        <v>0</v>
      </c>
      <c r="P467">
        <f t="shared" si="21"/>
        <v>9.1208772698105012E-2</v>
      </c>
      <c r="Q467">
        <f t="shared" si="23"/>
        <v>-9.5639884118734919E-2</v>
      </c>
    </row>
    <row r="468" spans="1:17" x14ac:dyDescent="0.4">
      <c r="A468">
        <v>466</v>
      </c>
      <c r="B468">
        <v>0</v>
      </c>
      <c r="C468">
        <v>0</v>
      </c>
      <c r="D468">
        <v>7.05</v>
      </c>
      <c r="E468">
        <v>38</v>
      </c>
      <c r="F468">
        <v>0</v>
      </c>
      <c r="G468">
        <v>0</v>
      </c>
      <c r="H468">
        <v>0</v>
      </c>
      <c r="I468">
        <v>1</v>
      </c>
      <c r="J468">
        <v>1</v>
      </c>
      <c r="K468">
        <v>0</v>
      </c>
      <c r="L468">
        <v>0</v>
      </c>
      <c r="M468">
        <v>1</v>
      </c>
      <c r="N468">
        <v>0</v>
      </c>
      <c r="O468" s="14">
        <f t="shared" si="22"/>
        <v>0</v>
      </c>
      <c r="P468">
        <f t="shared" si="21"/>
        <v>6.3771222993636301E-2</v>
      </c>
      <c r="Q468">
        <f t="shared" si="23"/>
        <v>-6.5895412491623367E-2</v>
      </c>
    </row>
    <row r="469" spans="1:17" x14ac:dyDescent="0.4">
      <c r="A469">
        <v>467</v>
      </c>
      <c r="B469">
        <v>0</v>
      </c>
      <c r="C469">
        <v>0</v>
      </c>
      <c r="D469">
        <v>0</v>
      </c>
      <c r="E469">
        <v>28</v>
      </c>
      <c r="F469">
        <v>0</v>
      </c>
      <c r="G469">
        <v>0</v>
      </c>
      <c r="H469">
        <v>1</v>
      </c>
      <c r="I469">
        <v>0</v>
      </c>
      <c r="J469">
        <v>1</v>
      </c>
      <c r="K469">
        <v>0</v>
      </c>
      <c r="L469">
        <v>0</v>
      </c>
      <c r="M469">
        <v>1</v>
      </c>
      <c r="N469">
        <v>0</v>
      </c>
      <c r="O469" s="14">
        <f t="shared" si="22"/>
        <v>0</v>
      </c>
      <c r="P469">
        <f t="shared" si="21"/>
        <v>0.25197925163314788</v>
      </c>
      <c r="Q469">
        <f t="shared" si="23"/>
        <v>-0.29032456293400521</v>
      </c>
    </row>
    <row r="470" spans="1:17" x14ac:dyDescent="0.4">
      <c r="A470">
        <v>468</v>
      </c>
      <c r="B470">
        <v>0</v>
      </c>
      <c r="C470">
        <v>0</v>
      </c>
      <c r="D470">
        <v>26.55</v>
      </c>
      <c r="E470">
        <v>56</v>
      </c>
      <c r="F470">
        <v>0</v>
      </c>
      <c r="G470">
        <v>1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1</v>
      </c>
      <c r="N470">
        <v>0</v>
      </c>
      <c r="O470" s="14">
        <f t="shared" si="22"/>
        <v>0</v>
      </c>
      <c r="P470">
        <f t="shared" si="21"/>
        <v>0.23419896557036599</v>
      </c>
      <c r="Q470">
        <f t="shared" si="23"/>
        <v>-0.26683288915683878</v>
      </c>
    </row>
    <row r="471" spans="1:17" x14ac:dyDescent="0.4">
      <c r="A471">
        <v>469</v>
      </c>
      <c r="B471">
        <v>0</v>
      </c>
      <c r="C471">
        <v>0</v>
      </c>
      <c r="D471">
        <v>7.7249999999999996</v>
      </c>
      <c r="E471">
        <v>28</v>
      </c>
      <c r="F471">
        <v>0</v>
      </c>
      <c r="G471">
        <v>0</v>
      </c>
      <c r="H471">
        <v>0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 s="14">
        <f t="shared" si="22"/>
        <v>0</v>
      </c>
      <c r="P471">
        <f t="shared" si="21"/>
        <v>0.12769552903555242</v>
      </c>
      <c r="Q471">
        <f t="shared" si="23"/>
        <v>-0.13661675206664903</v>
      </c>
    </row>
    <row r="472" spans="1:17" x14ac:dyDescent="0.4">
      <c r="A472">
        <v>470</v>
      </c>
      <c r="B472">
        <v>2</v>
      </c>
      <c r="C472">
        <v>1</v>
      </c>
      <c r="D472">
        <v>19.258299999999998</v>
      </c>
      <c r="E472">
        <v>0.75</v>
      </c>
      <c r="F472">
        <v>1</v>
      </c>
      <c r="G472">
        <v>0</v>
      </c>
      <c r="H472">
        <v>0</v>
      </c>
      <c r="I472">
        <v>1</v>
      </c>
      <c r="J472">
        <v>0</v>
      </c>
      <c r="K472">
        <v>0</v>
      </c>
      <c r="L472">
        <v>1</v>
      </c>
      <c r="M472">
        <v>1</v>
      </c>
      <c r="N472">
        <v>1</v>
      </c>
      <c r="O472" s="14">
        <f t="shared" si="22"/>
        <v>1</v>
      </c>
      <c r="P472">
        <f t="shared" si="21"/>
        <v>0.76750798168794465</v>
      </c>
      <c r="Q472">
        <f t="shared" si="23"/>
        <v>-0.26460639998144703</v>
      </c>
    </row>
    <row r="473" spans="1:17" x14ac:dyDescent="0.4">
      <c r="A473">
        <v>471</v>
      </c>
      <c r="B473">
        <v>0</v>
      </c>
      <c r="C473">
        <v>0</v>
      </c>
      <c r="D473">
        <v>7.25</v>
      </c>
      <c r="E473">
        <v>28</v>
      </c>
      <c r="F473">
        <v>0</v>
      </c>
      <c r="G473">
        <v>0</v>
      </c>
      <c r="H473">
        <v>0</v>
      </c>
      <c r="I473">
        <v>1</v>
      </c>
      <c r="J473">
        <v>1</v>
      </c>
      <c r="K473">
        <v>0</v>
      </c>
      <c r="L473">
        <v>0</v>
      </c>
      <c r="M473">
        <v>1</v>
      </c>
      <c r="N473">
        <v>0</v>
      </c>
      <c r="O473" s="14">
        <f t="shared" si="22"/>
        <v>0</v>
      </c>
      <c r="P473">
        <f t="shared" si="21"/>
        <v>9.1053812475040241E-2</v>
      </c>
      <c r="Q473">
        <f t="shared" si="23"/>
        <v>-9.546938619953467E-2</v>
      </c>
    </row>
    <row r="474" spans="1:17" x14ac:dyDescent="0.4">
      <c r="A474">
        <v>472</v>
      </c>
      <c r="B474">
        <v>0</v>
      </c>
      <c r="C474">
        <v>0</v>
      </c>
      <c r="D474">
        <v>8.6624999999999996</v>
      </c>
      <c r="E474">
        <v>38</v>
      </c>
      <c r="F474">
        <v>0</v>
      </c>
      <c r="G474">
        <v>0</v>
      </c>
      <c r="H474">
        <v>0</v>
      </c>
      <c r="I474">
        <v>1</v>
      </c>
      <c r="J474">
        <v>1</v>
      </c>
      <c r="K474">
        <v>0</v>
      </c>
      <c r="L474">
        <v>0</v>
      </c>
      <c r="M474">
        <v>1</v>
      </c>
      <c r="N474">
        <v>0</v>
      </c>
      <c r="O474" s="14">
        <f t="shared" si="22"/>
        <v>0</v>
      </c>
      <c r="P474">
        <f t="shared" si="21"/>
        <v>6.3996741724328232E-2</v>
      </c>
      <c r="Q474">
        <f t="shared" si="23"/>
        <v>-6.6136321446851998E-2</v>
      </c>
    </row>
    <row r="475" spans="1:17" x14ac:dyDescent="0.4">
      <c r="A475">
        <v>473</v>
      </c>
      <c r="B475">
        <v>1</v>
      </c>
      <c r="C475">
        <v>2</v>
      </c>
      <c r="D475">
        <v>27.75</v>
      </c>
      <c r="E475">
        <v>33</v>
      </c>
      <c r="F475">
        <v>1</v>
      </c>
      <c r="G475">
        <v>0</v>
      </c>
      <c r="H475">
        <v>1</v>
      </c>
      <c r="I475">
        <v>0</v>
      </c>
      <c r="J475">
        <v>1</v>
      </c>
      <c r="K475">
        <v>0</v>
      </c>
      <c r="L475">
        <v>0</v>
      </c>
      <c r="M475">
        <v>1</v>
      </c>
      <c r="N475">
        <v>1</v>
      </c>
      <c r="O475" s="14">
        <f t="shared" si="22"/>
        <v>1</v>
      </c>
      <c r="P475">
        <f t="shared" si="21"/>
        <v>0.73010233549453307</v>
      </c>
      <c r="Q475">
        <f t="shared" si="23"/>
        <v>-0.31457056905583508</v>
      </c>
    </row>
    <row r="476" spans="1:17" x14ac:dyDescent="0.4">
      <c r="A476">
        <v>474</v>
      </c>
      <c r="B476">
        <v>0</v>
      </c>
      <c r="C476">
        <v>0</v>
      </c>
      <c r="D476">
        <v>13.791700000000001</v>
      </c>
      <c r="E476">
        <v>23</v>
      </c>
      <c r="F476">
        <v>1</v>
      </c>
      <c r="G476">
        <v>0</v>
      </c>
      <c r="H476">
        <v>1</v>
      </c>
      <c r="I476">
        <v>0</v>
      </c>
      <c r="J476">
        <v>0</v>
      </c>
      <c r="K476">
        <v>0</v>
      </c>
      <c r="L476">
        <v>1</v>
      </c>
      <c r="M476">
        <v>1</v>
      </c>
      <c r="N476">
        <v>1</v>
      </c>
      <c r="O476" s="14">
        <f t="shared" si="22"/>
        <v>1</v>
      </c>
      <c r="P476">
        <f t="shared" si="21"/>
        <v>0.90814904603765567</v>
      </c>
      <c r="Q476">
        <f t="shared" si="23"/>
        <v>-9.6346766233026473E-2</v>
      </c>
    </row>
    <row r="477" spans="1:17" x14ac:dyDescent="0.4">
      <c r="A477">
        <v>475</v>
      </c>
      <c r="B477">
        <v>0</v>
      </c>
      <c r="C477">
        <v>0</v>
      </c>
      <c r="D477">
        <v>9.8375000000000004</v>
      </c>
      <c r="E477">
        <v>22</v>
      </c>
      <c r="F477">
        <v>1</v>
      </c>
      <c r="G477">
        <v>0</v>
      </c>
      <c r="H477">
        <v>0</v>
      </c>
      <c r="I477">
        <v>1</v>
      </c>
      <c r="J477">
        <v>1</v>
      </c>
      <c r="K477">
        <v>0</v>
      </c>
      <c r="L477">
        <v>0</v>
      </c>
      <c r="M477">
        <v>1</v>
      </c>
      <c r="N477">
        <v>0</v>
      </c>
      <c r="O477" s="14">
        <f t="shared" si="22"/>
        <v>1</v>
      </c>
      <c r="P477">
        <f t="shared" si="21"/>
        <v>0.65835564322196793</v>
      </c>
      <c r="Q477">
        <f t="shared" si="23"/>
        <v>-1.0739849754447235</v>
      </c>
    </row>
    <row r="478" spans="1:17" x14ac:dyDescent="0.4">
      <c r="A478">
        <v>476</v>
      </c>
      <c r="B478">
        <v>0</v>
      </c>
      <c r="C478">
        <v>0</v>
      </c>
      <c r="D478">
        <v>52</v>
      </c>
      <c r="E478">
        <v>28</v>
      </c>
      <c r="F478">
        <v>0</v>
      </c>
      <c r="G478">
        <v>1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1</v>
      </c>
      <c r="N478">
        <v>0</v>
      </c>
      <c r="O478" s="14">
        <f t="shared" si="22"/>
        <v>0</v>
      </c>
      <c r="P478">
        <f t="shared" si="21"/>
        <v>0.48837221705573597</v>
      </c>
      <c r="Q478">
        <f t="shared" si="23"/>
        <v>-0.67015790476239623</v>
      </c>
    </row>
    <row r="479" spans="1:17" x14ac:dyDescent="0.4">
      <c r="A479">
        <v>477</v>
      </c>
      <c r="B479">
        <v>1</v>
      </c>
      <c r="C479">
        <v>0</v>
      </c>
      <c r="D479">
        <v>21</v>
      </c>
      <c r="E479">
        <v>34</v>
      </c>
      <c r="F479">
        <v>0</v>
      </c>
      <c r="G479">
        <v>0</v>
      </c>
      <c r="H479">
        <v>1</v>
      </c>
      <c r="I479">
        <v>0</v>
      </c>
      <c r="J479">
        <v>1</v>
      </c>
      <c r="K479">
        <v>0</v>
      </c>
      <c r="L479">
        <v>0</v>
      </c>
      <c r="M479">
        <v>1</v>
      </c>
      <c r="N479">
        <v>0</v>
      </c>
      <c r="O479" s="14">
        <f t="shared" si="22"/>
        <v>0</v>
      </c>
      <c r="P479">
        <f t="shared" si="21"/>
        <v>0.16909500948210321</v>
      </c>
      <c r="Q479">
        <f t="shared" si="23"/>
        <v>-0.18523982216977652</v>
      </c>
    </row>
    <row r="480" spans="1:17" x14ac:dyDescent="0.4">
      <c r="A480">
        <v>478</v>
      </c>
      <c r="B480">
        <v>1</v>
      </c>
      <c r="C480">
        <v>0</v>
      </c>
      <c r="D480">
        <v>7.0457999999999998</v>
      </c>
      <c r="E480">
        <v>29</v>
      </c>
      <c r="F480">
        <v>0</v>
      </c>
      <c r="G480">
        <v>0</v>
      </c>
      <c r="H480">
        <v>0</v>
      </c>
      <c r="I480">
        <v>1</v>
      </c>
      <c r="J480">
        <v>1</v>
      </c>
      <c r="K480">
        <v>0</v>
      </c>
      <c r="L480">
        <v>0</v>
      </c>
      <c r="M480">
        <v>1</v>
      </c>
      <c r="N480">
        <v>0</v>
      </c>
      <c r="O480" s="14">
        <f t="shared" si="22"/>
        <v>0</v>
      </c>
      <c r="P480">
        <f t="shared" si="21"/>
        <v>6.526743102401221E-2</v>
      </c>
      <c r="Q480">
        <f t="shared" si="23"/>
        <v>-6.7494813091257155E-2</v>
      </c>
    </row>
    <row r="481" spans="1:17" x14ac:dyDescent="0.4">
      <c r="A481">
        <v>479</v>
      </c>
      <c r="B481">
        <v>0</v>
      </c>
      <c r="C481">
        <v>0</v>
      </c>
      <c r="D481">
        <v>7.5208000000000004</v>
      </c>
      <c r="E481">
        <v>22</v>
      </c>
      <c r="F481">
        <v>0</v>
      </c>
      <c r="G481">
        <v>0</v>
      </c>
      <c r="H481">
        <v>0</v>
      </c>
      <c r="I481">
        <v>1</v>
      </c>
      <c r="J481">
        <v>1</v>
      </c>
      <c r="K481">
        <v>0</v>
      </c>
      <c r="L481">
        <v>0</v>
      </c>
      <c r="M481">
        <v>1</v>
      </c>
      <c r="N481">
        <v>0</v>
      </c>
      <c r="O481" s="14">
        <f t="shared" si="22"/>
        <v>0</v>
      </c>
      <c r="P481">
        <f t="shared" si="21"/>
        <v>0.11214169264561341</v>
      </c>
      <c r="Q481">
        <f t="shared" si="23"/>
        <v>-0.11894311251172804</v>
      </c>
    </row>
    <row r="482" spans="1:17" x14ac:dyDescent="0.4">
      <c r="A482">
        <v>480</v>
      </c>
      <c r="B482">
        <v>0</v>
      </c>
      <c r="C482">
        <v>1</v>
      </c>
      <c r="D482">
        <v>12.2875</v>
      </c>
      <c r="E482">
        <v>2</v>
      </c>
      <c r="F482">
        <v>1</v>
      </c>
      <c r="G482">
        <v>0</v>
      </c>
      <c r="H482">
        <v>0</v>
      </c>
      <c r="I482">
        <v>1</v>
      </c>
      <c r="J482">
        <v>1</v>
      </c>
      <c r="K482">
        <v>0</v>
      </c>
      <c r="L482">
        <v>0</v>
      </c>
      <c r="M482">
        <v>1</v>
      </c>
      <c r="N482">
        <v>1</v>
      </c>
      <c r="O482" s="14">
        <f t="shared" si="22"/>
        <v>1</v>
      </c>
      <c r="P482">
        <f t="shared" si="21"/>
        <v>0.79230142273023862</v>
      </c>
      <c r="Q482">
        <f t="shared" si="23"/>
        <v>-0.23281337531617718</v>
      </c>
    </row>
    <row r="483" spans="1:17" x14ac:dyDescent="0.4">
      <c r="A483">
        <v>481</v>
      </c>
      <c r="B483">
        <v>5</v>
      </c>
      <c r="C483">
        <v>2</v>
      </c>
      <c r="D483">
        <v>46.9</v>
      </c>
      <c r="E483">
        <v>9</v>
      </c>
      <c r="F483">
        <v>0</v>
      </c>
      <c r="G483">
        <v>0</v>
      </c>
      <c r="H483">
        <v>0</v>
      </c>
      <c r="I483">
        <v>1</v>
      </c>
      <c r="J483">
        <v>1</v>
      </c>
      <c r="K483">
        <v>0</v>
      </c>
      <c r="L483">
        <v>0</v>
      </c>
      <c r="M483">
        <v>1</v>
      </c>
      <c r="N483">
        <v>0</v>
      </c>
      <c r="O483" s="14">
        <f t="shared" si="22"/>
        <v>0</v>
      </c>
      <c r="P483">
        <f t="shared" si="21"/>
        <v>3.6527087555466575E-2</v>
      </c>
      <c r="Q483">
        <f t="shared" si="23"/>
        <v>-3.7210905228639221E-2</v>
      </c>
    </row>
    <row r="484" spans="1:17" x14ac:dyDescent="0.4">
      <c r="A484">
        <v>482</v>
      </c>
      <c r="B484">
        <v>0</v>
      </c>
      <c r="C484">
        <v>0</v>
      </c>
      <c r="D484">
        <v>0</v>
      </c>
      <c r="E484">
        <v>28</v>
      </c>
      <c r="F484">
        <v>0</v>
      </c>
      <c r="G484">
        <v>0</v>
      </c>
      <c r="H484">
        <v>1</v>
      </c>
      <c r="I484">
        <v>0</v>
      </c>
      <c r="J484">
        <v>1</v>
      </c>
      <c r="K484">
        <v>0</v>
      </c>
      <c r="L484">
        <v>0</v>
      </c>
      <c r="M484">
        <v>1</v>
      </c>
      <c r="N484">
        <v>0</v>
      </c>
      <c r="O484" s="14">
        <f t="shared" si="22"/>
        <v>0</v>
      </c>
      <c r="P484">
        <f t="shared" si="21"/>
        <v>0.25197925163314788</v>
      </c>
      <c r="Q484">
        <f t="shared" si="23"/>
        <v>-0.29032456293400521</v>
      </c>
    </row>
    <row r="485" spans="1:17" x14ac:dyDescent="0.4">
      <c r="A485">
        <v>483</v>
      </c>
      <c r="B485">
        <v>0</v>
      </c>
      <c r="C485">
        <v>0</v>
      </c>
      <c r="D485">
        <v>8.0500000000000007</v>
      </c>
      <c r="E485">
        <v>50</v>
      </c>
      <c r="F485">
        <v>0</v>
      </c>
      <c r="G485">
        <v>0</v>
      </c>
      <c r="H485">
        <v>0</v>
      </c>
      <c r="I485">
        <v>1</v>
      </c>
      <c r="J485">
        <v>1</v>
      </c>
      <c r="K485">
        <v>0</v>
      </c>
      <c r="L485">
        <v>0</v>
      </c>
      <c r="M485">
        <v>1</v>
      </c>
      <c r="N485">
        <v>0</v>
      </c>
      <c r="O485" s="14">
        <f t="shared" si="22"/>
        <v>0</v>
      </c>
      <c r="P485">
        <f t="shared" si="21"/>
        <v>4.1228419009869635E-2</v>
      </c>
      <c r="Q485">
        <f t="shared" si="23"/>
        <v>-4.2102417046699481E-2</v>
      </c>
    </row>
    <row r="486" spans="1:17" x14ac:dyDescent="0.4">
      <c r="A486">
        <v>484</v>
      </c>
      <c r="B486">
        <v>0</v>
      </c>
      <c r="C486">
        <v>0</v>
      </c>
      <c r="D486">
        <v>9.5875000000000004</v>
      </c>
      <c r="E486">
        <v>63</v>
      </c>
      <c r="F486">
        <v>1</v>
      </c>
      <c r="G486">
        <v>0</v>
      </c>
      <c r="H486">
        <v>0</v>
      </c>
      <c r="I486">
        <v>1</v>
      </c>
      <c r="J486">
        <v>1</v>
      </c>
      <c r="K486">
        <v>0</v>
      </c>
      <c r="L486">
        <v>0</v>
      </c>
      <c r="M486">
        <v>1</v>
      </c>
      <c r="N486">
        <v>1</v>
      </c>
      <c r="O486" s="14">
        <f t="shared" si="22"/>
        <v>0</v>
      </c>
      <c r="P486">
        <f t="shared" si="21"/>
        <v>0.28411209820032091</v>
      </c>
      <c r="Q486">
        <f t="shared" si="23"/>
        <v>-1.2583864067262485</v>
      </c>
    </row>
    <row r="487" spans="1:17" x14ac:dyDescent="0.4">
      <c r="A487">
        <v>485</v>
      </c>
      <c r="B487">
        <v>1</v>
      </c>
      <c r="C487">
        <v>0</v>
      </c>
      <c r="D487">
        <v>91.0792</v>
      </c>
      <c r="E487">
        <v>25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1</v>
      </c>
      <c r="N487">
        <v>1</v>
      </c>
      <c r="O487" s="14">
        <f t="shared" si="22"/>
        <v>1</v>
      </c>
      <c r="P487">
        <f t="shared" si="21"/>
        <v>0.56791705375215096</v>
      </c>
      <c r="Q487">
        <f t="shared" si="23"/>
        <v>-0.56577990305120962</v>
      </c>
    </row>
    <row r="488" spans="1:17" x14ac:dyDescent="0.4">
      <c r="A488">
        <v>486</v>
      </c>
      <c r="B488">
        <v>3</v>
      </c>
      <c r="C488">
        <v>1</v>
      </c>
      <c r="D488">
        <v>25.466699999999999</v>
      </c>
      <c r="E488">
        <v>28</v>
      </c>
      <c r="F488">
        <v>1</v>
      </c>
      <c r="G488">
        <v>0</v>
      </c>
      <c r="H488">
        <v>0</v>
      </c>
      <c r="I488">
        <v>1</v>
      </c>
      <c r="J488">
        <v>1</v>
      </c>
      <c r="K488">
        <v>0</v>
      </c>
      <c r="L488">
        <v>0</v>
      </c>
      <c r="M488">
        <v>1</v>
      </c>
      <c r="N488">
        <v>0</v>
      </c>
      <c r="O488" s="14">
        <f t="shared" si="22"/>
        <v>0</v>
      </c>
      <c r="P488">
        <f t="shared" si="21"/>
        <v>0.35485299892195843</v>
      </c>
      <c r="Q488">
        <f t="shared" si="23"/>
        <v>-0.43827707950546868</v>
      </c>
    </row>
    <row r="489" spans="1:17" x14ac:dyDescent="0.4">
      <c r="A489">
        <v>487</v>
      </c>
      <c r="B489">
        <v>1</v>
      </c>
      <c r="C489">
        <v>0</v>
      </c>
      <c r="D489">
        <v>90</v>
      </c>
      <c r="E489">
        <v>35</v>
      </c>
      <c r="F489">
        <v>1</v>
      </c>
      <c r="G489">
        <v>1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1</v>
      </c>
      <c r="N489">
        <v>1</v>
      </c>
      <c r="O489" s="14">
        <f t="shared" si="22"/>
        <v>1</v>
      </c>
      <c r="P489">
        <f t="shared" si="21"/>
        <v>0.89755487923914579</v>
      </c>
      <c r="Q489">
        <f t="shared" si="23"/>
        <v>-0.108081013704528</v>
      </c>
    </row>
    <row r="490" spans="1:17" x14ac:dyDescent="0.4">
      <c r="A490">
        <v>488</v>
      </c>
      <c r="B490">
        <v>0</v>
      </c>
      <c r="C490">
        <v>0</v>
      </c>
      <c r="D490">
        <v>29.7</v>
      </c>
      <c r="E490">
        <v>58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1</v>
      </c>
      <c r="N490">
        <v>0</v>
      </c>
      <c r="O490" s="14">
        <f t="shared" si="22"/>
        <v>0</v>
      </c>
      <c r="P490">
        <f t="shared" si="21"/>
        <v>0.30584909541142175</v>
      </c>
      <c r="Q490">
        <f t="shared" si="23"/>
        <v>-0.36506590034208214</v>
      </c>
    </row>
    <row r="491" spans="1:17" x14ac:dyDescent="0.4">
      <c r="A491">
        <v>489</v>
      </c>
      <c r="B491">
        <v>0</v>
      </c>
      <c r="C491">
        <v>0</v>
      </c>
      <c r="D491">
        <v>8.0500000000000007</v>
      </c>
      <c r="E491">
        <v>30</v>
      </c>
      <c r="F491">
        <v>0</v>
      </c>
      <c r="G491">
        <v>0</v>
      </c>
      <c r="H491">
        <v>0</v>
      </c>
      <c r="I491">
        <v>1</v>
      </c>
      <c r="J491">
        <v>1</v>
      </c>
      <c r="K491">
        <v>0</v>
      </c>
      <c r="L491">
        <v>0</v>
      </c>
      <c r="M491">
        <v>1</v>
      </c>
      <c r="N491">
        <v>0</v>
      </c>
      <c r="O491" s="14">
        <f t="shared" si="22"/>
        <v>0</v>
      </c>
      <c r="P491">
        <f t="shared" si="21"/>
        <v>8.5020030826620727E-2</v>
      </c>
      <c r="Q491">
        <f t="shared" si="23"/>
        <v>-8.8853105560033716E-2</v>
      </c>
    </row>
    <row r="492" spans="1:17" x14ac:dyDescent="0.4">
      <c r="A492">
        <v>490</v>
      </c>
      <c r="B492">
        <v>1</v>
      </c>
      <c r="C492">
        <v>1</v>
      </c>
      <c r="D492">
        <v>15.9</v>
      </c>
      <c r="E492">
        <v>9</v>
      </c>
      <c r="F492">
        <v>0</v>
      </c>
      <c r="G492">
        <v>0</v>
      </c>
      <c r="H492">
        <v>0</v>
      </c>
      <c r="I492">
        <v>1</v>
      </c>
      <c r="J492">
        <v>1</v>
      </c>
      <c r="K492">
        <v>0</v>
      </c>
      <c r="L492">
        <v>0</v>
      </c>
      <c r="M492">
        <v>1</v>
      </c>
      <c r="N492">
        <v>1</v>
      </c>
      <c r="O492" s="14">
        <f t="shared" si="22"/>
        <v>0</v>
      </c>
      <c r="P492">
        <f t="shared" si="21"/>
        <v>0.1230443885416124</v>
      </c>
      <c r="Q492">
        <f t="shared" si="23"/>
        <v>-2.0952101062599962</v>
      </c>
    </row>
    <row r="493" spans="1:17" x14ac:dyDescent="0.4">
      <c r="A493">
        <v>491</v>
      </c>
      <c r="B493">
        <v>1</v>
      </c>
      <c r="C493">
        <v>0</v>
      </c>
      <c r="D493">
        <v>19.966699999999999</v>
      </c>
      <c r="E493">
        <v>28</v>
      </c>
      <c r="F493">
        <v>0</v>
      </c>
      <c r="G493">
        <v>0</v>
      </c>
      <c r="H493">
        <v>0</v>
      </c>
      <c r="I493">
        <v>1</v>
      </c>
      <c r="J493">
        <v>1</v>
      </c>
      <c r="K493">
        <v>0</v>
      </c>
      <c r="L493">
        <v>0</v>
      </c>
      <c r="M493">
        <v>1</v>
      </c>
      <c r="N493">
        <v>0</v>
      </c>
      <c r="O493" s="14">
        <f t="shared" si="22"/>
        <v>0</v>
      </c>
      <c r="P493">
        <f t="shared" si="21"/>
        <v>6.9588696012180623E-2</v>
      </c>
      <c r="Q493">
        <f t="shared" si="23"/>
        <v>-7.2128528251510365E-2</v>
      </c>
    </row>
    <row r="494" spans="1:17" x14ac:dyDescent="0.4">
      <c r="A494">
        <v>492</v>
      </c>
      <c r="B494">
        <v>0</v>
      </c>
      <c r="C494">
        <v>0</v>
      </c>
      <c r="D494">
        <v>7.25</v>
      </c>
      <c r="E494">
        <v>21</v>
      </c>
      <c r="F494">
        <v>0</v>
      </c>
      <c r="G494">
        <v>0</v>
      </c>
      <c r="H494">
        <v>0</v>
      </c>
      <c r="I494">
        <v>1</v>
      </c>
      <c r="J494">
        <v>1</v>
      </c>
      <c r="K494">
        <v>0</v>
      </c>
      <c r="L494">
        <v>0</v>
      </c>
      <c r="M494">
        <v>1</v>
      </c>
      <c r="N494">
        <v>0</v>
      </c>
      <c r="O494" s="14">
        <f t="shared" si="22"/>
        <v>0</v>
      </c>
      <c r="P494">
        <f t="shared" si="21"/>
        <v>0.11597027346117596</v>
      </c>
      <c r="Q494">
        <f t="shared" si="23"/>
        <v>-0.12326458960351676</v>
      </c>
    </row>
    <row r="495" spans="1:17" x14ac:dyDescent="0.4">
      <c r="A495">
        <v>493</v>
      </c>
      <c r="B495">
        <v>0</v>
      </c>
      <c r="C495">
        <v>0</v>
      </c>
      <c r="D495">
        <v>30.5</v>
      </c>
      <c r="E495">
        <v>55</v>
      </c>
      <c r="F495">
        <v>0</v>
      </c>
      <c r="G495">
        <v>1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1</v>
      </c>
      <c r="N495">
        <v>0</v>
      </c>
      <c r="O495" s="14">
        <f t="shared" si="22"/>
        <v>0</v>
      </c>
      <c r="P495">
        <f t="shared" si="21"/>
        <v>0.24287374631822742</v>
      </c>
      <c r="Q495">
        <f t="shared" si="23"/>
        <v>-0.27822525783722907</v>
      </c>
    </row>
    <row r="496" spans="1:17" x14ac:dyDescent="0.4">
      <c r="A496">
        <v>494</v>
      </c>
      <c r="B496">
        <v>0</v>
      </c>
      <c r="C496">
        <v>0</v>
      </c>
      <c r="D496">
        <v>49.504199999999997</v>
      </c>
      <c r="E496">
        <v>71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 s="14">
        <f t="shared" si="22"/>
        <v>0</v>
      </c>
      <c r="P496">
        <f t="shared" si="21"/>
        <v>0.21855378379672896</v>
      </c>
      <c r="Q496">
        <f t="shared" si="23"/>
        <v>-0.24660895272591296</v>
      </c>
    </row>
    <row r="497" spans="1:17" x14ac:dyDescent="0.4">
      <c r="A497">
        <v>495</v>
      </c>
      <c r="B497">
        <v>0</v>
      </c>
      <c r="C497">
        <v>0</v>
      </c>
      <c r="D497">
        <v>8.0500000000000007</v>
      </c>
      <c r="E497">
        <v>21</v>
      </c>
      <c r="F497">
        <v>0</v>
      </c>
      <c r="G497">
        <v>0</v>
      </c>
      <c r="H497">
        <v>0</v>
      </c>
      <c r="I497">
        <v>1</v>
      </c>
      <c r="J497">
        <v>1</v>
      </c>
      <c r="K497">
        <v>0</v>
      </c>
      <c r="L497">
        <v>0</v>
      </c>
      <c r="M497">
        <v>1</v>
      </c>
      <c r="N497">
        <v>0</v>
      </c>
      <c r="O497" s="14">
        <f t="shared" si="22"/>
        <v>0</v>
      </c>
      <c r="P497">
        <f t="shared" si="21"/>
        <v>0.11616221864333205</v>
      </c>
      <c r="Q497">
        <f t="shared" si="23"/>
        <v>-0.12348173843628069</v>
      </c>
    </row>
    <row r="498" spans="1:17" x14ac:dyDescent="0.4">
      <c r="A498">
        <v>496</v>
      </c>
      <c r="B498">
        <v>0</v>
      </c>
      <c r="C498">
        <v>0</v>
      </c>
      <c r="D498">
        <v>14.458299999999999</v>
      </c>
      <c r="E498">
        <v>28</v>
      </c>
      <c r="F498">
        <v>0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1</v>
      </c>
      <c r="M498">
        <v>1</v>
      </c>
      <c r="N498">
        <v>0</v>
      </c>
      <c r="O498" s="14">
        <f t="shared" si="22"/>
        <v>0</v>
      </c>
      <c r="P498">
        <f t="shared" si="21"/>
        <v>0.13597395328590611</v>
      </c>
      <c r="Q498">
        <f t="shared" si="23"/>
        <v>-0.14615236397265197</v>
      </c>
    </row>
    <row r="499" spans="1:17" x14ac:dyDescent="0.4">
      <c r="A499">
        <v>497</v>
      </c>
      <c r="B499">
        <v>1</v>
      </c>
      <c r="C499">
        <v>0</v>
      </c>
      <c r="D499">
        <v>78.2667</v>
      </c>
      <c r="E499">
        <v>54</v>
      </c>
      <c r="F499">
        <v>1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1</v>
      </c>
      <c r="N499">
        <v>1</v>
      </c>
      <c r="O499" s="14">
        <f t="shared" si="22"/>
        <v>1</v>
      </c>
      <c r="P499">
        <f t="shared" si="21"/>
        <v>0.86362862378830862</v>
      </c>
      <c r="Q499">
        <f t="shared" si="23"/>
        <v>-0.14661243616136058</v>
      </c>
    </row>
    <row r="500" spans="1:17" x14ac:dyDescent="0.4">
      <c r="A500">
        <v>498</v>
      </c>
      <c r="B500">
        <v>0</v>
      </c>
      <c r="C500">
        <v>0</v>
      </c>
      <c r="D500">
        <v>15.1</v>
      </c>
      <c r="E500">
        <v>28</v>
      </c>
      <c r="F500">
        <v>0</v>
      </c>
      <c r="G500">
        <v>0</v>
      </c>
      <c r="H500">
        <v>0</v>
      </c>
      <c r="I500">
        <v>1</v>
      </c>
      <c r="J500">
        <v>1</v>
      </c>
      <c r="K500">
        <v>0</v>
      </c>
      <c r="L500">
        <v>0</v>
      </c>
      <c r="M500">
        <v>1</v>
      </c>
      <c r="N500">
        <v>0</v>
      </c>
      <c r="O500" s="14">
        <f t="shared" si="22"/>
        <v>0</v>
      </c>
      <c r="P500">
        <f t="shared" si="21"/>
        <v>9.2584646537207535E-2</v>
      </c>
      <c r="Q500">
        <f t="shared" si="23"/>
        <v>-9.7154991614625888E-2</v>
      </c>
    </row>
    <row r="501" spans="1:17" x14ac:dyDescent="0.4">
      <c r="A501">
        <v>499</v>
      </c>
      <c r="B501">
        <v>1</v>
      </c>
      <c r="C501">
        <v>2</v>
      </c>
      <c r="D501">
        <v>151.55000000000001</v>
      </c>
      <c r="E501">
        <v>25</v>
      </c>
      <c r="F501">
        <v>1</v>
      </c>
      <c r="G501">
        <v>1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1</v>
      </c>
      <c r="N501">
        <v>0</v>
      </c>
      <c r="O501" s="14">
        <f t="shared" si="22"/>
        <v>1</v>
      </c>
      <c r="P501">
        <f t="shared" si="21"/>
        <v>0.92503594675585221</v>
      </c>
      <c r="Q501">
        <f t="shared" si="23"/>
        <v>-2.5907465704200594</v>
      </c>
    </row>
    <row r="502" spans="1:17" x14ac:dyDescent="0.4">
      <c r="A502">
        <v>500</v>
      </c>
      <c r="B502">
        <v>0</v>
      </c>
      <c r="C502">
        <v>0</v>
      </c>
      <c r="D502">
        <v>7.7957999999999998</v>
      </c>
      <c r="E502">
        <v>24</v>
      </c>
      <c r="F502">
        <v>0</v>
      </c>
      <c r="G502">
        <v>0</v>
      </c>
      <c r="H502">
        <v>0</v>
      </c>
      <c r="I502">
        <v>1</v>
      </c>
      <c r="J502">
        <v>1</v>
      </c>
      <c r="K502">
        <v>0</v>
      </c>
      <c r="L502">
        <v>0</v>
      </c>
      <c r="M502">
        <v>1</v>
      </c>
      <c r="N502">
        <v>0</v>
      </c>
      <c r="O502" s="14">
        <f t="shared" si="22"/>
        <v>0</v>
      </c>
      <c r="P502">
        <f t="shared" si="21"/>
        <v>0.10475652843245886</v>
      </c>
      <c r="Q502">
        <f t="shared" si="23"/>
        <v>-0.1106595624311712</v>
      </c>
    </row>
    <row r="503" spans="1:17" x14ac:dyDescent="0.4">
      <c r="A503">
        <v>501</v>
      </c>
      <c r="B503">
        <v>0</v>
      </c>
      <c r="C503">
        <v>0</v>
      </c>
      <c r="D503">
        <v>8.6624999999999996</v>
      </c>
      <c r="E503">
        <v>17</v>
      </c>
      <c r="F503">
        <v>0</v>
      </c>
      <c r="G503">
        <v>0</v>
      </c>
      <c r="H503">
        <v>0</v>
      </c>
      <c r="I503">
        <v>1</v>
      </c>
      <c r="J503">
        <v>1</v>
      </c>
      <c r="K503">
        <v>0</v>
      </c>
      <c r="L503">
        <v>0</v>
      </c>
      <c r="M503">
        <v>1</v>
      </c>
      <c r="N503">
        <v>0</v>
      </c>
      <c r="O503" s="14">
        <f t="shared" si="22"/>
        <v>0</v>
      </c>
      <c r="P503">
        <f t="shared" si="21"/>
        <v>0.1331082364451126</v>
      </c>
      <c r="Q503">
        <f t="shared" si="23"/>
        <v>-0.14284115018522167</v>
      </c>
    </row>
    <row r="504" spans="1:17" x14ac:dyDescent="0.4">
      <c r="A504">
        <v>502</v>
      </c>
      <c r="B504">
        <v>0</v>
      </c>
      <c r="C504">
        <v>0</v>
      </c>
      <c r="D504">
        <v>7.75</v>
      </c>
      <c r="E504">
        <v>21</v>
      </c>
      <c r="F504">
        <v>1</v>
      </c>
      <c r="G504">
        <v>0</v>
      </c>
      <c r="H504">
        <v>0</v>
      </c>
      <c r="I504">
        <v>1</v>
      </c>
      <c r="J504">
        <v>0</v>
      </c>
      <c r="K504">
        <v>1</v>
      </c>
      <c r="L504">
        <v>0</v>
      </c>
      <c r="M504">
        <v>1</v>
      </c>
      <c r="N504">
        <v>0</v>
      </c>
      <c r="O504" s="14">
        <f t="shared" si="22"/>
        <v>1</v>
      </c>
      <c r="P504">
        <f t="shared" si="21"/>
        <v>0.74418843178982386</v>
      </c>
      <c r="Q504">
        <f t="shared" si="23"/>
        <v>-1.3633141672079745</v>
      </c>
    </row>
    <row r="505" spans="1:17" x14ac:dyDescent="0.4">
      <c r="A505">
        <v>503</v>
      </c>
      <c r="B505">
        <v>0</v>
      </c>
      <c r="C505">
        <v>0</v>
      </c>
      <c r="D505">
        <v>7.6292</v>
      </c>
      <c r="E505">
        <v>28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1</v>
      </c>
      <c r="L505">
        <v>0</v>
      </c>
      <c r="M505">
        <v>1</v>
      </c>
      <c r="N505">
        <v>0</v>
      </c>
      <c r="O505" s="14">
        <f t="shared" si="22"/>
        <v>1</v>
      </c>
      <c r="P505">
        <f t="shared" si="21"/>
        <v>0.68952342870125372</v>
      </c>
      <c r="Q505">
        <f t="shared" si="23"/>
        <v>-1.169646835209897</v>
      </c>
    </row>
    <row r="506" spans="1:17" x14ac:dyDescent="0.4">
      <c r="A506">
        <v>504</v>
      </c>
      <c r="B506">
        <v>0</v>
      </c>
      <c r="C506">
        <v>0</v>
      </c>
      <c r="D506">
        <v>9.5875000000000004</v>
      </c>
      <c r="E506">
        <v>37</v>
      </c>
      <c r="F506">
        <v>1</v>
      </c>
      <c r="G506">
        <v>0</v>
      </c>
      <c r="H506">
        <v>0</v>
      </c>
      <c r="I506">
        <v>1</v>
      </c>
      <c r="J506">
        <v>1</v>
      </c>
      <c r="K506">
        <v>0</v>
      </c>
      <c r="L506">
        <v>0</v>
      </c>
      <c r="M506">
        <v>1</v>
      </c>
      <c r="N506">
        <v>0</v>
      </c>
      <c r="O506" s="14">
        <f t="shared" si="22"/>
        <v>1</v>
      </c>
      <c r="P506">
        <f t="shared" si="21"/>
        <v>0.51936730149784271</v>
      </c>
      <c r="Q506">
        <f t="shared" si="23"/>
        <v>-0.73265192116071631</v>
      </c>
    </row>
    <row r="507" spans="1:17" x14ac:dyDescent="0.4">
      <c r="A507">
        <v>505</v>
      </c>
      <c r="B507">
        <v>0</v>
      </c>
      <c r="C507">
        <v>0</v>
      </c>
      <c r="D507">
        <v>86.5</v>
      </c>
      <c r="E507">
        <v>16</v>
      </c>
      <c r="F507">
        <v>1</v>
      </c>
      <c r="G507">
        <v>1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1</v>
      </c>
      <c r="N507">
        <v>1</v>
      </c>
      <c r="O507" s="14">
        <f t="shared" si="22"/>
        <v>1</v>
      </c>
      <c r="P507">
        <f t="shared" si="21"/>
        <v>0.96143475250165422</v>
      </c>
      <c r="Q507">
        <f t="shared" si="23"/>
        <v>-3.9328576368588365E-2</v>
      </c>
    </row>
    <row r="508" spans="1:17" x14ac:dyDescent="0.4">
      <c r="A508">
        <v>506</v>
      </c>
      <c r="B508">
        <v>1</v>
      </c>
      <c r="C508">
        <v>0</v>
      </c>
      <c r="D508">
        <v>108.9</v>
      </c>
      <c r="E508">
        <v>18</v>
      </c>
      <c r="F508">
        <v>0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1</v>
      </c>
      <c r="N508">
        <v>0</v>
      </c>
      <c r="O508" s="14">
        <f t="shared" si="22"/>
        <v>1</v>
      </c>
      <c r="P508">
        <f t="shared" si="21"/>
        <v>0.64215102853101658</v>
      </c>
      <c r="Q508">
        <f t="shared" si="23"/>
        <v>-1.0276442489975994</v>
      </c>
    </row>
    <row r="509" spans="1:17" x14ac:dyDescent="0.4">
      <c r="A509">
        <v>507</v>
      </c>
      <c r="B509">
        <v>0</v>
      </c>
      <c r="C509">
        <v>2</v>
      </c>
      <c r="D509">
        <v>26</v>
      </c>
      <c r="E509">
        <v>33</v>
      </c>
      <c r="F509">
        <v>1</v>
      </c>
      <c r="G509">
        <v>0</v>
      </c>
      <c r="H509">
        <v>1</v>
      </c>
      <c r="I509">
        <v>0</v>
      </c>
      <c r="J509">
        <v>1</v>
      </c>
      <c r="K509">
        <v>0</v>
      </c>
      <c r="L509">
        <v>0</v>
      </c>
      <c r="M509">
        <v>1</v>
      </c>
      <c r="N509">
        <v>1</v>
      </c>
      <c r="O509" s="14">
        <f t="shared" si="22"/>
        <v>1</v>
      </c>
      <c r="P509">
        <f t="shared" si="21"/>
        <v>0.78801110651728534</v>
      </c>
      <c r="Q509">
        <f t="shared" si="23"/>
        <v>-0.23824309465850246</v>
      </c>
    </row>
    <row r="510" spans="1:17" x14ac:dyDescent="0.4">
      <c r="A510">
        <v>508</v>
      </c>
      <c r="B510">
        <v>0</v>
      </c>
      <c r="C510">
        <v>0</v>
      </c>
      <c r="D510">
        <v>26.55</v>
      </c>
      <c r="E510">
        <v>28</v>
      </c>
      <c r="F510">
        <v>0</v>
      </c>
      <c r="G510">
        <v>1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1</v>
      </c>
      <c r="N510">
        <v>1</v>
      </c>
      <c r="O510" s="14">
        <f t="shared" si="22"/>
        <v>0</v>
      </c>
      <c r="P510">
        <f t="shared" si="21"/>
        <v>0.47351539329993997</v>
      </c>
      <c r="Q510">
        <f t="shared" si="23"/>
        <v>-0.74757085727526429</v>
      </c>
    </row>
    <row r="511" spans="1:17" x14ac:dyDescent="0.4">
      <c r="A511">
        <v>509</v>
      </c>
      <c r="B511">
        <v>0</v>
      </c>
      <c r="C511">
        <v>0</v>
      </c>
      <c r="D511">
        <v>22.524999999999999</v>
      </c>
      <c r="E511">
        <v>28</v>
      </c>
      <c r="F511">
        <v>0</v>
      </c>
      <c r="G511">
        <v>0</v>
      </c>
      <c r="H511">
        <v>0</v>
      </c>
      <c r="I511">
        <v>1</v>
      </c>
      <c r="J511">
        <v>1</v>
      </c>
      <c r="K511">
        <v>0</v>
      </c>
      <c r="L511">
        <v>0</v>
      </c>
      <c r="M511">
        <v>1</v>
      </c>
      <c r="N511">
        <v>0</v>
      </c>
      <c r="O511" s="14">
        <f t="shared" si="22"/>
        <v>0</v>
      </c>
      <c r="P511">
        <f t="shared" si="21"/>
        <v>9.405382839985367E-2</v>
      </c>
      <c r="Q511">
        <f t="shared" si="23"/>
        <v>-9.8775387949066054E-2</v>
      </c>
    </row>
    <row r="512" spans="1:17" x14ac:dyDescent="0.4">
      <c r="A512">
        <v>510</v>
      </c>
      <c r="B512">
        <v>0</v>
      </c>
      <c r="C512">
        <v>0</v>
      </c>
      <c r="D512">
        <v>56.495800000000003</v>
      </c>
      <c r="E512">
        <v>26</v>
      </c>
      <c r="F512">
        <v>0</v>
      </c>
      <c r="G512">
        <v>0</v>
      </c>
      <c r="H512">
        <v>0</v>
      </c>
      <c r="I512">
        <v>1</v>
      </c>
      <c r="J512">
        <v>1</v>
      </c>
      <c r="K512">
        <v>0</v>
      </c>
      <c r="L512">
        <v>0</v>
      </c>
      <c r="M512">
        <v>1</v>
      </c>
      <c r="N512">
        <v>1</v>
      </c>
      <c r="O512" s="14">
        <f t="shared" si="22"/>
        <v>0</v>
      </c>
      <c r="P512">
        <f t="shared" si="21"/>
        <v>0.10826216003984374</v>
      </c>
      <c r="Q512">
        <f t="shared" si="23"/>
        <v>-2.2231995854768272</v>
      </c>
    </row>
    <row r="513" spans="1:17" x14ac:dyDescent="0.4">
      <c r="A513">
        <v>511</v>
      </c>
      <c r="B513">
        <v>0</v>
      </c>
      <c r="C513">
        <v>0</v>
      </c>
      <c r="D513">
        <v>7.75</v>
      </c>
      <c r="E513">
        <v>29</v>
      </c>
      <c r="F513">
        <v>0</v>
      </c>
      <c r="G513">
        <v>0</v>
      </c>
      <c r="H513">
        <v>0</v>
      </c>
      <c r="I513">
        <v>1</v>
      </c>
      <c r="J513">
        <v>0</v>
      </c>
      <c r="K513">
        <v>1</v>
      </c>
      <c r="L513">
        <v>0</v>
      </c>
      <c r="M513">
        <v>1</v>
      </c>
      <c r="N513">
        <v>1</v>
      </c>
      <c r="O513" s="14">
        <f t="shared" si="22"/>
        <v>0</v>
      </c>
      <c r="P513">
        <f t="shared" si="21"/>
        <v>0.12347172299419897</v>
      </c>
      <c r="Q513">
        <f t="shared" si="23"/>
        <v>-2.0917431127399992</v>
      </c>
    </row>
    <row r="514" spans="1:17" x14ac:dyDescent="0.4">
      <c r="A514">
        <v>512</v>
      </c>
      <c r="B514">
        <v>0</v>
      </c>
      <c r="C514">
        <v>0</v>
      </c>
      <c r="D514">
        <v>8.0500000000000007</v>
      </c>
      <c r="E514">
        <v>28</v>
      </c>
      <c r="F514">
        <v>0</v>
      </c>
      <c r="G514">
        <v>0</v>
      </c>
      <c r="H514">
        <v>0</v>
      </c>
      <c r="I514">
        <v>1</v>
      </c>
      <c r="J514">
        <v>1</v>
      </c>
      <c r="K514">
        <v>0</v>
      </c>
      <c r="L514">
        <v>0</v>
      </c>
      <c r="M514">
        <v>1</v>
      </c>
      <c r="N514">
        <v>0</v>
      </c>
      <c r="O514" s="14">
        <f t="shared" si="22"/>
        <v>0</v>
      </c>
      <c r="P514">
        <f t="shared" si="21"/>
        <v>9.1208772698105012E-2</v>
      </c>
      <c r="Q514">
        <f t="shared" si="23"/>
        <v>-9.5639884118734919E-2</v>
      </c>
    </row>
    <row r="515" spans="1:17" x14ac:dyDescent="0.4">
      <c r="A515">
        <v>513</v>
      </c>
      <c r="B515">
        <v>0</v>
      </c>
      <c r="C515">
        <v>0</v>
      </c>
      <c r="D515">
        <v>26.287500000000001</v>
      </c>
      <c r="E515">
        <v>36</v>
      </c>
      <c r="F515">
        <v>0</v>
      </c>
      <c r="G515">
        <v>1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1</v>
      </c>
      <c r="N515">
        <v>1</v>
      </c>
      <c r="O515" s="14">
        <f t="shared" si="22"/>
        <v>0</v>
      </c>
      <c r="P515">
        <f t="shared" ref="P515:P578" si="24">1/(1+EXP(-SUMPRODUCT(B$1:M$1,B515:M515)))</f>
        <v>0.39774844339727206</v>
      </c>
      <c r="Q515">
        <f t="shared" si="23"/>
        <v>-0.92193552529227063</v>
      </c>
    </row>
    <row r="516" spans="1:17" x14ac:dyDescent="0.4">
      <c r="A516">
        <v>514</v>
      </c>
      <c r="B516">
        <v>1</v>
      </c>
      <c r="C516">
        <v>0</v>
      </c>
      <c r="D516">
        <v>59.4</v>
      </c>
      <c r="E516">
        <v>54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1</v>
      </c>
      <c r="N516">
        <v>1</v>
      </c>
      <c r="O516" s="14">
        <f t="shared" ref="O516:O579" si="25">IF(P516&gt;0.5,1,0)</f>
        <v>1</v>
      </c>
      <c r="P516">
        <f t="shared" si="24"/>
        <v>0.85834829908800969</v>
      </c>
      <c r="Q516">
        <f t="shared" ref="Q516:Q579" si="26">N516*LN(P516)+(1-N516)*LN(1-P516)</f>
        <v>-0.15274531887372164</v>
      </c>
    </row>
    <row r="517" spans="1:17" x14ac:dyDescent="0.4">
      <c r="A517">
        <v>515</v>
      </c>
      <c r="B517">
        <v>0</v>
      </c>
      <c r="C517">
        <v>0</v>
      </c>
      <c r="D517">
        <v>7.4958</v>
      </c>
      <c r="E517">
        <v>24</v>
      </c>
      <c r="F517">
        <v>0</v>
      </c>
      <c r="G517">
        <v>0</v>
      </c>
      <c r="H517">
        <v>0</v>
      </c>
      <c r="I517">
        <v>1</v>
      </c>
      <c r="J517">
        <v>1</v>
      </c>
      <c r="K517">
        <v>0</v>
      </c>
      <c r="L517">
        <v>0</v>
      </c>
      <c r="M517">
        <v>1</v>
      </c>
      <c r="N517">
        <v>0</v>
      </c>
      <c r="O517" s="14">
        <f t="shared" si="25"/>
        <v>0</v>
      </c>
      <c r="P517">
        <f t="shared" si="24"/>
        <v>0.10469074981445561</v>
      </c>
      <c r="Q517">
        <f t="shared" si="26"/>
        <v>-0.11058608945577793</v>
      </c>
    </row>
    <row r="518" spans="1:17" x14ac:dyDescent="0.4">
      <c r="A518">
        <v>516</v>
      </c>
      <c r="B518">
        <v>0</v>
      </c>
      <c r="C518">
        <v>0</v>
      </c>
      <c r="D518">
        <v>34.020800000000001</v>
      </c>
      <c r="E518">
        <v>47</v>
      </c>
      <c r="F518">
        <v>0</v>
      </c>
      <c r="G518">
        <v>1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1</v>
      </c>
      <c r="N518">
        <v>0</v>
      </c>
      <c r="O518" s="14">
        <f t="shared" si="25"/>
        <v>0</v>
      </c>
      <c r="P518">
        <f t="shared" si="24"/>
        <v>0.30564681341782063</v>
      </c>
      <c r="Q518">
        <f t="shared" si="26"/>
        <v>-0.36477453354479522</v>
      </c>
    </row>
    <row r="519" spans="1:17" x14ac:dyDescent="0.4">
      <c r="A519">
        <v>517</v>
      </c>
      <c r="B519">
        <v>0</v>
      </c>
      <c r="C519">
        <v>0</v>
      </c>
      <c r="D519">
        <v>10.5</v>
      </c>
      <c r="E519">
        <v>34</v>
      </c>
      <c r="F519">
        <v>1</v>
      </c>
      <c r="G519">
        <v>0</v>
      </c>
      <c r="H519">
        <v>1</v>
      </c>
      <c r="I519">
        <v>0</v>
      </c>
      <c r="J519">
        <v>1</v>
      </c>
      <c r="K519">
        <v>0</v>
      </c>
      <c r="L519">
        <v>0</v>
      </c>
      <c r="M519">
        <v>1</v>
      </c>
      <c r="N519">
        <v>1</v>
      </c>
      <c r="O519" s="14">
        <f t="shared" si="25"/>
        <v>1</v>
      </c>
      <c r="P519">
        <f t="shared" si="24"/>
        <v>0.80610930472141118</v>
      </c>
      <c r="Q519">
        <f t="shared" si="26"/>
        <v>-0.21553593187195172</v>
      </c>
    </row>
    <row r="520" spans="1:17" x14ac:dyDescent="0.4">
      <c r="A520">
        <v>518</v>
      </c>
      <c r="B520">
        <v>0</v>
      </c>
      <c r="C520">
        <v>0</v>
      </c>
      <c r="D520">
        <v>24.15</v>
      </c>
      <c r="E520">
        <v>28</v>
      </c>
      <c r="F520">
        <v>0</v>
      </c>
      <c r="G520">
        <v>0</v>
      </c>
      <c r="H520">
        <v>0</v>
      </c>
      <c r="I520">
        <v>1</v>
      </c>
      <c r="J520">
        <v>0</v>
      </c>
      <c r="K520">
        <v>1</v>
      </c>
      <c r="L520">
        <v>0</v>
      </c>
      <c r="M520">
        <v>1</v>
      </c>
      <c r="N520">
        <v>0</v>
      </c>
      <c r="O520" s="14">
        <f t="shared" si="25"/>
        <v>0</v>
      </c>
      <c r="P520">
        <f t="shared" si="24"/>
        <v>0.13203575486025643</v>
      </c>
      <c r="Q520">
        <f t="shared" si="26"/>
        <v>-0.14160475740552877</v>
      </c>
    </row>
    <row r="521" spans="1:17" x14ac:dyDescent="0.4">
      <c r="A521">
        <v>519</v>
      </c>
      <c r="B521">
        <v>1</v>
      </c>
      <c r="C521">
        <v>0</v>
      </c>
      <c r="D521">
        <v>26</v>
      </c>
      <c r="E521">
        <v>36</v>
      </c>
      <c r="F521">
        <v>1</v>
      </c>
      <c r="G521">
        <v>0</v>
      </c>
      <c r="H521">
        <v>1</v>
      </c>
      <c r="I521">
        <v>0</v>
      </c>
      <c r="J521">
        <v>1</v>
      </c>
      <c r="K521">
        <v>0</v>
      </c>
      <c r="L521">
        <v>0</v>
      </c>
      <c r="M521">
        <v>1</v>
      </c>
      <c r="N521">
        <v>1</v>
      </c>
      <c r="O521" s="14">
        <f t="shared" si="25"/>
        <v>1</v>
      </c>
      <c r="P521">
        <f t="shared" si="24"/>
        <v>0.74310950506941009</v>
      </c>
      <c r="Q521">
        <f t="shared" si="26"/>
        <v>-0.29691186279648168</v>
      </c>
    </row>
    <row r="522" spans="1:17" x14ac:dyDescent="0.4">
      <c r="A522">
        <v>520</v>
      </c>
      <c r="B522">
        <v>0</v>
      </c>
      <c r="C522">
        <v>0</v>
      </c>
      <c r="D522">
        <v>7.8958000000000004</v>
      </c>
      <c r="E522">
        <v>32</v>
      </c>
      <c r="F522">
        <v>0</v>
      </c>
      <c r="G522">
        <v>0</v>
      </c>
      <c r="H522">
        <v>0</v>
      </c>
      <c r="I522">
        <v>1</v>
      </c>
      <c r="J522">
        <v>1</v>
      </c>
      <c r="K522">
        <v>0</v>
      </c>
      <c r="L522">
        <v>0</v>
      </c>
      <c r="M522">
        <v>1</v>
      </c>
      <c r="N522">
        <v>0</v>
      </c>
      <c r="O522" s="14">
        <f t="shared" si="25"/>
        <v>0</v>
      </c>
      <c r="P522">
        <f t="shared" si="24"/>
        <v>7.918830881513314E-2</v>
      </c>
      <c r="Q522">
        <f t="shared" si="26"/>
        <v>-8.2499724886098261E-2</v>
      </c>
    </row>
    <row r="523" spans="1:17" x14ac:dyDescent="0.4">
      <c r="A523">
        <v>521</v>
      </c>
      <c r="B523">
        <v>0</v>
      </c>
      <c r="C523">
        <v>0</v>
      </c>
      <c r="D523">
        <v>93.5</v>
      </c>
      <c r="E523">
        <v>30</v>
      </c>
      <c r="F523">
        <v>1</v>
      </c>
      <c r="G523">
        <v>1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1</v>
      </c>
      <c r="N523">
        <v>1</v>
      </c>
      <c r="O523" s="14">
        <f t="shared" si="25"/>
        <v>1</v>
      </c>
      <c r="P523">
        <f t="shared" si="24"/>
        <v>0.93661759179766824</v>
      </c>
      <c r="Q523">
        <f t="shared" si="26"/>
        <v>-6.5480199793596469E-2</v>
      </c>
    </row>
    <row r="524" spans="1:17" x14ac:dyDescent="0.4">
      <c r="A524">
        <v>522</v>
      </c>
      <c r="B524">
        <v>0</v>
      </c>
      <c r="C524">
        <v>0</v>
      </c>
      <c r="D524">
        <v>7.8958000000000004</v>
      </c>
      <c r="E524">
        <v>22</v>
      </c>
      <c r="F524">
        <v>0</v>
      </c>
      <c r="G524">
        <v>0</v>
      </c>
      <c r="H524">
        <v>0</v>
      </c>
      <c r="I524">
        <v>1</v>
      </c>
      <c r="J524">
        <v>1</v>
      </c>
      <c r="K524">
        <v>0</v>
      </c>
      <c r="L524">
        <v>0</v>
      </c>
      <c r="M524">
        <v>1</v>
      </c>
      <c r="N524">
        <v>0</v>
      </c>
      <c r="O524" s="14">
        <f t="shared" si="25"/>
        <v>0</v>
      </c>
      <c r="P524">
        <f t="shared" si="24"/>
        <v>0.11222904033445361</v>
      </c>
      <c r="Q524">
        <f t="shared" si="26"/>
        <v>-0.11904149756375781</v>
      </c>
    </row>
    <row r="525" spans="1:17" x14ac:dyDescent="0.4">
      <c r="A525">
        <v>523</v>
      </c>
      <c r="B525">
        <v>0</v>
      </c>
      <c r="C525">
        <v>0</v>
      </c>
      <c r="D525">
        <v>7.2249999999999996</v>
      </c>
      <c r="E525">
        <v>28</v>
      </c>
      <c r="F525">
        <v>0</v>
      </c>
      <c r="G525">
        <v>0</v>
      </c>
      <c r="H525">
        <v>0</v>
      </c>
      <c r="I525">
        <v>1</v>
      </c>
      <c r="J525">
        <v>0</v>
      </c>
      <c r="K525">
        <v>0</v>
      </c>
      <c r="L525">
        <v>1</v>
      </c>
      <c r="M525">
        <v>1</v>
      </c>
      <c r="N525">
        <v>0</v>
      </c>
      <c r="O525" s="14">
        <f t="shared" si="25"/>
        <v>0</v>
      </c>
      <c r="P525">
        <f t="shared" si="24"/>
        <v>0.13399878421988354</v>
      </c>
      <c r="Q525">
        <f t="shared" si="26"/>
        <v>-0.14386896651755057</v>
      </c>
    </row>
    <row r="526" spans="1:17" x14ac:dyDescent="0.4">
      <c r="A526">
        <v>524</v>
      </c>
      <c r="B526">
        <v>0</v>
      </c>
      <c r="C526">
        <v>1</v>
      </c>
      <c r="D526">
        <v>57.979199999999999</v>
      </c>
      <c r="E526">
        <v>44</v>
      </c>
      <c r="F526">
        <v>1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1</v>
      </c>
      <c r="N526">
        <v>1</v>
      </c>
      <c r="O526" s="14">
        <f t="shared" si="25"/>
        <v>1</v>
      </c>
      <c r="P526">
        <f t="shared" si="24"/>
        <v>0.91774833518101795</v>
      </c>
      <c r="Q526">
        <f t="shared" si="26"/>
        <v>-8.5832070629156404E-2</v>
      </c>
    </row>
    <row r="527" spans="1:17" x14ac:dyDescent="0.4">
      <c r="A527">
        <v>525</v>
      </c>
      <c r="B527">
        <v>0</v>
      </c>
      <c r="C527">
        <v>0</v>
      </c>
      <c r="D527">
        <v>7.2291999999999996</v>
      </c>
      <c r="E527">
        <v>28</v>
      </c>
      <c r="F527">
        <v>0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 s="14">
        <f t="shared" si="25"/>
        <v>0</v>
      </c>
      <c r="P527">
        <f t="shared" si="24"/>
        <v>0.13399992402833119</v>
      </c>
      <c r="Q527">
        <f t="shared" si="26"/>
        <v>-0.14387028269260546</v>
      </c>
    </row>
    <row r="528" spans="1:17" x14ac:dyDescent="0.4">
      <c r="A528">
        <v>526</v>
      </c>
      <c r="B528">
        <v>0</v>
      </c>
      <c r="C528">
        <v>0</v>
      </c>
      <c r="D528">
        <v>7.75</v>
      </c>
      <c r="E528">
        <v>40.5</v>
      </c>
      <c r="F528">
        <v>0</v>
      </c>
      <c r="G528">
        <v>0</v>
      </c>
      <c r="H528">
        <v>0</v>
      </c>
      <c r="I528">
        <v>1</v>
      </c>
      <c r="J528">
        <v>0</v>
      </c>
      <c r="K528">
        <v>1</v>
      </c>
      <c r="L528">
        <v>0</v>
      </c>
      <c r="M528">
        <v>1</v>
      </c>
      <c r="N528">
        <v>0</v>
      </c>
      <c r="O528" s="14">
        <f t="shared" si="25"/>
        <v>0</v>
      </c>
      <c r="P528">
        <f t="shared" si="24"/>
        <v>8.2944223558890709E-2</v>
      </c>
      <c r="Q528">
        <f t="shared" si="26"/>
        <v>-8.6586983666915862E-2</v>
      </c>
    </row>
    <row r="529" spans="1:17" x14ac:dyDescent="0.4">
      <c r="A529">
        <v>527</v>
      </c>
      <c r="B529">
        <v>0</v>
      </c>
      <c r="C529">
        <v>0</v>
      </c>
      <c r="D529">
        <v>10.5</v>
      </c>
      <c r="E529">
        <v>50</v>
      </c>
      <c r="F529">
        <v>1</v>
      </c>
      <c r="G529">
        <v>0</v>
      </c>
      <c r="H529">
        <v>1</v>
      </c>
      <c r="I529">
        <v>0</v>
      </c>
      <c r="J529">
        <v>1</v>
      </c>
      <c r="K529">
        <v>0</v>
      </c>
      <c r="L529">
        <v>0</v>
      </c>
      <c r="M529">
        <v>1</v>
      </c>
      <c r="N529">
        <v>1</v>
      </c>
      <c r="O529" s="14">
        <f t="shared" si="25"/>
        <v>1</v>
      </c>
      <c r="P529">
        <f t="shared" si="24"/>
        <v>0.69179338624582143</v>
      </c>
      <c r="Q529">
        <f t="shared" si="26"/>
        <v>-0.36846794273606959</v>
      </c>
    </row>
    <row r="530" spans="1:17" x14ac:dyDescent="0.4">
      <c r="A530">
        <v>528</v>
      </c>
      <c r="B530">
        <v>0</v>
      </c>
      <c r="C530">
        <v>0</v>
      </c>
      <c r="D530">
        <v>221.7792</v>
      </c>
      <c r="E530">
        <v>28</v>
      </c>
      <c r="F530">
        <v>0</v>
      </c>
      <c r="G530">
        <v>1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1</v>
      </c>
      <c r="N530">
        <v>0</v>
      </c>
      <c r="O530" s="14">
        <f t="shared" si="25"/>
        <v>1</v>
      </c>
      <c r="P530">
        <f t="shared" si="24"/>
        <v>0.58674642214572847</v>
      </c>
      <c r="Q530">
        <f t="shared" si="26"/>
        <v>-0.88369388447390518</v>
      </c>
    </row>
    <row r="531" spans="1:17" x14ac:dyDescent="0.4">
      <c r="A531">
        <v>529</v>
      </c>
      <c r="B531">
        <v>0</v>
      </c>
      <c r="C531">
        <v>0</v>
      </c>
      <c r="D531">
        <v>7.9249999999999998</v>
      </c>
      <c r="E531">
        <v>39</v>
      </c>
      <c r="F531">
        <v>0</v>
      </c>
      <c r="G531">
        <v>0</v>
      </c>
      <c r="H531">
        <v>0</v>
      </c>
      <c r="I531">
        <v>1</v>
      </c>
      <c r="J531">
        <v>1</v>
      </c>
      <c r="K531">
        <v>0</v>
      </c>
      <c r="L531">
        <v>0</v>
      </c>
      <c r="M531">
        <v>1</v>
      </c>
      <c r="N531">
        <v>0</v>
      </c>
      <c r="O531" s="14">
        <f t="shared" si="25"/>
        <v>0</v>
      </c>
      <c r="P531">
        <f t="shared" si="24"/>
        <v>6.1627602781178403E-2</v>
      </c>
      <c r="Q531">
        <f t="shared" si="26"/>
        <v>-6.3608396803943937E-2</v>
      </c>
    </row>
    <row r="532" spans="1:17" x14ac:dyDescent="0.4">
      <c r="A532">
        <v>530</v>
      </c>
      <c r="B532">
        <v>2</v>
      </c>
      <c r="C532">
        <v>1</v>
      </c>
      <c r="D532">
        <v>11.5</v>
      </c>
      <c r="E532">
        <v>23</v>
      </c>
      <c r="F532">
        <v>0</v>
      </c>
      <c r="G532">
        <v>0</v>
      </c>
      <c r="H532">
        <v>1</v>
      </c>
      <c r="I532">
        <v>0</v>
      </c>
      <c r="J532">
        <v>1</v>
      </c>
      <c r="K532">
        <v>0</v>
      </c>
      <c r="L532">
        <v>0</v>
      </c>
      <c r="M532">
        <v>1</v>
      </c>
      <c r="N532">
        <v>0</v>
      </c>
      <c r="O532" s="14">
        <f t="shared" si="25"/>
        <v>0</v>
      </c>
      <c r="P532">
        <f t="shared" si="24"/>
        <v>0.16717522379779295</v>
      </c>
      <c r="Q532">
        <f t="shared" si="26"/>
        <v>-0.18293201164095718</v>
      </c>
    </row>
    <row r="533" spans="1:17" x14ac:dyDescent="0.4">
      <c r="A533">
        <v>531</v>
      </c>
      <c r="B533">
        <v>1</v>
      </c>
      <c r="C533">
        <v>1</v>
      </c>
      <c r="D533">
        <v>26</v>
      </c>
      <c r="E533">
        <v>2</v>
      </c>
      <c r="F533">
        <v>1</v>
      </c>
      <c r="G533">
        <v>0</v>
      </c>
      <c r="H533">
        <v>1</v>
      </c>
      <c r="I533">
        <v>0</v>
      </c>
      <c r="J533">
        <v>1</v>
      </c>
      <c r="K533">
        <v>0</v>
      </c>
      <c r="L533">
        <v>0</v>
      </c>
      <c r="M533">
        <v>1</v>
      </c>
      <c r="N533">
        <v>1</v>
      </c>
      <c r="O533" s="14">
        <f t="shared" si="25"/>
        <v>1</v>
      </c>
      <c r="P533">
        <f t="shared" si="24"/>
        <v>0.90709753137476634</v>
      </c>
      <c r="Q533">
        <f t="shared" si="26"/>
        <v>-9.7505302812669295E-2</v>
      </c>
    </row>
    <row r="534" spans="1:17" x14ac:dyDescent="0.4">
      <c r="A534">
        <v>532</v>
      </c>
      <c r="B534">
        <v>0</v>
      </c>
      <c r="C534">
        <v>0</v>
      </c>
      <c r="D534">
        <v>7.2291999999999996</v>
      </c>
      <c r="E534">
        <v>28</v>
      </c>
      <c r="F534">
        <v>0</v>
      </c>
      <c r="G534">
        <v>0</v>
      </c>
      <c r="H534">
        <v>0</v>
      </c>
      <c r="I534">
        <v>1</v>
      </c>
      <c r="J534">
        <v>0</v>
      </c>
      <c r="K534">
        <v>0</v>
      </c>
      <c r="L534">
        <v>1</v>
      </c>
      <c r="M534">
        <v>1</v>
      </c>
      <c r="N534">
        <v>0</v>
      </c>
      <c r="O534" s="14">
        <f t="shared" si="25"/>
        <v>0</v>
      </c>
      <c r="P534">
        <f t="shared" si="24"/>
        <v>0.13399992402833119</v>
      </c>
      <c r="Q534">
        <f t="shared" si="26"/>
        <v>-0.14387028269260546</v>
      </c>
    </row>
    <row r="535" spans="1:17" x14ac:dyDescent="0.4">
      <c r="A535">
        <v>533</v>
      </c>
      <c r="B535">
        <v>1</v>
      </c>
      <c r="C535">
        <v>1</v>
      </c>
      <c r="D535">
        <v>7.2291999999999996</v>
      </c>
      <c r="E535">
        <v>17</v>
      </c>
      <c r="F535">
        <v>0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1</v>
      </c>
      <c r="M535">
        <v>1</v>
      </c>
      <c r="N535">
        <v>0</v>
      </c>
      <c r="O535" s="14">
        <f t="shared" si="25"/>
        <v>0</v>
      </c>
      <c r="P535">
        <f t="shared" si="24"/>
        <v>0.13498831246591059</v>
      </c>
      <c r="Q535">
        <f t="shared" si="26"/>
        <v>-0.14501226054143521</v>
      </c>
    </row>
    <row r="536" spans="1:17" x14ac:dyDescent="0.4">
      <c r="A536">
        <v>534</v>
      </c>
      <c r="B536">
        <v>0</v>
      </c>
      <c r="C536">
        <v>2</v>
      </c>
      <c r="D536">
        <v>22.3583</v>
      </c>
      <c r="E536">
        <v>28</v>
      </c>
      <c r="F536">
        <v>1</v>
      </c>
      <c r="G536">
        <v>0</v>
      </c>
      <c r="H536">
        <v>0</v>
      </c>
      <c r="I536">
        <v>1</v>
      </c>
      <c r="J536">
        <v>0</v>
      </c>
      <c r="K536">
        <v>0</v>
      </c>
      <c r="L536">
        <v>1</v>
      </c>
      <c r="M536">
        <v>1</v>
      </c>
      <c r="N536">
        <v>1</v>
      </c>
      <c r="O536" s="14">
        <f t="shared" si="25"/>
        <v>1</v>
      </c>
      <c r="P536">
        <f t="shared" si="24"/>
        <v>0.66867999595128291</v>
      </c>
      <c r="Q536">
        <f t="shared" si="26"/>
        <v>-0.4024496652024972</v>
      </c>
    </row>
    <row r="537" spans="1:17" x14ac:dyDescent="0.4">
      <c r="A537">
        <v>535</v>
      </c>
      <c r="B537">
        <v>0</v>
      </c>
      <c r="C537">
        <v>0</v>
      </c>
      <c r="D537">
        <v>8.6624999999999996</v>
      </c>
      <c r="E537">
        <v>30</v>
      </c>
      <c r="F537">
        <v>1</v>
      </c>
      <c r="G537">
        <v>0</v>
      </c>
      <c r="H537">
        <v>0</v>
      </c>
      <c r="I537">
        <v>1</v>
      </c>
      <c r="J537">
        <v>1</v>
      </c>
      <c r="K537">
        <v>0</v>
      </c>
      <c r="L537">
        <v>0</v>
      </c>
      <c r="M537">
        <v>1</v>
      </c>
      <c r="N537">
        <v>0</v>
      </c>
      <c r="O537" s="14">
        <f t="shared" si="25"/>
        <v>1</v>
      </c>
      <c r="P537">
        <f t="shared" si="24"/>
        <v>0.58541019319280108</v>
      </c>
      <c r="Q537">
        <f t="shared" si="26"/>
        <v>-0.88046566489002376</v>
      </c>
    </row>
    <row r="538" spans="1:17" x14ac:dyDescent="0.4">
      <c r="A538">
        <v>536</v>
      </c>
      <c r="B538">
        <v>0</v>
      </c>
      <c r="C538">
        <v>2</v>
      </c>
      <c r="D538">
        <v>26.25</v>
      </c>
      <c r="E538">
        <v>7</v>
      </c>
      <c r="F538">
        <v>1</v>
      </c>
      <c r="G538">
        <v>0</v>
      </c>
      <c r="H538">
        <v>1</v>
      </c>
      <c r="I538">
        <v>0</v>
      </c>
      <c r="J538">
        <v>1</v>
      </c>
      <c r="K538">
        <v>0</v>
      </c>
      <c r="L538">
        <v>0</v>
      </c>
      <c r="M538">
        <v>1</v>
      </c>
      <c r="N538">
        <v>1</v>
      </c>
      <c r="O538" s="14">
        <f t="shared" si="25"/>
        <v>1</v>
      </c>
      <c r="P538">
        <f t="shared" si="24"/>
        <v>0.91013019621686742</v>
      </c>
      <c r="Q538">
        <f t="shared" si="26"/>
        <v>-9.4167616939384996E-2</v>
      </c>
    </row>
    <row r="539" spans="1:17" x14ac:dyDescent="0.4">
      <c r="A539">
        <v>537</v>
      </c>
      <c r="B539">
        <v>0</v>
      </c>
      <c r="C539">
        <v>0</v>
      </c>
      <c r="D539">
        <v>26.55</v>
      </c>
      <c r="E539">
        <v>45</v>
      </c>
      <c r="F539">
        <v>0</v>
      </c>
      <c r="G539">
        <v>1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1</v>
      </c>
      <c r="N539">
        <v>0</v>
      </c>
      <c r="O539" s="14">
        <f t="shared" si="25"/>
        <v>0</v>
      </c>
      <c r="P539">
        <f t="shared" si="24"/>
        <v>0.31843549307142122</v>
      </c>
      <c r="Q539">
        <f t="shared" si="26"/>
        <v>-0.38336437799105055</v>
      </c>
    </row>
    <row r="540" spans="1:17" x14ac:dyDescent="0.4">
      <c r="A540">
        <v>538</v>
      </c>
      <c r="B540">
        <v>0</v>
      </c>
      <c r="C540">
        <v>0</v>
      </c>
      <c r="D540">
        <v>106.425</v>
      </c>
      <c r="E540">
        <v>30</v>
      </c>
      <c r="F540">
        <v>1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1</v>
      </c>
      <c r="N540">
        <v>1</v>
      </c>
      <c r="O540" s="14">
        <f t="shared" si="25"/>
        <v>1</v>
      </c>
      <c r="P540">
        <f t="shared" si="24"/>
        <v>0.9592287980073041</v>
      </c>
      <c r="Q540">
        <f t="shared" si="26"/>
        <v>-4.162565277611751E-2</v>
      </c>
    </row>
    <row r="541" spans="1:17" x14ac:dyDescent="0.4">
      <c r="A541">
        <v>539</v>
      </c>
      <c r="B541">
        <v>0</v>
      </c>
      <c r="C541">
        <v>0</v>
      </c>
      <c r="D541">
        <v>14.5</v>
      </c>
      <c r="E541">
        <v>28</v>
      </c>
      <c r="F541">
        <v>0</v>
      </c>
      <c r="G541">
        <v>0</v>
      </c>
      <c r="H541">
        <v>0</v>
      </c>
      <c r="I541">
        <v>1</v>
      </c>
      <c r="J541">
        <v>1</v>
      </c>
      <c r="K541">
        <v>0</v>
      </c>
      <c r="L541">
        <v>0</v>
      </c>
      <c r="M541">
        <v>1</v>
      </c>
      <c r="N541">
        <v>0</v>
      </c>
      <c r="O541" s="14">
        <f t="shared" si="25"/>
        <v>0</v>
      </c>
      <c r="P541">
        <f t="shared" si="24"/>
        <v>9.246682905694209E-2</v>
      </c>
      <c r="Q541">
        <f t="shared" si="26"/>
        <v>-9.7025161507769866E-2</v>
      </c>
    </row>
    <row r="542" spans="1:17" x14ac:dyDescent="0.4">
      <c r="A542">
        <v>540</v>
      </c>
      <c r="B542">
        <v>0</v>
      </c>
      <c r="C542">
        <v>2</v>
      </c>
      <c r="D542">
        <v>49.5</v>
      </c>
      <c r="E542">
        <v>22</v>
      </c>
      <c r="F542">
        <v>1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1</v>
      </c>
      <c r="N542">
        <v>1</v>
      </c>
      <c r="O542" s="14">
        <f t="shared" si="25"/>
        <v>1</v>
      </c>
      <c r="P542">
        <f t="shared" si="24"/>
        <v>0.95877099517343412</v>
      </c>
      <c r="Q542">
        <f t="shared" si="26"/>
        <v>-4.2103028054458626E-2</v>
      </c>
    </row>
    <row r="543" spans="1:17" x14ac:dyDescent="0.4">
      <c r="A543">
        <v>541</v>
      </c>
      <c r="B543">
        <v>0</v>
      </c>
      <c r="C543">
        <v>2</v>
      </c>
      <c r="D543">
        <v>71</v>
      </c>
      <c r="E543">
        <v>36</v>
      </c>
      <c r="F543">
        <v>1</v>
      </c>
      <c r="G543">
        <v>1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1</v>
      </c>
      <c r="N543">
        <v>1</v>
      </c>
      <c r="O543" s="14">
        <f t="shared" si="25"/>
        <v>1</v>
      </c>
      <c r="P543">
        <f t="shared" si="24"/>
        <v>0.90226035550320549</v>
      </c>
      <c r="Q543">
        <f t="shared" si="26"/>
        <v>-0.10285215810398422</v>
      </c>
    </row>
    <row r="544" spans="1:17" x14ac:dyDescent="0.4">
      <c r="A544">
        <v>542</v>
      </c>
      <c r="B544">
        <v>4</v>
      </c>
      <c r="C544">
        <v>2</v>
      </c>
      <c r="D544">
        <v>31.274999999999999</v>
      </c>
      <c r="E544">
        <v>9</v>
      </c>
      <c r="F544">
        <v>1</v>
      </c>
      <c r="G544">
        <v>0</v>
      </c>
      <c r="H544">
        <v>0</v>
      </c>
      <c r="I544">
        <v>1</v>
      </c>
      <c r="J544">
        <v>1</v>
      </c>
      <c r="K544">
        <v>0</v>
      </c>
      <c r="L544">
        <v>0</v>
      </c>
      <c r="M544">
        <v>1</v>
      </c>
      <c r="N544">
        <v>0</v>
      </c>
      <c r="O544" s="14">
        <f t="shared" si="25"/>
        <v>0</v>
      </c>
      <c r="P544">
        <f t="shared" si="24"/>
        <v>0.43352186262556919</v>
      </c>
      <c r="Q544">
        <f t="shared" si="26"/>
        <v>-0.56831679171345162</v>
      </c>
    </row>
    <row r="545" spans="1:17" x14ac:dyDescent="0.4">
      <c r="A545">
        <v>543</v>
      </c>
      <c r="B545">
        <v>4</v>
      </c>
      <c r="C545">
        <v>2</v>
      </c>
      <c r="D545">
        <v>31.274999999999999</v>
      </c>
      <c r="E545">
        <v>11</v>
      </c>
      <c r="F545">
        <v>1</v>
      </c>
      <c r="G545">
        <v>0</v>
      </c>
      <c r="H545">
        <v>0</v>
      </c>
      <c r="I545">
        <v>1</v>
      </c>
      <c r="J545">
        <v>1</v>
      </c>
      <c r="K545">
        <v>0</v>
      </c>
      <c r="L545">
        <v>0</v>
      </c>
      <c r="M545">
        <v>1</v>
      </c>
      <c r="N545">
        <v>0</v>
      </c>
      <c r="O545" s="14">
        <f t="shared" si="25"/>
        <v>0</v>
      </c>
      <c r="P545">
        <f t="shared" si="24"/>
        <v>0.4147053234729951</v>
      </c>
      <c r="Q545">
        <f t="shared" si="26"/>
        <v>-0.53563983801591109</v>
      </c>
    </row>
    <row r="546" spans="1:17" x14ac:dyDescent="0.4">
      <c r="A546">
        <v>544</v>
      </c>
      <c r="B546">
        <v>1</v>
      </c>
      <c r="C546">
        <v>0</v>
      </c>
      <c r="D546">
        <v>26</v>
      </c>
      <c r="E546">
        <v>32</v>
      </c>
      <c r="F546">
        <v>0</v>
      </c>
      <c r="G546">
        <v>0</v>
      </c>
      <c r="H546">
        <v>1</v>
      </c>
      <c r="I546">
        <v>0</v>
      </c>
      <c r="J546">
        <v>1</v>
      </c>
      <c r="K546">
        <v>0</v>
      </c>
      <c r="L546">
        <v>0</v>
      </c>
      <c r="M546">
        <v>1</v>
      </c>
      <c r="N546">
        <v>1</v>
      </c>
      <c r="O546" s="14">
        <f t="shared" si="25"/>
        <v>0</v>
      </c>
      <c r="P546">
        <f t="shared" si="24"/>
        <v>0.18193228122005881</v>
      </c>
      <c r="Q546">
        <f t="shared" si="26"/>
        <v>-1.7041207423531983</v>
      </c>
    </row>
    <row r="547" spans="1:17" x14ac:dyDescent="0.4">
      <c r="A547">
        <v>545</v>
      </c>
      <c r="B547">
        <v>1</v>
      </c>
      <c r="C547">
        <v>0</v>
      </c>
      <c r="D547">
        <v>106.425</v>
      </c>
      <c r="E547">
        <v>50</v>
      </c>
      <c r="F547">
        <v>0</v>
      </c>
      <c r="G547">
        <v>1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1</v>
      </c>
      <c r="N547">
        <v>0</v>
      </c>
      <c r="O547" s="14">
        <f t="shared" si="25"/>
        <v>0</v>
      </c>
      <c r="P547">
        <f t="shared" si="24"/>
        <v>0.34211318819419012</v>
      </c>
      <c r="Q547">
        <f t="shared" si="26"/>
        <v>-0.4187223809859083</v>
      </c>
    </row>
    <row r="548" spans="1:17" x14ac:dyDescent="0.4">
      <c r="A548">
        <v>546</v>
      </c>
      <c r="B548">
        <v>0</v>
      </c>
      <c r="C548">
        <v>0</v>
      </c>
      <c r="D548">
        <v>26</v>
      </c>
      <c r="E548">
        <v>64</v>
      </c>
      <c r="F548">
        <v>0</v>
      </c>
      <c r="G548">
        <v>1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1</v>
      </c>
      <c r="N548">
        <v>0</v>
      </c>
      <c r="O548" s="14">
        <f t="shared" si="25"/>
        <v>0</v>
      </c>
      <c r="P548">
        <f t="shared" si="24"/>
        <v>0.18328595300290274</v>
      </c>
      <c r="Q548">
        <f t="shared" si="26"/>
        <v>-0.20246624906324001</v>
      </c>
    </row>
    <row r="549" spans="1:17" x14ac:dyDescent="0.4">
      <c r="A549">
        <v>547</v>
      </c>
      <c r="B549">
        <v>1</v>
      </c>
      <c r="C549">
        <v>0</v>
      </c>
      <c r="D549">
        <v>26</v>
      </c>
      <c r="E549">
        <v>19</v>
      </c>
      <c r="F549">
        <v>1</v>
      </c>
      <c r="G549">
        <v>0</v>
      </c>
      <c r="H549">
        <v>1</v>
      </c>
      <c r="I549">
        <v>0</v>
      </c>
      <c r="J549">
        <v>1</v>
      </c>
      <c r="K549">
        <v>0</v>
      </c>
      <c r="L549">
        <v>0</v>
      </c>
      <c r="M549">
        <v>1</v>
      </c>
      <c r="N549">
        <v>1</v>
      </c>
      <c r="O549" s="14">
        <f t="shared" si="25"/>
        <v>1</v>
      </c>
      <c r="P549">
        <f t="shared" si="24"/>
        <v>0.84775838226518918</v>
      </c>
      <c r="Q549">
        <f t="shared" si="26"/>
        <v>-0.1651596103635917</v>
      </c>
    </row>
    <row r="550" spans="1:17" x14ac:dyDescent="0.4">
      <c r="A550">
        <v>548</v>
      </c>
      <c r="B550">
        <v>0</v>
      </c>
      <c r="C550">
        <v>0</v>
      </c>
      <c r="D550">
        <v>13.862500000000001</v>
      </c>
      <c r="E550">
        <v>28</v>
      </c>
      <c r="F550">
        <v>0</v>
      </c>
      <c r="G550">
        <v>0</v>
      </c>
      <c r="H550">
        <v>1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1</v>
      </c>
      <c r="O550" s="14">
        <f t="shared" si="25"/>
        <v>0</v>
      </c>
      <c r="P550">
        <f t="shared" si="24"/>
        <v>0.34959347700410903</v>
      </c>
      <c r="Q550">
        <f t="shared" si="26"/>
        <v>-1.0509842938298934</v>
      </c>
    </row>
    <row r="551" spans="1:17" x14ac:dyDescent="0.4">
      <c r="A551">
        <v>549</v>
      </c>
      <c r="B551">
        <v>1</v>
      </c>
      <c r="C551">
        <v>1</v>
      </c>
      <c r="D551">
        <v>20.524999999999999</v>
      </c>
      <c r="E551">
        <v>33</v>
      </c>
      <c r="F551">
        <v>0</v>
      </c>
      <c r="G551">
        <v>0</v>
      </c>
      <c r="H551">
        <v>0</v>
      </c>
      <c r="I551">
        <v>1</v>
      </c>
      <c r="J551">
        <v>1</v>
      </c>
      <c r="K551">
        <v>0</v>
      </c>
      <c r="L551">
        <v>0</v>
      </c>
      <c r="M551">
        <v>1</v>
      </c>
      <c r="N551">
        <v>0</v>
      </c>
      <c r="O551" s="14">
        <f t="shared" si="25"/>
        <v>0</v>
      </c>
      <c r="P551">
        <f t="shared" si="24"/>
        <v>5.3266664271596861E-2</v>
      </c>
      <c r="Q551">
        <f t="shared" si="26"/>
        <v>-5.4737813909508937E-2</v>
      </c>
    </row>
    <row r="552" spans="1:17" x14ac:dyDescent="0.4">
      <c r="A552">
        <v>550</v>
      </c>
      <c r="B552">
        <v>1</v>
      </c>
      <c r="C552">
        <v>1</v>
      </c>
      <c r="D552">
        <v>36.75</v>
      </c>
      <c r="E552">
        <v>8</v>
      </c>
      <c r="F552">
        <v>0</v>
      </c>
      <c r="G552">
        <v>0</v>
      </c>
      <c r="H552">
        <v>1</v>
      </c>
      <c r="I552">
        <v>0</v>
      </c>
      <c r="J552">
        <v>1</v>
      </c>
      <c r="K552">
        <v>0</v>
      </c>
      <c r="L552">
        <v>0</v>
      </c>
      <c r="M552">
        <v>1</v>
      </c>
      <c r="N552">
        <v>1</v>
      </c>
      <c r="O552" s="14">
        <f t="shared" si="25"/>
        <v>0</v>
      </c>
      <c r="P552">
        <f t="shared" si="24"/>
        <v>0.3436841820940732</v>
      </c>
      <c r="Q552">
        <f t="shared" si="26"/>
        <v>-1.0680321186059156</v>
      </c>
    </row>
    <row r="553" spans="1:17" x14ac:dyDescent="0.4">
      <c r="A553">
        <v>551</v>
      </c>
      <c r="B553">
        <v>0</v>
      </c>
      <c r="C553">
        <v>2</v>
      </c>
      <c r="D553">
        <v>110.88330000000001</v>
      </c>
      <c r="E553">
        <v>17</v>
      </c>
      <c r="F553">
        <v>0</v>
      </c>
      <c r="G553">
        <v>1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1</v>
      </c>
      <c r="N553">
        <v>1</v>
      </c>
      <c r="O553" s="14">
        <f t="shared" si="25"/>
        <v>1</v>
      </c>
      <c r="P553">
        <f t="shared" si="24"/>
        <v>0.68202303945307341</v>
      </c>
      <c r="Q553">
        <f t="shared" si="26"/>
        <v>-0.38269183952002306</v>
      </c>
    </row>
    <row r="554" spans="1:17" x14ac:dyDescent="0.4">
      <c r="A554">
        <v>552</v>
      </c>
      <c r="B554">
        <v>0</v>
      </c>
      <c r="C554">
        <v>0</v>
      </c>
      <c r="D554">
        <v>26</v>
      </c>
      <c r="E554">
        <v>27</v>
      </c>
      <c r="F554">
        <v>0</v>
      </c>
      <c r="G554">
        <v>0</v>
      </c>
      <c r="H554">
        <v>1</v>
      </c>
      <c r="I554">
        <v>0</v>
      </c>
      <c r="J554">
        <v>1</v>
      </c>
      <c r="K554">
        <v>0</v>
      </c>
      <c r="L554">
        <v>0</v>
      </c>
      <c r="M554">
        <v>1</v>
      </c>
      <c r="N554">
        <v>0</v>
      </c>
      <c r="O554" s="14">
        <f t="shared" si="25"/>
        <v>0</v>
      </c>
      <c r="P554">
        <f t="shared" si="24"/>
        <v>0.27115824081526141</v>
      </c>
      <c r="Q554">
        <f t="shared" si="26"/>
        <v>-0.31629863612583159</v>
      </c>
    </row>
    <row r="555" spans="1:17" x14ac:dyDescent="0.4">
      <c r="A555">
        <v>553</v>
      </c>
      <c r="B555">
        <v>0</v>
      </c>
      <c r="C555">
        <v>0</v>
      </c>
      <c r="D555">
        <v>7.8292000000000002</v>
      </c>
      <c r="E555">
        <v>28</v>
      </c>
      <c r="F555">
        <v>0</v>
      </c>
      <c r="G555">
        <v>0</v>
      </c>
      <c r="H555">
        <v>0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 s="14">
        <f t="shared" si="25"/>
        <v>0</v>
      </c>
      <c r="P555">
        <f t="shared" si="24"/>
        <v>0.12772267545593621</v>
      </c>
      <c r="Q555">
        <f t="shared" si="26"/>
        <v>-0.13664787290082933</v>
      </c>
    </row>
    <row r="556" spans="1:17" x14ac:dyDescent="0.4">
      <c r="A556">
        <v>554</v>
      </c>
      <c r="B556">
        <v>0</v>
      </c>
      <c r="C556">
        <v>0</v>
      </c>
      <c r="D556">
        <v>7.2249999999999996</v>
      </c>
      <c r="E556">
        <v>22</v>
      </c>
      <c r="F556">
        <v>0</v>
      </c>
      <c r="G556">
        <v>0</v>
      </c>
      <c r="H556">
        <v>0</v>
      </c>
      <c r="I556">
        <v>1</v>
      </c>
      <c r="J556">
        <v>0</v>
      </c>
      <c r="K556">
        <v>0</v>
      </c>
      <c r="L556">
        <v>1</v>
      </c>
      <c r="M556">
        <v>1</v>
      </c>
      <c r="N556">
        <v>1</v>
      </c>
      <c r="O556" s="14">
        <f t="shared" si="25"/>
        <v>0</v>
      </c>
      <c r="P556">
        <f t="shared" si="24"/>
        <v>0.16315985327888863</v>
      </c>
      <c r="Q556">
        <f t="shared" si="26"/>
        <v>-1.813024863780005</v>
      </c>
    </row>
    <row r="557" spans="1:17" x14ac:dyDescent="0.4">
      <c r="A557">
        <v>555</v>
      </c>
      <c r="B557">
        <v>0</v>
      </c>
      <c r="C557">
        <v>0</v>
      </c>
      <c r="D557">
        <v>7.7750000000000004</v>
      </c>
      <c r="E557">
        <v>22</v>
      </c>
      <c r="F557">
        <v>1</v>
      </c>
      <c r="G557">
        <v>0</v>
      </c>
      <c r="H557">
        <v>0</v>
      </c>
      <c r="I557">
        <v>1</v>
      </c>
      <c r="J557">
        <v>1</v>
      </c>
      <c r="K557">
        <v>0</v>
      </c>
      <c r="L557">
        <v>0</v>
      </c>
      <c r="M557">
        <v>1</v>
      </c>
      <c r="N557">
        <v>1</v>
      </c>
      <c r="O557" s="14">
        <f t="shared" si="25"/>
        <v>1</v>
      </c>
      <c r="P557">
        <f t="shared" si="24"/>
        <v>0.6572699142250924</v>
      </c>
      <c r="Q557">
        <f t="shared" si="26"/>
        <v>-0.41966051651569186</v>
      </c>
    </row>
    <row r="558" spans="1:17" x14ac:dyDescent="0.4">
      <c r="A558">
        <v>556</v>
      </c>
      <c r="B558">
        <v>0</v>
      </c>
      <c r="C558">
        <v>0</v>
      </c>
      <c r="D558">
        <v>26.55</v>
      </c>
      <c r="E558">
        <v>62</v>
      </c>
      <c r="F558">
        <v>0</v>
      </c>
      <c r="G558">
        <v>1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1</v>
      </c>
      <c r="N558">
        <v>0</v>
      </c>
      <c r="O558" s="14">
        <f t="shared" si="25"/>
        <v>0</v>
      </c>
      <c r="P558">
        <f t="shared" si="24"/>
        <v>0.19530446515163147</v>
      </c>
      <c r="Q558">
        <f t="shared" si="26"/>
        <v>-0.2172912906855485</v>
      </c>
    </row>
    <row r="559" spans="1:17" x14ac:dyDescent="0.4">
      <c r="A559">
        <v>557</v>
      </c>
      <c r="B559">
        <v>1</v>
      </c>
      <c r="C559">
        <v>0</v>
      </c>
      <c r="D559">
        <v>39.6</v>
      </c>
      <c r="E559">
        <v>48</v>
      </c>
      <c r="F559">
        <v>1</v>
      </c>
      <c r="G559">
        <v>1</v>
      </c>
      <c r="H559">
        <v>0</v>
      </c>
      <c r="I559">
        <v>0</v>
      </c>
      <c r="J559">
        <v>0</v>
      </c>
      <c r="K559">
        <v>0</v>
      </c>
      <c r="L559">
        <v>1</v>
      </c>
      <c r="M559">
        <v>1</v>
      </c>
      <c r="N559">
        <v>1</v>
      </c>
      <c r="O559" s="14">
        <f t="shared" si="25"/>
        <v>1</v>
      </c>
      <c r="P559">
        <f t="shared" si="24"/>
        <v>0.87937095856726155</v>
      </c>
      <c r="Q559">
        <f t="shared" si="26"/>
        <v>-0.12854844692531045</v>
      </c>
    </row>
    <row r="560" spans="1:17" x14ac:dyDescent="0.4">
      <c r="A560">
        <v>558</v>
      </c>
      <c r="B560">
        <v>0</v>
      </c>
      <c r="C560">
        <v>0</v>
      </c>
      <c r="D560">
        <v>227.52500000000001</v>
      </c>
      <c r="E560">
        <v>28</v>
      </c>
      <c r="F560">
        <v>0</v>
      </c>
      <c r="G560">
        <v>1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1</v>
      </c>
      <c r="N560">
        <v>0</v>
      </c>
      <c r="O560" s="14">
        <f t="shared" si="25"/>
        <v>1</v>
      </c>
      <c r="P560">
        <f t="shared" si="24"/>
        <v>0.68971917394158611</v>
      </c>
      <c r="Q560">
        <f t="shared" si="26"/>
        <v>-1.1702775010631072</v>
      </c>
    </row>
    <row r="561" spans="1:17" x14ac:dyDescent="0.4">
      <c r="A561">
        <v>559</v>
      </c>
      <c r="B561">
        <v>1</v>
      </c>
      <c r="C561">
        <v>1</v>
      </c>
      <c r="D561">
        <v>79.650000000000006</v>
      </c>
      <c r="E561">
        <v>39</v>
      </c>
      <c r="F561">
        <v>1</v>
      </c>
      <c r="G561">
        <v>1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1</v>
      </c>
      <c r="N561">
        <v>1</v>
      </c>
      <c r="O561" s="14">
        <f t="shared" si="25"/>
        <v>1</v>
      </c>
      <c r="P561">
        <f t="shared" si="24"/>
        <v>0.86974203941297323</v>
      </c>
      <c r="Q561">
        <f t="shared" si="26"/>
        <v>-0.13955861772209777</v>
      </c>
    </row>
    <row r="562" spans="1:17" x14ac:dyDescent="0.4">
      <c r="A562">
        <v>560</v>
      </c>
      <c r="B562">
        <v>1</v>
      </c>
      <c r="C562">
        <v>0</v>
      </c>
      <c r="D562">
        <v>17.399999999999999</v>
      </c>
      <c r="E562">
        <v>36</v>
      </c>
      <c r="F562">
        <v>1</v>
      </c>
      <c r="G562">
        <v>0</v>
      </c>
      <c r="H562">
        <v>0</v>
      </c>
      <c r="I562">
        <v>1</v>
      </c>
      <c r="J562">
        <v>1</v>
      </c>
      <c r="K562">
        <v>0</v>
      </c>
      <c r="L562">
        <v>0</v>
      </c>
      <c r="M562">
        <v>1</v>
      </c>
      <c r="N562">
        <v>1</v>
      </c>
      <c r="O562" s="14">
        <f t="shared" si="25"/>
        <v>0</v>
      </c>
      <c r="P562">
        <f t="shared" si="24"/>
        <v>0.45323086274385865</v>
      </c>
      <c r="Q562">
        <f t="shared" si="26"/>
        <v>-0.79135365253562051</v>
      </c>
    </row>
    <row r="563" spans="1:17" x14ac:dyDescent="0.4">
      <c r="A563">
        <v>561</v>
      </c>
      <c r="B563">
        <v>0</v>
      </c>
      <c r="C563">
        <v>0</v>
      </c>
      <c r="D563">
        <v>7.75</v>
      </c>
      <c r="E563">
        <v>28</v>
      </c>
      <c r="F563">
        <v>0</v>
      </c>
      <c r="G563">
        <v>0</v>
      </c>
      <c r="H563">
        <v>0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 s="14">
        <f t="shared" si="25"/>
        <v>0</v>
      </c>
      <c r="P563">
        <f t="shared" si="24"/>
        <v>0.12770204164315915</v>
      </c>
      <c r="Q563">
        <f t="shared" si="26"/>
        <v>-0.13662421807437358</v>
      </c>
    </row>
    <row r="564" spans="1:17" x14ac:dyDescent="0.4">
      <c r="A564">
        <v>562</v>
      </c>
      <c r="B564">
        <v>0</v>
      </c>
      <c r="C564">
        <v>0</v>
      </c>
      <c r="D564">
        <v>7.8958000000000004</v>
      </c>
      <c r="E564">
        <v>40</v>
      </c>
      <c r="F564">
        <v>0</v>
      </c>
      <c r="G564">
        <v>0</v>
      </c>
      <c r="H564">
        <v>0</v>
      </c>
      <c r="I564">
        <v>1</v>
      </c>
      <c r="J564">
        <v>1</v>
      </c>
      <c r="K564">
        <v>0</v>
      </c>
      <c r="L564">
        <v>0</v>
      </c>
      <c r="M564">
        <v>1</v>
      </c>
      <c r="N564">
        <v>0</v>
      </c>
      <c r="O564" s="14">
        <f t="shared" si="25"/>
        <v>0</v>
      </c>
      <c r="P564">
        <f t="shared" si="24"/>
        <v>5.9433137831039276E-2</v>
      </c>
      <c r="Q564">
        <f t="shared" si="26"/>
        <v>-6.1272540615974272E-2</v>
      </c>
    </row>
    <row r="565" spans="1:17" x14ac:dyDescent="0.4">
      <c r="A565">
        <v>563</v>
      </c>
      <c r="B565">
        <v>0</v>
      </c>
      <c r="C565">
        <v>0</v>
      </c>
      <c r="D565">
        <v>13.5</v>
      </c>
      <c r="E565">
        <v>28</v>
      </c>
      <c r="F565">
        <v>0</v>
      </c>
      <c r="G565">
        <v>0</v>
      </c>
      <c r="H565">
        <v>1</v>
      </c>
      <c r="I565">
        <v>0</v>
      </c>
      <c r="J565">
        <v>1</v>
      </c>
      <c r="K565">
        <v>0</v>
      </c>
      <c r="L565">
        <v>0</v>
      </c>
      <c r="M565">
        <v>1</v>
      </c>
      <c r="N565">
        <v>0</v>
      </c>
      <c r="O565" s="14">
        <f t="shared" si="25"/>
        <v>0</v>
      </c>
      <c r="P565">
        <f t="shared" si="24"/>
        <v>0.25797649369057563</v>
      </c>
      <c r="Q565">
        <f t="shared" si="26"/>
        <v>-0.2983743566542495</v>
      </c>
    </row>
    <row r="566" spans="1:17" x14ac:dyDescent="0.4">
      <c r="A566">
        <v>564</v>
      </c>
      <c r="B566">
        <v>0</v>
      </c>
      <c r="C566">
        <v>0</v>
      </c>
      <c r="D566">
        <v>8.0500000000000007</v>
      </c>
      <c r="E566">
        <v>28</v>
      </c>
      <c r="F566">
        <v>0</v>
      </c>
      <c r="G566">
        <v>0</v>
      </c>
      <c r="H566">
        <v>0</v>
      </c>
      <c r="I566">
        <v>1</v>
      </c>
      <c r="J566">
        <v>1</v>
      </c>
      <c r="K566">
        <v>0</v>
      </c>
      <c r="L566">
        <v>0</v>
      </c>
      <c r="M566">
        <v>1</v>
      </c>
      <c r="N566">
        <v>0</v>
      </c>
      <c r="O566" s="14">
        <f t="shared" si="25"/>
        <v>0</v>
      </c>
      <c r="P566">
        <f t="shared" si="24"/>
        <v>9.1208772698105012E-2</v>
      </c>
      <c r="Q566">
        <f t="shared" si="26"/>
        <v>-9.5639884118734919E-2</v>
      </c>
    </row>
    <row r="567" spans="1:17" x14ac:dyDescent="0.4">
      <c r="A567">
        <v>565</v>
      </c>
      <c r="B567">
        <v>0</v>
      </c>
      <c r="C567">
        <v>0</v>
      </c>
      <c r="D567">
        <v>8.0500000000000007</v>
      </c>
      <c r="E567">
        <v>28</v>
      </c>
      <c r="F567">
        <v>1</v>
      </c>
      <c r="G567">
        <v>0</v>
      </c>
      <c r="H567">
        <v>0</v>
      </c>
      <c r="I567">
        <v>1</v>
      </c>
      <c r="J567">
        <v>1</v>
      </c>
      <c r="K567">
        <v>0</v>
      </c>
      <c r="L567">
        <v>0</v>
      </c>
      <c r="M567">
        <v>1</v>
      </c>
      <c r="N567">
        <v>0</v>
      </c>
      <c r="O567" s="14">
        <f t="shared" si="25"/>
        <v>1</v>
      </c>
      <c r="P567">
        <f t="shared" si="24"/>
        <v>0.60363680202197822</v>
      </c>
      <c r="Q567">
        <f t="shared" si="26"/>
        <v>-0.92542432145679165</v>
      </c>
    </row>
    <row r="568" spans="1:17" x14ac:dyDescent="0.4">
      <c r="A568">
        <v>566</v>
      </c>
      <c r="B568">
        <v>2</v>
      </c>
      <c r="C568">
        <v>0</v>
      </c>
      <c r="D568">
        <v>24.15</v>
      </c>
      <c r="E568">
        <v>24</v>
      </c>
      <c r="F568">
        <v>0</v>
      </c>
      <c r="G568">
        <v>0</v>
      </c>
      <c r="H568">
        <v>0</v>
      </c>
      <c r="I568">
        <v>1</v>
      </c>
      <c r="J568">
        <v>1</v>
      </c>
      <c r="K568">
        <v>0</v>
      </c>
      <c r="L568">
        <v>0</v>
      </c>
      <c r="M568">
        <v>1</v>
      </c>
      <c r="N568">
        <v>0</v>
      </c>
      <c r="O568" s="14">
        <f t="shared" si="25"/>
        <v>0</v>
      </c>
      <c r="P568">
        <f t="shared" si="24"/>
        <v>6.0026332403564135E-2</v>
      </c>
      <c r="Q568">
        <f t="shared" si="26"/>
        <v>-6.1903417305745355E-2</v>
      </c>
    </row>
    <row r="569" spans="1:17" x14ac:dyDescent="0.4">
      <c r="A569">
        <v>567</v>
      </c>
      <c r="B569">
        <v>0</v>
      </c>
      <c r="C569">
        <v>0</v>
      </c>
      <c r="D569">
        <v>7.8958000000000004</v>
      </c>
      <c r="E569">
        <v>19</v>
      </c>
      <c r="F569">
        <v>0</v>
      </c>
      <c r="G569">
        <v>0</v>
      </c>
      <c r="H569">
        <v>0</v>
      </c>
      <c r="I569">
        <v>1</v>
      </c>
      <c r="J569">
        <v>1</v>
      </c>
      <c r="K569">
        <v>0</v>
      </c>
      <c r="L569">
        <v>0</v>
      </c>
      <c r="M569">
        <v>1</v>
      </c>
      <c r="N569">
        <v>0</v>
      </c>
      <c r="O569" s="14">
        <f t="shared" si="25"/>
        <v>0</v>
      </c>
      <c r="P569">
        <f t="shared" si="24"/>
        <v>0.12427061783070333</v>
      </c>
      <c r="Q569">
        <f t="shared" si="26"/>
        <v>-0.13269816023701078</v>
      </c>
    </row>
    <row r="570" spans="1:17" x14ac:dyDescent="0.4">
      <c r="A570">
        <v>568</v>
      </c>
      <c r="B570">
        <v>0</v>
      </c>
      <c r="C570">
        <v>4</v>
      </c>
      <c r="D570">
        <v>21.074999999999999</v>
      </c>
      <c r="E570">
        <v>29</v>
      </c>
      <c r="F570">
        <v>1</v>
      </c>
      <c r="G570">
        <v>0</v>
      </c>
      <c r="H570">
        <v>0</v>
      </c>
      <c r="I570">
        <v>1</v>
      </c>
      <c r="J570">
        <v>1</v>
      </c>
      <c r="K570">
        <v>0</v>
      </c>
      <c r="L570">
        <v>0</v>
      </c>
      <c r="M570">
        <v>1</v>
      </c>
      <c r="N570">
        <v>0</v>
      </c>
      <c r="O570" s="14">
        <f t="shared" si="25"/>
        <v>1</v>
      </c>
      <c r="P570">
        <f t="shared" si="24"/>
        <v>0.50978261102142863</v>
      </c>
      <c r="Q570">
        <f t="shared" si="26"/>
        <v>-0.71290633528478531</v>
      </c>
    </row>
    <row r="571" spans="1:17" x14ac:dyDescent="0.4">
      <c r="A571">
        <v>569</v>
      </c>
      <c r="B571">
        <v>0</v>
      </c>
      <c r="C571">
        <v>0</v>
      </c>
      <c r="D571">
        <v>7.2291999999999996</v>
      </c>
      <c r="E571">
        <v>28</v>
      </c>
      <c r="F571">
        <v>0</v>
      </c>
      <c r="G571">
        <v>0</v>
      </c>
      <c r="H571">
        <v>0</v>
      </c>
      <c r="I571">
        <v>1</v>
      </c>
      <c r="J571">
        <v>0</v>
      </c>
      <c r="K571">
        <v>0</v>
      </c>
      <c r="L571">
        <v>1</v>
      </c>
      <c r="M571">
        <v>1</v>
      </c>
      <c r="N571">
        <v>0</v>
      </c>
      <c r="O571" s="14">
        <f t="shared" si="25"/>
        <v>0</v>
      </c>
      <c r="P571">
        <f t="shared" si="24"/>
        <v>0.13399992402833119</v>
      </c>
      <c r="Q571">
        <f t="shared" si="26"/>
        <v>-0.14387028269260546</v>
      </c>
    </row>
    <row r="572" spans="1:17" x14ac:dyDescent="0.4">
      <c r="A572">
        <v>570</v>
      </c>
      <c r="B572">
        <v>0</v>
      </c>
      <c r="C572">
        <v>0</v>
      </c>
      <c r="D572">
        <v>7.8541999999999996</v>
      </c>
      <c r="E572">
        <v>32</v>
      </c>
      <c r="F572">
        <v>0</v>
      </c>
      <c r="G572">
        <v>0</v>
      </c>
      <c r="H572">
        <v>0</v>
      </c>
      <c r="I572">
        <v>1</v>
      </c>
      <c r="J572">
        <v>1</v>
      </c>
      <c r="K572">
        <v>0</v>
      </c>
      <c r="L572">
        <v>0</v>
      </c>
      <c r="M572">
        <v>1</v>
      </c>
      <c r="N572">
        <v>1</v>
      </c>
      <c r="O572" s="14">
        <f t="shared" si="25"/>
        <v>0</v>
      </c>
      <c r="P572">
        <f t="shared" si="24"/>
        <v>7.9181215175798625E-2</v>
      </c>
      <c r="Q572">
        <f t="shared" si="26"/>
        <v>-2.5360161904176399</v>
      </c>
    </row>
    <row r="573" spans="1:17" x14ac:dyDescent="0.4">
      <c r="A573">
        <v>571</v>
      </c>
      <c r="B573">
        <v>0</v>
      </c>
      <c r="C573">
        <v>0</v>
      </c>
      <c r="D573">
        <v>10.5</v>
      </c>
      <c r="E573">
        <v>62</v>
      </c>
      <c r="F573">
        <v>0</v>
      </c>
      <c r="G573">
        <v>0</v>
      </c>
      <c r="H573">
        <v>1</v>
      </c>
      <c r="I573">
        <v>0</v>
      </c>
      <c r="J573">
        <v>1</v>
      </c>
      <c r="K573">
        <v>0</v>
      </c>
      <c r="L573">
        <v>0</v>
      </c>
      <c r="M573">
        <v>1</v>
      </c>
      <c r="N573">
        <v>1</v>
      </c>
      <c r="O573" s="14">
        <f t="shared" si="25"/>
        <v>0</v>
      </c>
      <c r="P573">
        <f t="shared" si="24"/>
        <v>8.522409226036616E-2</v>
      </c>
      <c r="Q573">
        <f t="shared" si="26"/>
        <v>-2.4624711121106264</v>
      </c>
    </row>
    <row r="574" spans="1:17" x14ac:dyDescent="0.4">
      <c r="A574">
        <v>572</v>
      </c>
      <c r="B574">
        <v>2</v>
      </c>
      <c r="C574">
        <v>0</v>
      </c>
      <c r="D574">
        <v>51.479199999999999</v>
      </c>
      <c r="E574">
        <v>53</v>
      </c>
      <c r="F574">
        <v>1</v>
      </c>
      <c r="G574">
        <v>1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1</v>
      </c>
      <c r="N574">
        <v>1</v>
      </c>
      <c r="O574" s="14">
        <f t="shared" si="25"/>
        <v>1</v>
      </c>
      <c r="P574">
        <f t="shared" si="24"/>
        <v>0.74362072426738512</v>
      </c>
      <c r="Q574">
        <f t="shared" si="26"/>
        <v>-0.29622415334114727</v>
      </c>
    </row>
    <row r="575" spans="1:17" x14ac:dyDescent="0.4">
      <c r="A575">
        <v>573</v>
      </c>
      <c r="B575">
        <v>0</v>
      </c>
      <c r="C575">
        <v>0</v>
      </c>
      <c r="D575">
        <v>26.387499999999999</v>
      </c>
      <c r="E575">
        <v>36</v>
      </c>
      <c r="F575">
        <v>0</v>
      </c>
      <c r="G575">
        <v>1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1</v>
      </c>
      <c r="N575">
        <v>1</v>
      </c>
      <c r="O575" s="14">
        <f t="shared" si="25"/>
        <v>0</v>
      </c>
      <c r="P575">
        <f t="shared" si="24"/>
        <v>0.39780446537844694</v>
      </c>
      <c r="Q575">
        <f t="shared" si="26"/>
        <v>-0.92179468744063431</v>
      </c>
    </row>
    <row r="576" spans="1:17" x14ac:dyDescent="0.4">
      <c r="A576">
        <v>574</v>
      </c>
      <c r="B576">
        <v>0</v>
      </c>
      <c r="C576">
        <v>0</v>
      </c>
      <c r="D576">
        <v>7.75</v>
      </c>
      <c r="E576">
        <v>28</v>
      </c>
      <c r="F576">
        <v>1</v>
      </c>
      <c r="G576">
        <v>0</v>
      </c>
      <c r="H576">
        <v>0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1</v>
      </c>
      <c r="O576" s="14">
        <f t="shared" si="25"/>
        <v>1</v>
      </c>
      <c r="P576">
        <f t="shared" si="24"/>
        <v>0.68958390472100084</v>
      </c>
      <c r="Q576">
        <f t="shared" si="26"/>
        <v>-0.37166689992678675</v>
      </c>
    </row>
    <row r="577" spans="1:17" x14ac:dyDescent="0.4">
      <c r="A577">
        <v>575</v>
      </c>
      <c r="B577">
        <v>0</v>
      </c>
      <c r="C577">
        <v>0</v>
      </c>
      <c r="D577">
        <v>8.0500000000000007</v>
      </c>
      <c r="E577">
        <v>16</v>
      </c>
      <c r="F577">
        <v>0</v>
      </c>
      <c r="G577">
        <v>0</v>
      </c>
      <c r="H577">
        <v>0</v>
      </c>
      <c r="I577">
        <v>1</v>
      </c>
      <c r="J577">
        <v>1</v>
      </c>
      <c r="K577">
        <v>0</v>
      </c>
      <c r="L577">
        <v>0</v>
      </c>
      <c r="M577">
        <v>1</v>
      </c>
      <c r="N577">
        <v>0</v>
      </c>
      <c r="O577" s="14">
        <f t="shared" si="25"/>
        <v>0</v>
      </c>
      <c r="P577">
        <f t="shared" si="24"/>
        <v>0.13744697174758752</v>
      </c>
      <c r="Q577">
        <f t="shared" si="26"/>
        <v>-0.14785864993478223</v>
      </c>
    </row>
    <row r="578" spans="1:17" x14ac:dyDescent="0.4">
      <c r="A578">
        <v>576</v>
      </c>
      <c r="B578">
        <v>0</v>
      </c>
      <c r="C578">
        <v>0</v>
      </c>
      <c r="D578">
        <v>14.5</v>
      </c>
      <c r="E578">
        <v>19</v>
      </c>
      <c r="F578">
        <v>0</v>
      </c>
      <c r="G578">
        <v>0</v>
      </c>
      <c r="H578">
        <v>0</v>
      </c>
      <c r="I578">
        <v>1</v>
      </c>
      <c r="J578">
        <v>1</v>
      </c>
      <c r="K578">
        <v>0</v>
      </c>
      <c r="L578">
        <v>0</v>
      </c>
      <c r="M578">
        <v>1</v>
      </c>
      <c r="N578">
        <v>0</v>
      </c>
      <c r="O578" s="14">
        <f t="shared" si="25"/>
        <v>0</v>
      </c>
      <c r="P578">
        <f t="shared" si="24"/>
        <v>0.12596121115608902</v>
      </c>
      <c r="Q578">
        <f t="shared" si="26"/>
        <v>-0.13463052348312801</v>
      </c>
    </row>
    <row r="579" spans="1:17" x14ac:dyDescent="0.4">
      <c r="A579">
        <v>577</v>
      </c>
      <c r="B579">
        <v>0</v>
      </c>
      <c r="C579">
        <v>0</v>
      </c>
      <c r="D579">
        <v>13</v>
      </c>
      <c r="E579">
        <v>34</v>
      </c>
      <c r="F579">
        <v>1</v>
      </c>
      <c r="G579">
        <v>0</v>
      </c>
      <c r="H579">
        <v>1</v>
      </c>
      <c r="I579">
        <v>0</v>
      </c>
      <c r="J579">
        <v>1</v>
      </c>
      <c r="K579">
        <v>0</v>
      </c>
      <c r="L579">
        <v>0</v>
      </c>
      <c r="M579">
        <v>1</v>
      </c>
      <c r="N579">
        <v>1</v>
      </c>
      <c r="O579" s="14">
        <f t="shared" si="25"/>
        <v>1</v>
      </c>
      <c r="P579">
        <f t="shared" ref="P579:P642" si="27">1/(1+EXP(-SUMPRODUCT(B$1:M$1,B579:M579)))</f>
        <v>0.8070214726056093</v>
      </c>
      <c r="Q579">
        <f t="shared" si="26"/>
        <v>-0.21440500312861516</v>
      </c>
    </row>
    <row r="580" spans="1:17" x14ac:dyDescent="0.4">
      <c r="A580">
        <v>578</v>
      </c>
      <c r="B580">
        <v>1</v>
      </c>
      <c r="C580">
        <v>0</v>
      </c>
      <c r="D580">
        <v>55.9</v>
      </c>
      <c r="E580">
        <v>39</v>
      </c>
      <c r="F580">
        <v>1</v>
      </c>
      <c r="G580">
        <v>1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1</v>
      </c>
      <c r="N580">
        <v>1</v>
      </c>
      <c r="O580" s="14">
        <f t="shared" ref="O580:O643" si="28">IF(P580&gt;0.5,1,0)</f>
        <v>1</v>
      </c>
      <c r="P580">
        <f t="shared" si="27"/>
        <v>0.87396688028207981</v>
      </c>
      <c r="Q580">
        <f t="shared" ref="Q580:Q643" si="29">N580*LN(P580)+(1-N580)*LN(1-P580)</f>
        <v>-0.13471279845870937</v>
      </c>
    </row>
    <row r="581" spans="1:17" x14ac:dyDescent="0.4">
      <c r="A581">
        <v>579</v>
      </c>
      <c r="B581">
        <v>1</v>
      </c>
      <c r="C581">
        <v>0</v>
      </c>
      <c r="D581">
        <v>14.458299999999999</v>
      </c>
      <c r="E581">
        <v>28</v>
      </c>
      <c r="F581">
        <v>1</v>
      </c>
      <c r="G581">
        <v>0</v>
      </c>
      <c r="H581">
        <v>0</v>
      </c>
      <c r="I581">
        <v>1</v>
      </c>
      <c r="J581">
        <v>0</v>
      </c>
      <c r="K581">
        <v>0</v>
      </c>
      <c r="L581">
        <v>1</v>
      </c>
      <c r="M581">
        <v>1</v>
      </c>
      <c r="N581">
        <v>0</v>
      </c>
      <c r="O581" s="14">
        <f t="shared" si="28"/>
        <v>1</v>
      </c>
      <c r="P581">
        <f t="shared" si="27"/>
        <v>0.63379619483542149</v>
      </c>
      <c r="Q581">
        <f t="shared" si="29"/>
        <v>-1.0045652558492937</v>
      </c>
    </row>
    <row r="582" spans="1:17" x14ac:dyDescent="0.4">
      <c r="A582">
        <v>580</v>
      </c>
      <c r="B582">
        <v>0</v>
      </c>
      <c r="C582">
        <v>0</v>
      </c>
      <c r="D582">
        <v>7.9249999999999998</v>
      </c>
      <c r="E582">
        <v>32</v>
      </c>
      <c r="F582">
        <v>0</v>
      </c>
      <c r="G582">
        <v>0</v>
      </c>
      <c r="H582">
        <v>0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1</v>
      </c>
      <c r="O582" s="14">
        <f t="shared" si="28"/>
        <v>0</v>
      </c>
      <c r="P582">
        <f t="shared" si="27"/>
        <v>7.9193288351222899E-2</v>
      </c>
      <c r="Q582">
        <f t="shared" si="29"/>
        <v>-2.5358637267927659</v>
      </c>
    </row>
    <row r="583" spans="1:17" x14ac:dyDescent="0.4">
      <c r="A583">
        <v>581</v>
      </c>
      <c r="B583">
        <v>1</v>
      </c>
      <c r="C583">
        <v>1</v>
      </c>
      <c r="D583">
        <v>30</v>
      </c>
      <c r="E583">
        <v>25</v>
      </c>
      <c r="F583">
        <v>1</v>
      </c>
      <c r="G583">
        <v>0</v>
      </c>
      <c r="H583">
        <v>1</v>
      </c>
      <c r="I583">
        <v>0</v>
      </c>
      <c r="J583">
        <v>1</v>
      </c>
      <c r="K583">
        <v>0</v>
      </c>
      <c r="L583">
        <v>0</v>
      </c>
      <c r="M583">
        <v>1</v>
      </c>
      <c r="N583">
        <v>1</v>
      </c>
      <c r="O583" s="14">
        <f t="shared" si="28"/>
        <v>1</v>
      </c>
      <c r="P583">
        <f t="shared" si="27"/>
        <v>0.80249600124887099</v>
      </c>
      <c r="Q583">
        <f t="shared" si="29"/>
        <v>-0.22002840685783112</v>
      </c>
    </row>
    <row r="584" spans="1:17" x14ac:dyDescent="0.4">
      <c r="A584">
        <v>582</v>
      </c>
      <c r="B584">
        <v>1</v>
      </c>
      <c r="C584">
        <v>1</v>
      </c>
      <c r="D584">
        <v>110.88330000000001</v>
      </c>
      <c r="E584">
        <v>39</v>
      </c>
      <c r="F584">
        <v>1</v>
      </c>
      <c r="G584">
        <v>1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1</v>
      </c>
      <c r="N584">
        <v>1</v>
      </c>
      <c r="O584" s="14">
        <f t="shared" si="28"/>
        <v>1</v>
      </c>
      <c r="P584">
        <f t="shared" si="27"/>
        <v>0.91732625510093546</v>
      </c>
      <c r="Q584">
        <f t="shared" si="29"/>
        <v>-8.6292084723145646E-2</v>
      </c>
    </row>
    <row r="585" spans="1:17" x14ac:dyDescent="0.4">
      <c r="A585">
        <v>583</v>
      </c>
      <c r="B585">
        <v>0</v>
      </c>
      <c r="C585">
        <v>0</v>
      </c>
      <c r="D585">
        <v>26</v>
      </c>
      <c r="E585">
        <v>54</v>
      </c>
      <c r="F585">
        <v>0</v>
      </c>
      <c r="G585">
        <v>0</v>
      </c>
      <c r="H585">
        <v>1</v>
      </c>
      <c r="I585">
        <v>0</v>
      </c>
      <c r="J585">
        <v>1</v>
      </c>
      <c r="K585">
        <v>0</v>
      </c>
      <c r="L585">
        <v>0</v>
      </c>
      <c r="M585">
        <v>1</v>
      </c>
      <c r="N585">
        <v>0</v>
      </c>
      <c r="O585" s="14">
        <f t="shared" si="28"/>
        <v>0</v>
      </c>
      <c r="P585">
        <f t="shared" si="27"/>
        <v>0.11619750199640186</v>
      </c>
      <c r="Q585">
        <f t="shared" si="29"/>
        <v>-0.12352165985410134</v>
      </c>
    </row>
    <row r="586" spans="1:17" x14ac:dyDescent="0.4">
      <c r="A586">
        <v>584</v>
      </c>
      <c r="B586">
        <v>0</v>
      </c>
      <c r="C586">
        <v>0</v>
      </c>
      <c r="D586">
        <v>40.125</v>
      </c>
      <c r="E586">
        <v>36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0</v>
      </c>
      <c r="L586">
        <v>1</v>
      </c>
      <c r="M586">
        <v>1</v>
      </c>
      <c r="N586">
        <v>0</v>
      </c>
      <c r="O586" s="14">
        <f t="shared" si="28"/>
        <v>1</v>
      </c>
      <c r="P586">
        <f t="shared" si="27"/>
        <v>0.51308286962719518</v>
      </c>
      <c r="Q586">
        <f t="shared" si="29"/>
        <v>-0.71966133388453346</v>
      </c>
    </row>
    <row r="587" spans="1:17" x14ac:dyDescent="0.4">
      <c r="A587">
        <v>585</v>
      </c>
      <c r="B587">
        <v>0</v>
      </c>
      <c r="C587">
        <v>0</v>
      </c>
      <c r="D587">
        <v>8.7125000000000004</v>
      </c>
      <c r="E587">
        <v>28</v>
      </c>
      <c r="F587">
        <v>0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 s="14">
        <f t="shared" si="28"/>
        <v>0</v>
      </c>
      <c r="P587">
        <f t="shared" si="27"/>
        <v>0.13440297914595364</v>
      </c>
      <c r="Q587">
        <f t="shared" si="29"/>
        <v>-0.14433581260789638</v>
      </c>
    </row>
    <row r="588" spans="1:17" x14ac:dyDescent="0.4">
      <c r="A588">
        <v>586</v>
      </c>
      <c r="B588">
        <v>0</v>
      </c>
      <c r="C588">
        <v>2</v>
      </c>
      <c r="D588">
        <v>79.650000000000006</v>
      </c>
      <c r="E588">
        <v>18</v>
      </c>
      <c r="F588">
        <v>1</v>
      </c>
      <c r="G588">
        <v>1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1</v>
      </c>
      <c r="N588">
        <v>1</v>
      </c>
      <c r="O588" s="14">
        <f t="shared" si="28"/>
        <v>1</v>
      </c>
      <c r="P588">
        <f t="shared" si="27"/>
        <v>0.94961120522781206</v>
      </c>
      <c r="Q588">
        <f t="shared" si="29"/>
        <v>-5.1702635811255386E-2</v>
      </c>
    </row>
    <row r="589" spans="1:17" x14ac:dyDescent="0.4">
      <c r="A589">
        <v>587</v>
      </c>
      <c r="B589">
        <v>0</v>
      </c>
      <c r="C589">
        <v>0</v>
      </c>
      <c r="D589">
        <v>15</v>
      </c>
      <c r="E589">
        <v>47</v>
      </c>
      <c r="F589">
        <v>0</v>
      </c>
      <c r="G589">
        <v>0</v>
      </c>
      <c r="H589">
        <v>1</v>
      </c>
      <c r="I589">
        <v>0</v>
      </c>
      <c r="J589">
        <v>1</v>
      </c>
      <c r="K589">
        <v>0</v>
      </c>
      <c r="L589">
        <v>0</v>
      </c>
      <c r="M589">
        <v>1</v>
      </c>
      <c r="N589">
        <v>0</v>
      </c>
      <c r="O589" s="14">
        <f t="shared" si="28"/>
        <v>0</v>
      </c>
      <c r="P589">
        <f t="shared" si="27"/>
        <v>0.14368821203990872</v>
      </c>
      <c r="Q589">
        <f t="shared" si="29"/>
        <v>-0.15512073088791606</v>
      </c>
    </row>
    <row r="590" spans="1:17" x14ac:dyDescent="0.4">
      <c r="A590">
        <v>588</v>
      </c>
      <c r="B590">
        <v>1</v>
      </c>
      <c r="C590">
        <v>1</v>
      </c>
      <c r="D590">
        <v>79.2</v>
      </c>
      <c r="E590">
        <v>60</v>
      </c>
      <c r="F590">
        <v>0</v>
      </c>
      <c r="G590">
        <v>1</v>
      </c>
      <c r="H590">
        <v>0</v>
      </c>
      <c r="I590">
        <v>0</v>
      </c>
      <c r="J590">
        <v>0</v>
      </c>
      <c r="K590">
        <v>0</v>
      </c>
      <c r="L590">
        <v>1</v>
      </c>
      <c r="M590">
        <v>1</v>
      </c>
      <c r="N590">
        <v>1</v>
      </c>
      <c r="O590" s="14">
        <f t="shared" si="28"/>
        <v>0</v>
      </c>
      <c r="P590">
        <f t="shared" si="27"/>
        <v>0.23215623049498635</v>
      </c>
      <c r="Q590">
        <f t="shared" si="29"/>
        <v>-1.460344726646811</v>
      </c>
    </row>
    <row r="591" spans="1:17" x14ac:dyDescent="0.4">
      <c r="A591">
        <v>589</v>
      </c>
      <c r="B591">
        <v>0</v>
      </c>
      <c r="C591">
        <v>0</v>
      </c>
      <c r="D591">
        <v>8.0500000000000007</v>
      </c>
      <c r="E591">
        <v>22</v>
      </c>
      <c r="F591">
        <v>0</v>
      </c>
      <c r="G591">
        <v>0</v>
      </c>
      <c r="H591">
        <v>0</v>
      </c>
      <c r="I591">
        <v>1</v>
      </c>
      <c r="J591">
        <v>1</v>
      </c>
      <c r="K591">
        <v>0</v>
      </c>
      <c r="L591">
        <v>0</v>
      </c>
      <c r="M591">
        <v>1</v>
      </c>
      <c r="N591">
        <v>0</v>
      </c>
      <c r="O591" s="14">
        <f t="shared" si="28"/>
        <v>0</v>
      </c>
      <c r="P591">
        <f t="shared" si="27"/>
        <v>0.11226497494541311</v>
      </c>
      <c r="Q591">
        <f t="shared" si="29"/>
        <v>-0.11908197572747416</v>
      </c>
    </row>
    <row r="592" spans="1:17" x14ac:dyDescent="0.4">
      <c r="A592">
        <v>590</v>
      </c>
      <c r="B592">
        <v>0</v>
      </c>
      <c r="C592">
        <v>0</v>
      </c>
      <c r="D592">
        <v>8.0500000000000007</v>
      </c>
      <c r="E592">
        <v>28</v>
      </c>
      <c r="F592">
        <v>0</v>
      </c>
      <c r="G592">
        <v>0</v>
      </c>
      <c r="H592">
        <v>0</v>
      </c>
      <c r="I592">
        <v>1</v>
      </c>
      <c r="J592">
        <v>1</v>
      </c>
      <c r="K592">
        <v>0</v>
      </c>
      <c r="L592">
        <v>0</v>
      </c>
      <c r="M592">
        <v>1</v>
      </c>
      <c r="N592">
        <v>0</v>
      </c>
      <c r="O592" s="14">
        <f t="shared" si="28"/>
        <v>0</v>
      </c>
      <c r="P592">
        <f t="shared" si="27"/>
        <v>9.1208772698105012E-2</v>
      </c>
      <c r="Q592">
        <f t="shared" si="29"/>
        <v>-9.5639884118734919E-2</v>
      </c>
    </row>
    <row r="593" spans="1:17" x14ac:dyDescent="0.4">
      <c r="A593">
        <v>591</v>
      </c>
      <c r="B593">
        <v>0</v>
      </c>
      <c r="C593">
        <v>0</v>
      </c>
      <c r="D593">
        <v>7.125</v>
      </c>
      <c r="E593">
        <v>35</v>
      </c>
      <c r="F593">
        <v>0</v>
      </c>
      <c r="G593">
        <v>0</v>
      </c>
      <c r="H593">
        <v>0</v>
      </c>
      <c r="I593">
        <v>1</v>
      </c>
      <c r="J593">
        <v>1</v>
      </c>
      <c r="K593">
        <v>0</v>
      </c>
      <c r="L593">
        <v>0</v>
      </c>
      <c r="M593">
        <v>1</v>
      </c>
      <c r="N593">
        <v>0</v>
      </c>
      <c r="O593" s="14">
        <f t="shared" si="28"/>
        <v>0</v>
      </c>
      <c r="P593">
        <f t="shared" si="27"/>
        <v>7.1041096642562876E-2</v>
      </c>
      <c r="Q593">
        <f t="shared" si="29"/>
        <v>-7.3690778652255637E-2</v>
      </c>
    </row>
    <row r="594" spans="1:17" x14ac:dyDescent="0.4">
      <c r="A594">
        <v>592</v>
      </c>
      <c r="B594">
        <v>1</v>
      </c>
      <c r="C594">
        <v>0</v>
      </c>
      <c r="D594">
        <v>78.2667</v>
      </c>
      <c r="E594">
        <v>52</v>
      </c>
      <c r="F594">
        <v>1</v>
      </c>
      <c r="G594">
        <v>1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1</v>
      </c>
      <c r="N594">
        <v>1</v>
      </c>
      <c r="O594" s="14">
        <f t="shared" si="28"/>
        <v>1</v>
      </c>
      <c r="P594">
        <f t="shared" si="27"/>
        <v>0.87245167447629746</v>
      </c>
      <c r="Q594">
        <f t="shared" si="29"/>
        <v>-0.13644801385921099</v>
      </c>
    </row>
    <row r="595" spans="1:17" x14ac:dyDescent="0.4">
      <c r="A595">
        <v>593</v>
      </c>
      <c r="B595">
        <v>0</v>
      </c>
      <c r="C595">
        <v>0</v>
      </c>
      <c r="D595">
        <v>7.25</v>
      </c>
      <c r="E595">
        <v>47</v>
      </c>
      <c r="F595">
        <v>0</v>
      </c>
      <c r="G595">
        <v>0</v>
      </c>
      <c r="H595">
        <v>0</v>
      </c>
      <c r="I595">
        <v>1</v>
      </c>
      <c r="J595">
        <v>1</v>
      </c>
      <c r="K595">
        <v>0</v>
      </c>
      <c r="L595">
        <v>0</v>
      </c>
      <c r="M595">
        <v>1</v>
      </c>
      <c r="N595">
        <v>0</v>
      </c>
      <c r="O595" s="14">
        <f t="shared" si="28"/>
        <v>0</v>
      </c>
      <c r="P595">
        <f t="shared" si="27"/>
        <v>4.5965027229835281E-2</v>
      </c>
      <c r="Q595">
        <f t="shared" si="29"/>
        <v>-4.7054949117555533E-2</v>
      </c>
    </row>
    <row r="596" spans="1:17" x14ac:dyDescent="0.4">
      <c r="A596">
        <v>594</v>
      </c>
      <c r="B596">
        <v>0</v>
      </c>
      <c r="C596">
        <v>2</v>
      </c>
      <c r="D596">
        <v>7.75</v>
      </c>
      <c r="E596">
        <v>28</v>
      </c>
      <c r="F596">
        <v>1</v>
      </c>
      <c r="G596">
        <v>0</v>
      </c>
      <c r="H596">
        <v>0</v>
      </c>
      <c r="I596">
        <v>1</v>
      </c>
      <c r="J596">
        <v>0</v>
      </c>
      <c r="K596">
        <v>1</v>
      </c>
      <c r="L596">
        <v>0</v>
      </c>
      <c r="M596">
        <v>1</v>
      </c>
      <c r="N596">
        <v>0</v>
      </c>
      <c r="O596" s="14">
        <f t="shared" si="28"/>
        <v>1</v>
      </c>
      <c r="P596">
        <f t="shared" si="27"/>
        <v>0.64827240777342887</v>
      </c>
      <c r="Q596">
        <f t="shared" si="29"/>
        <v>-1.0448982887081451</v>
      </c>
    </row>
    <row r="597" spans="1:17" x14ac:dyDescent="0.4">
      <c r="A597">
        <v>595</v>
      </c>
      <c r="B597">
        <v>1</v>
      </c>
      <c r="C597">
        <v>0</v>
      </c>
      <c r="D597">
        <v>26</v>
      </c>
      <c r="E597">
        <v>37</v>
      </c>
      <c r="F597">
        <v>0</v>
      </c>
      <c r="G597">
        <v>0</v>
      </c>
      <c r="H597">
        <v>1</v>
      </c>
      <c r="I597">
        <v>0</v>
      </c>
      <c r="J597">
        <v>1</v>
      </c>
      <c r="K597">
        <v>0</v>
      </c>
      <c r="L597">
        <v>0</v>
      </c>
      <c r="M597">
        <v>1</v>
      </c>
      <c r="N597">
        <v>0</v>
      </c>
      <c r="O597" s="14">
        <f t="shared" si="28"/>
        <v>0</v>
      </c>
      <c r="P597">
        <f t="shared" si="27"/>
        <v>0.15499652718766913</v>
      </c>
      <c r="Q597">
        <f t="shared" si="29"/>
        <v>-0.16841454179633056</v>
      </c>
    </row>
    <row r="598" spans="1:17" x14ac:dyDescent="0.4">
      <c r="A598">
        <v>596</v>
      </c>
      <c r="B598">
        <v>1</v>
      </c>
      <c r="C598">
        <v>1</v>
      </c>
      <c r="D598">
        <v>24.15</v>
      </c>
      <c r="E598">
        <v>36</v>
      </c>
      <c r="F598">
        <v>0</v>
      </c>
      <c r="G598">
        <v>0</v>
      </c>
      <c r="H598">
        <v>0</v>
      </c>
      <c r="I598">
        <v>1</v>
      </c>
      <c r="J598">
        <v>1</v>
      </c>
      <c r="K598">
        <v>0</v>
      </c>
      <c r="L598">
        <v>0</v>
      </c>
      <c r="M598">
        <v>1</v>
      </c>
      <c r="N598">
        <v>0</v>
      </c>
      <c r="O598" s="14">
        <f t="shared" si="28"/>
        <v>0</v>
      </c>
      <c r="P598">
        <f t="shared" si="27"/>
        <v>4.8117040680426174E-2</v>
      </c>
      <c r="Q598">
        <f t="shared" si="29"/>
        <v>-4.9313193639949522E-2</v>
      </c>
    </row>
    <row r="599" spans="1:17" x14ac:dyDescent="0.4">
      <c r="A599">
        <v>597</v>
      </c>
      <c r="B599">
        <v>0</v>
      </c>
      <c r="C599">
        <v>0</v>
      </c>
      <c r="D599">
        <v>33</v>
      </c>
      <c r="E599">
        <v>28</v>
      </c>
      <c r="F599">
        <v>1</v>
      </c>
      <c r="G599">
        <v>0</v>
      </c>
      <c r="H599">
        <v>1</v>
      </c>
      <c r="I599">
        <v>0</v>
      </c>
      <c r="J599">
        <v>1</v>
      </c>
      <c r="K599">
        <v>0</v>
      </c>
      <c r="L599">
        <v>0</v>
      </c>
      <c r="M599">
        <v>1</v>
      </c>
      <c r="N599">
        <v>1</v>
      </c>
      <c r="O599" s="14">
        <f t="shared" si="28"/>
        <v>1</v>
      </c>
      <c r="P599">
        <f t="shared" si="27"/>
        <v>0.84666718948435282</v>
      </c>
      <c r="Q599">
        <f t="shared" si="29"/>
        <v>-0.166447590136651</v>
      </c>
    </row>
    <row r="600" spans="1:17" x14ac:dyDescent="0.4">
      <c r="A600">
        <v>598</v>
      </c>
      <c r="B600">
        <v>0</v>
      </c>
      <c r="C600">
        <v>0</v>
      </c>
      <c r="D600">
        <v>0</v>
      </c>
      <c r="E600">
        <v>49</v>
      </c>
      <c r="F600">
        <v>0</v>
      </c>
      <c r="G600">
        <v>0</v>
      </c>
      <c r="H600">
        <v>0</v>
      </c>
      <c r="I600">
        <v>1</v>
      </c>
      <c r="J600">
        <v>1</v>
      </c>
      <c r="K600">
        <v>0</v>
      </c>
      <c r="L600">
        <v>0</v>
      </c>
      <c r="M600">
        <v>1</v>
      </c>
      <c r="N600">
        <v>0</v>
      </c>
      <c r="O600" s="14">
        <f t="shared" si="28"/>
        <v>0</v>
      </c>
      <c r="P600">
        <f t="shared" si="27"/>
        <v>4.2014189870110928E-2</v>
      </c>
      <c r="Q600">
        <f t="shared" si="29"/>
        <v>-4.2922313093950816E-2</v>
      </c>
    </row>
    <row r="601" spans="1:17" x14ac:dyDescent="0.4">
      <c r="A601">
        <v>599</v>
      </c>
      <c r="B601">
        <v>0</v>
      </c>
      <c r="C601">
        <v>0</v>
      </c>
      <c r="D601">
        <v>7.2249999999999996</v>
      </c>
      <c r="E601">
        <v>28</v>
      </c>
      <c r="F601">
        <v>0</v>
      </c>
      <c r="G601">
        <v>0</v>
      </c>
      <c r="H601">
        <v>0</v>
      </c>
      <c r="I601">
        <v>1</v>
      </c>
      <c r="J601">
        <v>0</v>
      </c>
      <c r="K601">
        <v>0</v>
      </c>
      <c r="L601">
        <v>1</v>
      </c>
      <c r="M601">
        <v>1</v>
      </c>
      <c r="N601">
        <v>0</v>
      </c>
      <c r="O601" s="14">
        <f t="shared" si="28"/>
        <v>0</v>
      </c>
      <c r="P601">
        <f t="shared" si="27"/>
        <v>0.13399878421988354</v>
      </c>
      <c r="Q601">
        <f t="shared" si="29"/>
        <v>-0.14386896651755057</v>
      </c>
    </row>
    <row r="602" spans="1:17" x14ac:dyDescent="0.4">
      <c r="A602">
        <v>600</v>
      </c>
      <c r="B602">
        <v>1</v>
      </c>
      <c r="C602">
        <v>0</v>
      </c>
      <c r="D602">
        <v>56.929200000000002</v>
      </c>
      <c r="E602">
        <v>49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1</v>
      </c>
      <c r="M602">
        <v>1</v>
      </c>
      <c r="N602">
        <v>1</v>
      </c>
      <c r="O602" s="14">
        <f t="shared" si="28"/>
        <v>0</v>
      </c>
      <c r="P602">
        <f t="shared" si="27"/>
        <v>0.32494940104203407</v>
      </c>
      <c r="Q602">
        <f t="shared" si="29"/>
        <v>-1.1240857978746395</v>
      </c>
    </row>
    <row r="603" spans="1:17" x14ac:dyDescent="0.4">
      <c r="A603">
        <v>601</v>
      </c>
      <c r="B603">
        <v>2</v>
      </c>
      <c r="C603">
        <v>1</v>
      </c>
      <c r="D603">
        <v>27</v>
      </c>
      <c r="E603">
        <v>24</v>
      </c>
      <c r="F603">
        <v>1</v>
      </c>
      <c r="G603">
        <v>0</v>
      </c>
      <c r="H603">
        <v>1</v>
      </c>
      <c r="I603">
        <v>0</v>
      </c>
      <c r="J603">
        <v>1</v>
      </c>
      <c r="K603">
        <v>0</v>
      </c>
      <c r="L603">
        <v>0</v>
      </c>
      <c r="M603">
        <v>1</v>
      </c>
      <c r="N603">
        <v>1</v>
      </c>
      <c r="O603" s="14">
        <f t="shared" si="28"/>
        <v>1</v>
      </c>
      <c r="P603">
        <f t="shared" si="27"/>
        <v>0.75241770123760743</v>
      </c>
      <c r="Q603">
        <f t="shared" si="29"/>
        <v>-0.28446365546622959</v>
      </c>
    </row>
    <row r="604" spans="1:17" x14ac:dyDescent="0.4">
      <c r="A604">
        <v>602</v>
      </c>
      <c r="B604">
        <v>0</v>
      </c>
      <c r="C604">
        <v>0</v>
      </c>
      <c r="D604">
        <v>7.8958000000000004</v>
      </c>
      <c r="E604">
        <v>28</v>
      </c>
      <c r="F604">
        <v>0</v>
      </c>
      <c r="G604">
        <v>0</v>
      </c>
      <c r="H604">
        <v>0</v>
      </c>
      <c r="I604">
        <v>1</v>
      </c>
      <c r="J604">
        <v>1</v>
      </c>
      <c r="K604">
        <v>0</v>
      </c>
      <c r="L604">
        <v>0</v>
      </c>
      <c r="M604">
        <v>1</v>
      </c>
      <c r="N604">
        <v>0</v>
      </c>
      <c r="O604" s="14">
        <f t="shared" si="28"/>
        <v>0</v>
      </c>
      <c r="P604">
        <f t="shared" si="27"/>
        <v>9.117888566880443E-2</v>
      </c>
      <c r="Q604">
        <f t="shared" si="29"/>
        <v>-9.5606998086197895E-2</v>
      </c>
    </row>
    <row r="605" spans="1:17" x14ac:dyDescent="0.4">
      <c r="A605">
        <v>603</v>
      </c>
      <c r="B605">
        <v>0</v>
      </c>
      <c r="C605">
        <v>0</v>
      </c>
      <c r="D605">
        <v>42.4</v>
      </c>
      <c r="E605">
        <v>28</v>
      </c>
      <c r="F605">
        <v>0</v>
      </c>
      <c r="G605">
        <v>1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1</v>
      </c>
      <c r="N605">
        <v>0</v>
      </c>
      <c r="O605" s="14">
        <f t="shared" si="28"/>
        <v>0</v>
      </c>
      <c r="P605">
        <f t="shared" si="27"/>
        <v>0.48276423821233666</v>
      </c>
      <c r="Q605">
        <f t="shared" si="29"/>
        <v>-0.65925648948709104</v>
      </c>
    </row>
    <row r="606" spans="1:17" x14ac:dyDescent="0.4">
      <c r="A606">
        <v>604</v>
      </c>
      <c r="B606">
        <v>0</v>
      </c>
      <c r="C606">
        <v>0</v>
      </c>
      <c r="D606">
        <v>8.0500000000000007</v>
      </c>
      <c r="E606">
        <v>44</v>
      </c>
      <c r="F606">
        <v>0</v>
      </c>
      <c r="G606">
        <v>0</v>
      </c>
      <c r="H606">
        <v>0</v>
      </c>
      <c r="I606">
        <v>1</v>
      </c>
      <c r="J606">
        <v>1</v>
      </c>
      <c r="K606">
        <v>0</v>
      </c>
      <c r="L606">
        <v>0</v>
      </c>
      <c r="M606">
        <v>1</v>
      </c>
      <c r="N606">
        <v>0</v>
      </c>
      <c r="O606" s="14">
        <f t="shared" si="28"/>
        <v>0</v>
      </c>
      <c r="P606">
        <f t="shared" si="27"/>
        <v>5.1398874261905036E-2</v>
      </c>
      <c r="Q606">
        <f t="shared" si="29"/>
        <v>-5.2766878803016892E-2</v>
      </c>
    </row>
    <row r="607" spans="1:17" x14ac:dyDescent="0.4">
      <c r="A607">
        <v>605</v>
      </c>
      <c r="B607">
        <v>0</v>
      </c>
      <c r="C607">
        <v>0</v>
      </c>
      <c r="D607">
        <v>26.55</v>
      </c>
      <c r="E607">
        <v>35</v>
      </c>
      <c r="F607">
        <v>0</v>
      </c>
      <c r="G607">
        <v>1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1</v>
      </c>
      <c r="N607">
        <v>1</v>
      </c>
      <c r="O607" s="14">
        <f t="shared" si="28"/>
        <v>1</v>
      </c>
      <c r="P607">
        <f t="shared" si="27"/>
        <v>0.51477619672834529</v>
      </c>
      <c r="Q607">
        <f t="shared" si="29"/>
        <v>-0.66402304223059738</v>
      </c>
    </row>
    <row r="608" spans="1:17" x14ac:dyDescent="0.4">
      <c r="A608">
        <v>606</v>
      </c>
      <c r="B608">
        <v>1</v>
      </c>
      <c r="C608">
        <v>0</v>
      </c>
      <c r="D608">
        <v>15.55</v>
      </c>
      <c r="E608">
        <v>36</v>
      </c>
      <c r="F608">
        <v>0</v>
      </c>
      <c r="G608">
        <v>0</v>
      </c>
      <c r="H608">
        <v>0</v>
      </c>
      <c r="I608">
        <v>1</v>
      </c>
      <c r="J608">
        <v>1</v>
      </c>
      <c r="K608">
        <v>0</v>
      </c>
      <c r="L608">
        <v>0</v>
      </c>
      <c r="M608">
        <v>1</v>
      </c>
      <c r="N608">
        <v>0</v>
      </c>
      <c r="O608" s="14">
        <f t="shared" si="28"/>
        <v>0</v>
      </c>
      <c r="P608">
        <f t="shared" si="27"/>
        <v>5.1585180403871896E-2</v>
      </c>
      <c r="Q608">
        <f t="shared" si="29"/>
        <v>-5.2963299020805918E-2</v>
      </c>
    </row>
    <row r="609" spans="1:17" x14ac:dyDescent="0.4">
      <c r="A609">
        <v>607</v>
      </c>
      <c r="B609">
        <v>0</v>
      </c>
      <c r="C609">
        <v>0</v>
      </c>
      <c r="D609">
        <v>7.8958000000000004</v>
      </c>
      <c r="E609">
        <v>30</v>
      </c>
      <c r="F609">
        <v>0</v>
      </c>
      <c r="G609">
        <v>0</v>
      </c>
      <c r="H609">
        <v>0</v>
      </c>
      <c r="I609">
        <v>1</v>
      </c>
      <c r="J609">
        <v>1</v>
      </c>
      <c r="K609">
        <v>0</v>
      </c>
      <c r="L609">
        <v>0</v>
      </c>
      <c r="M609">
        <v>1</v>
      </c>
      <c r="N609">
        <v>0</v>
      </c>
      <c r="O609" s="14">
        <f t="shared" si="28"/>
        <v>0</v>
      </c>
      <c r="P609">
        <f t="shared" si="27"/>
        <v>8.4991982052379789E-2</v>
      </c>
      <c r="Q609">
        <f t="shared" si="29"/>
        <v>-8.8822450960724317E-2</v>
      </c>
    </row>
    <row r="610" spans="1:17" x14ac:dyDescent="0.4">
      <c r="A610">
        <v>608</v>
      </c>
      <c r="B610">
        <v>0</v>
      </c>
      <c r="C610">
        <v>0</v>
      </c>
      <c r="D610">
        <v>30.5</v>
      </c>
      <c r="E610">
        <v>27</v>
      </c>
      <c r="F610">
        <v>0</v>
      </c>
      <c r="G610">
        <v>1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1</v>
      </c>
      <c r="N610">
        <v>1</v>
      </c>
      <c r="O610" s="14">
        <f t="shared" si="28"/>
        <v>0</v>
      </c>
      <c r="P610">
        <f t="shared" si="27"/>
        <v>0.4854354733986983</v>
      </c>
      <c r="Q610">
        <f t="shared" si="29"/>
        <v>-0.72270890760444839</v>
      </c>
    </row>
    <row r="611" spans="1:17" x14ac:dyDescent="0.4">
      <c r="A611">
        <v>609</v>
      </c>
      <c r="B611">
        <v>1</v>
      </c>
      <c r="C611">
        <v>2</v>
      </c>
      <c r="D611">
        <v>41.5792</v>
      </c>
      <c r="E611">
        <v>22</v>
      </c>
      <c r="F611">
        <v>1</v>
      </c>
      <c r="G611">
        <v>0</v>
      </c>
      <c r="H611">
        <v>1</v>
      </c>
      <c r="I611">
        <v>0</v>
      </c>
      <c r="J611">
        <v>0</v>
      </c>
      <c r="K611">
        <v>0</v>
      </c>
      <c r="L611">
        <v>1</v>
      </c>
      <c r="M611">
        <v>1</v>
      </c>
      <c r="N611">
        <v>1</v>
      </c>
      <c r="O611" s="14">
        <f t="shared" si="28"/>
        <v>1</v>
      </c>
      <c r="P611">
        <f t="shared" si="27"/>
        <v>0.86831041035682033</v>
      </c>
      <c r="Q611">
        <f t="shared" si="29"/>
        <v>-0.14120601263255464</v>
      </c>
    </row>
    <row r="612" spans="1:17" x14ac:dyDescent="0.4">
      <c r="A612">
        <v>610</v>
      </c>
      <c r="B612">
        <v>0</v>
      </c>
      <c r="C612">
        <v>0</v>
      </c>
      <c r="D612">
        <v>153.46250000000001</v>
      </c>
      <c r="E612">
        <v>40</v>
      </c>
      <c r="F612">
        <v>1</v>
      </c>
      <c r="G612">
        <v>1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1</v>
      </c>
      <c r="N612">
        <v>1</v>
      </c>
      <c r="O612" s="14">
        <f t="shared" si="28"/>
        <v>1</v>
      </c>
      <c r="P612">
        <f t="shared" si="27"/>
        <v>0.92041975884598715</v>
      </c>
      <c r="Q612">
        <f t="shared" si="29"/>
        <v>-8.2925453378616412E-2</v>
      </c>
    </row>
    <row r="613" spans="1:17" x14ac:dyDescent="0.4">
      <c r="A613">
        <v>611</v>
      </c>
      <c r="B613">
        <v>1</v>
      </c>
      <c r="C613">
        <v>5</v>
      </c>
      <c r="D613">
        <v>31.274999999999999</v>
      </c>
      <c r="E613">
        <v>39</v>
      </c>
      <c r="F613">
        <v>1</v>
      </c>
      <c r="G613">
        <v>0</v>
      </c>
      <c r="H613">
        <v>0</v>
      </c>
      <c r="I613">
        <v>1</v>
      </c>
      <c r="J613">
        <v>1</v>
      </c>
      <c r="K613">
        <v>0</v>
      </c>
      <c r="L613">
        <v>0</v>
      </c>
      <c r="M613">
        <v>1</v>
      </c>
      <c r="N613">
        <v>0</v>
      </c>
      <c r="O613" s="14">
        <f t="shared" si="28"/>
        <v>0</v>
      </c>
      <c r="P613">
        <f t="shared" si="27"/>
        <v>0.32353906307375041</v>
      </c>
      <c r="Q613">
        <f t="shared" si="29"/>
        <v>-0.39088057594128917</v>
      </c>
    </row>
    <row r="614" spans="1:17" x14ac:dyDescent="0.4">
      <c r="A614">
        <v>612</v>
      </c>
      <c r="B614">
        <v>0</v>
      </c>
      <c r="C614">
        <v>0</v>
      </c>
      <c r="D614">
        <v>7.05</v>
      </c>
      <c r="E614">
        <v>28</v>
      </c>
      <c r="F614">
        <v>0</v>
      </c>
      <c r="G614">
        <v>0</v>
      </c>
      <c r="H614">
        <v>0</v>
      </c>
      <c r="I614">
        <v>1</v>
      </c>
      <c r="J614">
        <v>1</v>
      </c>
      <c r="K614">
        <v>0</v>
      </c>
      <c r="L614">
        <v>0</v>
      </c>
      <c r="M614">
        <v>1</v>
      </c>
      <c r="N614">
        <v>0</v>
      </c>
      <c r="O614" s="14">
        <f t="shared" si="28"/>
        <v>0</v>
      </c>
      <c r="P614">
        <f t="shared" si="27"/>
        <v>9.1015109451583615E-2</v>
      </c>
      <c r="Q614">
        <f t="shared" si="29"/>
        <v>-9.5426807001754071E-2</v>
      </c>
    </row>
    <row r="615" spans="1:17" x14ac:dyDescent="0.4">
      <c r="A615">
        <v>613</v>
      </c>
      <c r="B615">
        <v>1</v>
      </c>
      <c r="C615">
        <v>0</v>
      </c>
      <c r="D615">
        <v>15.5</v>
      </c>
      <c r="E615">
        <v>28</v>
      </c>
      <c r="F615">
        <v>1</v>
      </c>
      <c r="G615">
        <v>0</v>
      </c>
      <c r="H615">
        <v>0</v>
      </c>
      <c r="I615">
        <v>1</v>
      </c>
      <c r="J615">
        <v>0</v>
      </c>
      <c r="K615">
        <v>1</v>
      </c>
      <c r="L615">
        <v>0</v>
      </c>
      <c r="M615">
        <v>1</v>
      </c>
      <c r="N615">
        <v>1</v>
      </c>
      <c r="O615" s="14">
        <f t="shared" si="28"/>
        <v>1</v>
      </c>
      <c r="P615">
        <f t="shared" si="27"/>
        <v>0.6211353665762529</v>
      </c>
      <c r="Q615">
        <f t="shared" si="29"/>
        <v>-0.47620623919892424</v>
      </c>
    </row>
    <row r="616" spans="1:17" x14ac:dyDescent="0.4">
      <c r="A616">
        <v>614</v>
      </c>
      <c r="B616">
        <v>0</v>
      </c>
      <c r="C616">
        <v>0</v>
      </c>
      <c r="D616">
        <v>7.75</v>
      </c>
      <c r="E616">
        <v>28</v>
      </c>
      <c r="F616">
        <v>0</v>
      </c>
      <c r="G616">
        <v>0</v>
      </c>
      <c r="H616">
        <v>0</v>
      </c>
      <c r="I616">
        <v>1</v>
      </c>
      <c r="J616">
        <v>0</v>
      </c>
      <c r="K616">
        <v>1</v>
      </c>
      <c r="L616">
        <v>0</v>
      </c>
      <c r="M616">
        <v>1</v>
      </c>
      <c r="N616">
        <v>0</v>
      </c>
      <c r="O616" s="14">
        <f t="shared" si="28"/>
        <v>0</v>
      </c>
      <c r="P616">
        <f t="shared" si="27"/>
        <v>0.12770204164315915</v>
      </c>
      <c r="Q616">
        <f t="shared" si="29"/>
        <v>-0.13662421807437358</v>
      </c>
    </row>
    <row r="617" spans="1:17" x14ac:dyDescent="0.4">
      <c r="A617">
        <v>615</v>
      </c>
      <c r="B617">
        <v>0</v>
      </c>
      <c r="C617">
        <v>0</v>
      </c>
      <c r="D617">
        <v>8.0500000000000007</v>
      </c>
      <c r="E617">
        <v>35</v>
      </c>
      <c r="F617">
        <v>0</v>
      </c>
      <c r="G617">
        <v>0</v>
      </c>
      <c r="H617">
        <v>0</v>
      </c>
      <c r="I617">
        <v>1</v>
      </c>
      <c r="J617">
        <v>1</v>
      </c>
      <c r="K617">
        <v>0</v>
      </c>
      <c r="L617">
        <v>0</v>
      </c>
      <c r="M617">
        <v>1</v>
      </c>
      <c r="N617">
        <v>0</v>
      </c>
      <c r="O617" s="14">
        <f t="shared" si="28"/>
        <v>0</v>
      </c>
      <c r="P617">
        <f t="shared" si="27"/>
        <v>7.1183990173263934E-2</v>
      </c>
      <c r="Q617">
        <f t="shared" si="29"/>
        <v>-7.38446116381236E-2</v>
      </c>
    </row>
    <row r="618" spans="1:17" x14ac:dyDescent="0.4">
      <c r="A618">
        <v>616</v>
      </c>
      <c r="B618">
        <v>1</v>
      </c>
      <c r="C618">
        <v>2</v>
      </c>
      <c r="D618">
        <v>65</v>
      </c>
      <c r="E618">
        <v>24</v>
      </c>
      <c r="F618">
        <v>1</v>
      </c>
      <c r="G618">
        <v>0</v>
      </c>
      <c r="H618">
        <v>1</v>
      </c>
      <c r="I618">
        <v>0</v>
      </c>
      <c r="J618">
        <v>1</v>
      </c>
      <c r="K618">
        <v>0</v>
      </c>
      <c r="L618">
        <v>0</v>
      </c>
      <c r="M618">
        <v>1</v>
      </c>
      <c r="N618">
        <v>1</v>
      </c>
      <c r="O618" s="14">
        <f t="shared" si="28"/>
        <v>1</v>
      </c>
      <c r="P618">
        <f t="shared" si="27"/>
        <v>0.80674315478230119</v>
      </c>
      <c r="Q618">
        <f t="shared" si="29"/>
        <v>-0.21474993301658532</v>
      </c>
    </row>
    <row r="619" spans="1:17" x14ac:dyDescent="0.4">
      <c r="A619">
        <v>617</v>
      </c>
      <c r="B619">
        <v>1</v>
      </c>
      <c r="C619">
        <v>1</v>
      </c>
      <c r="D619">
        <v>14.4</v>
      </c>
      <c r="E619">
        <v>34</v>
      </c>
      <c r="F619">
        <v>0</v>
      </c>
      <c r="G619">
        <v>0</v>
      </c>
      <c r="H619">
        <v>0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 s="14">
        <f t="shared" si="28"/>
        <v>0</v>
      </c>
      <c r="P619">
        <f t="shared" si="27"/>
        <v>5.0663558763086321E-2</v>
      </c>
      <c r="Q619">
        <f t="shared" si="29"/>
        <v>-5.1992021348900352E-2</v>
      </c>
    </row>
    <row r="620" spans="1:17" x14ac:dyDescent="0.4">
      <c r="A620">
        <v>618</v>
      </c>
      <c r="B620">
        <v>1</v>
      </c>
      <c r="C620">
        <v>0</v>
      </c>
      <c r="D620">
        <v>16.100000000000001</v>
      </c>
      <c r="E620">
        <v>26</v>
      </c>
      <c r="F620">
        <v>1</v>
      </c>
      <c r="G620">
        <v>0</v>
      </c>
      <c r="H620">
        <v>0</v>
      </c>
      <c r="I620">
        <v>1</v>
      </c>
      <c r="J620">
        <v>1</v>
      </c>
      <c r="K620">
        <v>0</v>
      </c>
      <c r="L620">
        <v>0</v>
      </c>
      <c r="M620">
        <v>1</v>
      </c>
      <c r="N620">
        <v>0</v>
      </c>
      <c r="O620" s="14">
        <f t="shared" si="28"/>
        <v>1</v>
      </c>
      <c r="P620">
        <f t="shared" si="27"/>
        <v>0.54849448379701271</v>
      </c>
      <c r="Q620">
        <f t="shared" si="29"/>
        <v>-0.79516768869588217</v>
      </c>
    </row>
    <row r="621" spans="1:17" x14ac:dyDescent="0.4">
      <c r="A621">
        <v>619</v>
      </c>
      <c r="B621">
        <v>2</v>
      </c>
      <c r="C621">
        <v>1</v>
      </c>
      <c r="D621">
        <v>39</v>
      </c>
      <c r="E621">
        <v>4</v>
      </c>
      <c r="F621">
        <v>1</v>
      </c>
      <c r="G621">
        <v>0</v>
      </c>
      <c r="H621">
        <v>1</v>
      </c>
      <c r="I621">
        <v>0</v>
      </c>
      <c r="J621">
        <v>1</v>
      </c>
      <c r="K621">
        <v>0</v>
      </c>
      <c r="L621">
        <v>0</v>
      </c>
      <c r="M621">
        <v>1</v>
      </c>
      <c r="N621">
        <v>1</v>
      </c>
      <c r="O621" s="14">
        <f t="shared" si="28"/>
        <v>1</v>
      </c>
      <c r="P621">
        <f t="shared" si="27"/>
        <v>0.87103284425135108</v>
      </c>
      <c r="Q621">
        <f t="shared" si="29"/>
        <v>-0.13807559417083962</v>
      </c>
    </row>
    <row r="622" spans="1:17" x14ac:dyDescent="0.4">
      <c r="A622">
        <v>620</v>
      </c>
      <c r="B622">
        <v>0</v>
      </c>
      <c r="C622">
        <v>0</v>
      </c>
      <c r="D622">
        <v>10.5</v>
      </c>
      <c r="E622">
        <v>26</v>
      </c>
      <c r="F622">
        <v>0</v>
      </c>
      <c r="G622">
        <v>0</v>
      </c>
      <c r="H622">
        <v>1</v>
      </c>
      <c r="I622">
        <v>0</v>
      </c>
      <c r="J622">
        <v>1</v>
      </c>
      <c r="K622">
        <v>0</v>
      </c>
      <c r="L622">
        <v>0</v>
      </c>
      <c r="M622">
        <v>1</v>
      </c>
      <c r="N622">
        <v>0</v>
      </c>
      <c r="O622" s="14">
        <f t="shared" si="28"/>
        <v>0</v>
      </c>
      <c r="P622">
        <f t="shared" si="27"/>
        <v>0.2716084250037365</v>
      </c>
      <c r="Q622">
        <f t="shared" si="29"/>
        <v>-0.31691649764771296</v>
      </c>
    </row>
    <row r="623" spans="1:17" x14ac:dyDescent="0.4">
      <c r="A623">
        <v>621</v>
      </c>
      <c r="B623">
        <v>1</v>
      </c>
      <c r="C623">
        <v>0</v>
      </c>
      <c r="D623">
        <v>14.4542</v>
      </c>
      <c r="E623">
        <v>27</v>
      </c>
      <c r="F623">
        <v>0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1</v>
      </c>
      <c r="M623">
        <v>1</v>
      </c>
      <c r="N623">
        <v>0</v>
      </c>
      <c r="O623" s="14">
        <f t="shared" si="28"/>
        <v>0</v>
      </c>
      <c r="P623">
        <f t="shared" si="27"/>
        <v>0.10597289607819189</v>
      </c>
      <c r="Q623">
        <f t="shared" si="29"/>
        <v>-0.11201918668227658</v>
      </c>
    </row>
    <row r="624" spans="1:17" x14ac:dyDescent="0.4">
      <c r="A624">
        <v>622</v>
      </c>
      <c r="B624">
        <v>1</v>
      </c>
      <c r="C624">
        <v>0</v>
      </c>
      <c r="D624">
        <v>52.554200000000002</v>
      </c>
      <c r="E624">
        <v>42</v>
      </c>
      <c r="F624">
        <v>0</v>
      </c>
      <c r="G624">
        <v>1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1</v>
      </c>
      <c r="N624">
        <v>1</v>
      </c>
      <c r="O624" s="14">
        <f t="shared" si="28"/>
        <v>0</v>
      </c>
      <c r="P624">
        <f t="shared" si="27"/>
        <v>0.28771466242387878</v>
      </c>
      <c r="Q624">
        <f t="shared" si="29"/>
        <v>-1.2457860454414527</v>
      </c>
    </row>
    <row r="625" spans="1:17" x14ac:dyDescent="0.4">
      <c r="A625">
        <v>623</v>
      </c>
      <c r="B625">
        <v>1</v>
      </c>
      <c r="C625">
        <v>1</v>
      </c>
      <c r="D625">
        <v>15.7417</v>
      </c>
      <c r="E625">
        <v>20</v>
      </c>
      <c r="F625">
        <v>0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1</v>
      </c>
      <c r="M625">
        <v>1</v>
      </c>
      <c r="N625">
        <v>1</v>
      </c>
      <c r="O625" s="14">
        <f t="shared" si="28"/>
        <v>0</v>
      </c>
      <c r="P625">
        <f t="shared" si="27"/>
        <v>0.12420227287923467</v>
      </c>
      <c r="Q625">
        <f t="shared" si="29"/>
        <v>-2.0858438094953358</v>
      </c>
    </row>
    <row r="626" spans="1:17" x14ac:dyDescent="0.4">
      <c r="A626">
        <v>624</v>
      </c>
      <c r="B626">
        <v>0</v>
      </c>
      <c r="C626">
        <v>0</v>
      </c>
      <c r="D626">
        <v>7.8541999999999996</v>
      </c>
      <c r="E626">
        <v>21</v>
      </c>
      <c r="F626">
        <v>0</v>
      </c>
      <c r="G626">
        <v>0</v>
      </c>
      <c r="H626">
        <v>0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0</v>
      </c>
      <c r="O626" s="14">
        <f t="shared" si="28"/>
        <v>0</v>
      </c>
      <c r="P626">
        <f t="shared" si="27"/>
        <v>0.1161152145721491</v>
      </c>
      <c r="Q626">
        <f t="shared" si="29"/>
        <v>-0.12342855806501966</v>
      </c>
    </row>
    <row r="627" spans="1:17" x14ac:dyDescent="0.4">
      <c r="A627">
        <v>625</v>
      </c>
      <c r="B627">
        <v>0</v>
      </c>
      <c r="C627">
        <v>0</v>
      </c>
      <c r="D627">
        <v>16.100000000000001</v>
      </c>
      <c r="E627">
        <v>21</v>
      </c>
      <c r="F627">
        <v>0</v>
      </c>
      <c r="G627">
        <v>0</v>
      </c>
      <c r="H627">
        <v>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0</v>
      </c>
      <c r="O627" s="14">
        <f t="shared" si="28"/>
        <v>0</v>
      </c>
      <c r="P627">
        <f t="shared" si="27"/>
        <v>0.11810906527233669</v>
      </c>
      <c r="Q627">
        <f t="shared" si="29"/>
        <v>-0.1256868873928314</v>
      </c>
    </row>
    <row r="628" spans="1:17" x14ac:dyDescent="0.4">
      <c r="A628">
        <v>626</v>
      </c>
      <c r="B628">
        <v>0</v>
      </c>
      <c r="C628">
        <v>0</v>
      </c>
      <c r="D628">
        <v>32.320799999999998</v>
      </c>
      <c r="E628">
        <v>61</v>
      </c>
      <c r="F628">
        <v>0</v>
      </c>
      <c r="G628">
        <v>1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1</v>
      </c>
      <c r="N628">
        <v>0</v>
      </c>
      <c r="O628" s="14">
        <f t="shared" si="28"/>
        <v>0</v>
      </c>
      <c r="P628">
        <f t="shared" si="27"/>
        <v>0.20360993314986997</v>
      </c>
      <c r="Q628">
        <f t="shared" si="29"/>
        <v>-0.22766617943375381</v>
      </c>
    </row>
    <row r="629" spans="1:17" x14ac:dyDescent="0.4">
      <c r="A629">
        <v>627</v>
      </c>
      <c r="B629">
        <v>0</v>
      </c>
      <c r="C629">
        <v>0</v>
      </c>
      <c r="D629">
        <v>12.35</v>
      </c>
      <c r="E629">
        <v>57</v>
      </c>
      <c r="F629">
        <v>0</v>
      </c>
      <c r="G629">
        <v>0</v>
      </c>
      <c r="H629">
        <v>1</v>
      </c>
      <c r="I629">
        <v>0</v>
      </c>
      <c r="J629">
        <v>0</v>
      </c>
      <c r="K629">
        <v>1</v>
      </c>
      <c r="L629">
        <v>0</v>
      </c>
      <c r="M629">
        <v>1</v>
      </c>
      <c r="N629">
        <v>0</v>
      </c>
      <c r="O629" s="14">
        <f t="shared" si="28"/>
        <v>0</v>
      </c>
      <c r="P629">
        <f t="shared" si="27"/>
        <v>0.14206953174992185</v>
      </c>
      <c r="Q629">
        <f t="shared" si="29"/>
        <v>-0.15323222211361243</v>
      </c>
    </row>
    <row r="630" spans="1:17" x14ac:dyDescent="0.4">
      <c r="A630">
        <v>628</v>
      </c>
      <c r="B630">
        <v>0</v>
      </c>
      <c r="C630">
        <v>0</v>
      </c>
      <c r="D630">
        <v>77.958299999999994</v>
      </c>
      <c r="E630">
        <v>21</v>
      </c>
      <c r="F630">
        <v>1</v>
      </c>
      <c r="G630">
        <v>1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1</v>
      </c>
      <c r="N630">
        <v>1</v>
      </c>
      <c r="O630" s="14">
        <f t="shared" si="28"/>
        <v>1</v>
      </c>
      <c r="P630">
        <f t="shared" si="27"/>
        <v>0.95273072627412947</v>
      </c>
      <c r="Q630">
        <f t="shared" si="29"/>
        <v>-4.8422969005992474E-2</v>
      </c>
    </row>
    <row r="631" spans="1:17" x14ac:dyDescent="0.4">
      <c r="A631">
        <v>629</v>
      </c>
      <c r="B631">
        <v>0</v>
      </c>
      <c r="C631">
        <v>0</v>
      </c>
      <c r="D631">
        <v>7.8958000000000004</v>
      </c>
      <c r="E631">
        <v>26</v>
      </c>
      <c r="F631">
        <v>0</v>
      </c>
      <c r="G631">
        <v>0</v>
      </c>
      <c r="H631">
        <v>0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0</v>
      </c>
      <c r="O631" s="14">
        <f t="shared" si="28"/>
        <v>0</v>
      </c>
      <c r="P631">
        <f t="shared" si="27"/>
        <v>9.7768036873388073E-2</v>
      </c>
      <c r="Q631">
        <f t="shared" si="29"/>
        <v>-0.10288362665201051</v>
      </c>
    </row>
    <row r="632" spans="1:17" x14ac:dyDescent="0.4">
      <c r="A632">
        <v>630</v>
      </c>
      <c r="B632">
        <v>0</v>
      </c>
      <c r="C632">
        <v>0</v>
      </c>
      <c r="D632">
        <v>7.7332999999999998</v>
      </c>
      <c r="E632">
        <v>28</v>
      </c>
      <c r="F632">
        <v>0</v>
      </c>
      <c r="G632">
        <v>0</v>
      </c>
      <c r="H632">
        <v>0</v>
      </c>
      <c r="I632">
        <v>1</v>
      </c>
      <c r="J632">
        <v>0</v>
      </c>
      <c r="K632">
        <v>1</v>
      </c>
      <c r="L632">
        <v>0</v>
      </c>
      <c r="M632">
        <v>1</v>
      </c>
      <c r="N632">
        <v>0</v>
      </c>
      <c r="O632" s="14">
        <f t="shared" si="28"/>
        <v>0</v>
      </c>
      <c r="P632">
        <f t="shared" si="27"/>
        <v>0.12769769118983915</v>
      </c>
      <c r="Q632">
        <f t="shared" si="29"/>
        <v>-0.13661923073899146</v>
      </c>
    </row>
    <row r="633" spans="1:17" x14ac:dyDescent="0.4">
      <c r="A633">
        <v>631</v>
      </c>
      <c r="B633">
        <v>0</v>
      </c>
      <c r="C633">
        <v>0</v>
      </c>
      <c r="D633">
        <v>30</v>
      </c>
      <c r="E633">
        <v>80</v>
      </c>
      <c r="F633">
        <v>0</v>
      </c>
      <c r="G633">
        <v>1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1</v>
      </c>
      <c r="N633">
        <v>1</v>
      </c>
      <c r="O633" s="14">
        <f t="shared" si="28"/>
        <v>0</v>
      </c>
      <c r="P633">
        <f t="shared" si="27"/>
        <v>0.10897103641952274</v>
      </c>
      <c r="Q633">
        <f t="shared" si="29"/>
        <v>-2.2166731529848622</v>
      </c>
    </row>
    <row r="634" spans="1:17" x14ac:dyDescent="0.4">
      <c r="A634">
        <v>632</v>
      </c>
      <c r="B634">
        <v>0</v>
      </c>
      <c r="C634">
        <v>0</v>
      </c>
      <c r="D634">
        <v>7.0541999999999998</v>
      </c>
      <c r="E634">
        <v>51</v>
      </c>
      <c r="F634">
        <v>0</v>
      </c>
      <c r="G634">
        <v>0</v>
      </c>
      <c r="H634">
        <v>0</v>
      </c>
      <c r="I634">
        <v>1</v>
      </c>
      <c r="J634">
        <v>1</v>
      </c>
      <c r="K634">
        <v>0</v>
      </c>
      <c r="L634">
        <v>0</v>
      </c>
      <c r="M634">
        <v>1</v>
      </c>
      <c r="N634">
        <v>0</v>
      </c>
      <c r="O634" s="14">
        <f t="shared" si="28"/>
        <v>0</v>
      </c>
      <c r="P634">
        <f t="shared" si="27"/>
        <v>3.9643431877782236E-2</v>
      </c>
      <c r="Q634">
        <f t="shared" si="29"/>
        <v>-4.0450638354182077E-2</v>
      </c>
    </row>
    <row r="635" spans="1:17" x14ac:dyDescent="0.4">
      <c r="A635">
        <v>633</v>
      </c>
      <c r="B635">
        <v>0</v>
      </c>
      <c r="C635">
        <v>0</v>
      </c>
      <c r="D635">
        <v>30.5</v>
      </c>
      <c r="E635">
        <v>32</v>
      </c>
      <c r="F635">
        <v>0</v>
      </c>
      <c r="G635">
        <v>1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1</v>
      </c>
      <c r="N635">
        <v>1</v>
      </c>
      <c r="O635" s="14">
        <f t="shared" si="28"/>
        <v>1</v>
      </c>
      <c r="P635">
        <f t="shared" si="27"/>
        <v>0.5458548059971241</v>
      </c>
      <c r="Q635">
        <f t="shared" si="29"/>
        <v>-0.60540226168323463</v>
      </c>
    </row>
    <row r="636" spans="1:17" x14ac:dyDescent="0.4">
      <c r="A636">
        <v>634</v>
      </c>
      <c r="B636">
        <v>0</v>
      </c>
      <c r="C636">
        <v>0</v>
      </c>
      <c r="D636">
        <v>0</v>
      </c>
      <c r="E636">
        <v>28</v>
      </c>
      <c r="F636">
        <v>0</v>
      </c>
      <c r="G636">
        <v>1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1</v>
      </c>
      <c r="N636">
        <v>0</v>
      </c>
      <c r="O636" s="14">
        <f t="shared" si="28"/>
        <v>0</v>
      </c>
      <c r="P636">
        <f t="shared" si="27"/>
        <v>0.45806665159749288</v>
      </c>
      <c r="Q636">
        <f t="shared" si="29"/>
        <v>-0.6126122585314514</v>
      </c>
    </row>
    <row r="637" spans="1:17" x14ac:dyDescent="0.4">
      <c r="A637">
        <v>635</v>
      </c>
      <c r="B637">
        <v>3</v>
      </c>
      <c r="C637">
        <v>2</v>
      </c>
      <c r="D637">
        <v>27.9</v>
      </c>
      <c r="E637">
        <v>9</v>
      </c>
      <c r="F637">
        <v>1</v>
      </c>
      <c r="G637">
        <v>0</v>
      </c>
      <c r="H637">
        <v>0</v>
      </c>
      <c r="I637">
        <v>1</v>
      </c>
      <c r="J637">
        <v>1</v>
      </c>
      <c r="K637">
        <v>0</v>
      </c>
      <c r="L637">
        <v>0</v>
      </c>
      <c r="M637">
        <v>1</v>
      </c>
      <c r="N637">
        <v>0</v>
      </c>
      <c r="O637" s="14">
        <f t="shared" si="28"/>
        <v>1</v>
      </c>
      <c r="P637">
        <f t="shared" si="27"/>
        <v>0.51163288103082438</v>
      </c>
      <c r="Q637">
        <f t="shared" si="29"/>
        <v>-0.71668786298988507</v>
      </c>
    </row>
    <row r="638" spans="1:17" x14ac:dyDescent="0.4">
      <c r="A638">
        <v>636</v>
      </c>
      <c r="B638">
        <v>0</v>
      </c>
      <c r="C638">
        <v>0</v>
      </c>
      <c r="D638">
        <v>13</v>
      </c>
      <c r="E638">
        <v>28</v>
      </c>
      <c r="F638">
        <v>1</v>
      </c>
      <c r="G638">
        <v>0</v>
      </c>
      <c r="H638">
        <v>1</v>
      </c>
      <c r="I638">
        <v>0</v>
      </c>
      <c r="J638">
        <v>1</v>
      </c>
      <c r="K638">
        <v>0</v>
      </c>
      <c r="L638">
        <v>0</v>
      </c>
      <c r="M638">
        <v>1</v>
      </c>
      <c r="N638">
        <v>1</v>
      </c>
      <c r="O638" s="14">
        <f t="shared" si="28"/>
        <v>1</v>
      </c>
      <c r="P638">
        <f t="shared" si="27"/>
        <v>0.84049614596407707</v>
      </c>
      <c r="Q638">
        <f t="shared" si="29"/>
        <v>-0.1737629115525734</v>
      </c>
    </row>
    <row r="639" spans="1:17" x14ac:dyDescent="0.4">
      <c r="A639">
        <v>637</v>
      </c>
      <c r="B639">
        <v>0</v>
      </c>
      <c r="C639">
        <v>0</v>
      </c>
      <c r="D639">
        <v>7.9249999999999998</v>
      </c>
      <c r="E639">
        <v>32</v>
      </c>
      <c r="F639">
        <v>0</v>
      </c>
      <c r="G639">
        <v>0</v>
      </c>
      <c r="H639">
        <v>0</v>
      </c>
      <c r="I639">
        <v>1</v>
      </c>
      <c r="J639">
        <v>1</v>
      </c>
      <c r="K639">
        <v>0</v>
      </c>
      <c r="L639">
        <v>0</v>
      </c>
      <c r="M639">
        <v>1</v>
      </c>
      <c r="N639">
        <v>0</v>
      </c>
      <c r="O639" s="14">
        <f t="shared" si="28"/>
        <v>0</v>
      </c>
      <c r="P639">
        <f t="shared" si="27"/>
        <v>7.9193288351222899E-2</v>
      </c>
      <c r="Q639">
        <f t="shared" si="29"/>
        <v>-8.2505132668820286E-2</v>
      </c>
    </row>
    <row r="640" spans="1:17" x14ac:dyDescent="0.4">
      <c r="A640">
        <v>638</v>
      </c>
      <c r="B640">
        <v>1</v>
      </c>
      <c r="C640">
        <v>1</v>
      </c>
      <c r="D640">
        <v>26.25</v>
      </c>
      <c r="E640">
        <v>31</v>
      </c>
      <c r="F640">
        <v>0</v>
      </c>
      <c r="G640">
        <v>0</v>
      </c>
      <c r="H640">
        <v>1</v>
      </c>
      <c r="I640">
        <v>0</v>
      </c>
      <c r="J640">
        <v>1</v>
      </c>
      <c r="K640">
        <v>0</v>
      </c>
      <c r="L640">
        <v>0</v>
      </c>
      <c r="M640">
        <v>1</v>
      </c>
      <c r="N640">
        <v>0</v>
      </c>
      <c r="O640" s="14">
        <f t="shared" si="28"/>
        <v>0</v>
      </c>
      <c r="P640">
        <f t="shared" si="27"/>
        <v>0.17399693424810617</v>
      </c>
      <c r="Q640">
        <f t="shared" si="29"/>
        <v>-0.19115679390401066</v>
      </c>
    </row>
    <row r="641" spans="1:17" x14ac:dyDescent="0.4">
      <c r="A641">
        <v>639</v>
      </c>
      <c r="B641">
        <v>0</v>
      </c>
      <c r="C641">
        <v>5</v>
      </c>
      <c r="D641">
        <v>39.6875</v>
      </c>
      <c r="E641">
        <v>41</v>
      </c>
      <c r="F641">
        <v>1</v>
      </c>
      <c r="G641">
        <v>0</v>
      </c>
      <c r="H641">
        <v>0</v>
      </c>
      <c r="I641">
        <v>1</v>
      </c>
      <c r="J641">
        <v>1</v>
      </c>
      <c r="K641">
        <v>0</v>
      </c>
      <c r="L641">
        <v>0</v>
      </c>
      <c r="M641">
        <v>1</v>
      </c>
      <c r="N641">
        <v>0</v>
      </c>
      <c r="O641" s="14">
        <f t="shared" si="28"/>
        <v>0</v>
      </c>
      <c r="P641">
        <f t="shared" si="27"/>
        <v>0.38390571341331436</v>
      </c>
      <c r="Q641">
        <f t="shared" si="29"/>
        <v>-0.48435526452078465</v>
      </c>
    </row>
    <row r="642" spans="1:17" x14ac:dyDescent="0.4">
      <c r="A642">
        <v>640</v>
      </c>
      <c r="B642">
        <v>1</v>
      </c>
      <c r="C642">
        <v>0</v>
      </c>
      <c r="D642">
        <v>16.100000000000001</v>
      </c>
      <c r="E642">
        <v>28</v>
      </c>
      <c r="F642">
        <v>0</v>
      </c>
      <c r="G642">
        <v>0</v>
      </c>
      <c r="H642">
        <v>0</v>
      </c>
      <c r="I642">
        <v>1</v>
      </c>
      <c r="J642">
        <v>1</v>
      </c>
      <c r="K642">
        <v>0</v>
      </c>
      <c r="L642">
        <v>0</v>
      </c>
      <c r="M642">
        <v>1</v>
      </c>
      <c r="N642">
        <v>0</v>
      </c>
      <c r="O642" s="14">
        <f t="shared" si="28"/>
        <v>0</v>
      </c>
      <c r="P642">
        <f t="shared" si="27"/>
        <v>6.9005484855186677E-2</v>
      </c>
      <c r="Q642">
        <f t="shared" si="29"/>
        <v>-7.1501893081378609E-2</v>
      </c>
    </row>
    <row r="643" spans="1:17" x14ac:dyDescent="0.4">
      <c r="A643">
        <v>641</v>
      </c>
      <c r="B643">
        <v>0</v>
      </c>
      <c r="C643">
        <v>0</v>
      </c>
      <c r="D643">
        <v>7.8541999999999996</v>
      </c>
      <c r="E643">
        <v>20</v>
      </c>
      <c r="F643">
        <v>0</v>
      </c>
      <c r="G643">
        <v>0</v>
      </c>
      <c r="H643">
        <v>0</v>
      </c>
      <c r="I643">
        <v>1</v>
      </c>
      <c r="J643">
        <v>1</v>
      </c>
      <c r="K643">
        <v>0</v>
      </c>
      <c r="L643">
        <v>0</v>
      </c>
      <c r="M643">
        <v>1</v>
      </c>
      <c r="N643">
        <v>0</v>
      </c>
      <c r="O643" s="14">
        <f t="shared" si="28"/>
        <v>0</v>
      </c>
      <c r="P643">
        <f t="shared" ref="P643:P706" si="30">1/(1+EXP(-SUMPRODUCT(B$1:M$1,B643:M643)))</f>
        <v>0.12012803132871538</v>
      </c>
      <c r="Q643">
        <f t="shared" si="29"/>
        <v>-0.1279788722408704</v>
      </c>
    </row>
    <row r="644" spans="1:17" x14ac:dyDescent="0.4">
      <c r="A644">
        <v>642</v>
      </c>
      <c r="B644">
        <v>0</v>
      </c>
      <c r="C644">
        <v>0</v>
      </c>
      <c r="D644">
        <v>69.3</v>
      </c>
      <c r="E644">
        <v>24</v>
      </c>
      <c r="F644">
        <v>1</v>
      </c>
      <c r="G644">
        <v>1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1</v>
      </c>
      <c r="N644">
        <v>1</v>
      </c>
      <c r="O644" s="14">
        <f t="shared" ref="O644:O707" si="31">IF(P644&gt;0.5,1,0)</f>
        <v>1</v>
      </c>
      <c r="P644">
        <f t="shared" si="30"/>
        <v>0.96451395883053992</v>
      </c>
      <c r="Q644">
        <f t="shared" ref="Q644:Q707" si="32">N644*LN(P644)+(1-N644)*LN(1-P644)</f>
        <v>-3.6130974132951986E-2</v>
      </c>
    </row>
    <row r="645" spans="1:17" x14ac:dyDescent="0.4">
      <c r="A645">
        <v>643</v>
      </c>
      <c r="B645">
        <v>3</v>
      </c>
      <c r="C645">
        <v>2</v>
      </c>
      <c r="D645">
        <v>27.9</v>
      </c>
      <c r="E645">
        <v>2</v>
      </c>
      <c r="F645">
        <v>1</v>
      </c>
      <c r="G645">
        <v>0</v>
      </c>
      <c r="H645">
        <v>0</v>
      </c>
      <c r="I645">
        <v>1</v>
      </c>
      <c r="J645">
        <v>1</v>
      </c>
      <c r="K645">
        <v>0</v>
      </c>
      <c r="L645">
        <v>0</v>
      </c>
      <c r="M645">
        <v>1</v>
      </c>
      <c r="N645">
        <v>0</v>
      </c>
      <c r="O645" s="14">
        <f t="shared" si="31"/>
        <v>1</v>
      </c>
      <c r="P645">
        <f t="shared" si="30"/>
        <v>0.57840235800928386</v>
      </c>
      <c r="Q645">
        <f t="shared" si="32"/>
        <v>-0.86370387477177302</v>
      </c>
    </row>
    <row r="646" spans="1:17" x14ac:dyDescent="0.4">
      <c r="A646">
        <v>644</v>
      </c>
      <c r="B646">
        <v>0</v>
      </c>
      <c r="C646">
        <v>0</v>
      </c>
      <c r="D646">
        <v>56.495800000000003</v>
      </c>
      <c r="E646">
        <v>28</v>
      </c>
      <c r="F646">
        <v>0</v>
      </c>
      <c r="G646">
        <v>0</v>
      </c>
      <c r="H646">
        <v>0</v>
      </c>
      <c r="I646">
        <v>1</v>
      </c>
      <c r="J646">
        <v>1</v>
      </c>
      <c r="K646">
        <v>0</v>
      </c>
      <c r="L646">
        <v>0</v>
      </c>
      <c r="M646">
        <v>1</v>
      </c>
      <c r="N646">
        <v>1</v>
      </c>
      <c r="O646" s="14">
        <f t="shared" si="31"/>
        <v>0</v>
      </c>
      <c r="P646">
        <f t="shared" si="30"/>
        <v>0.10104495854089617</v>
      </c>
      <c r="Q646">
        <f t="shared" si="32"/>
        <v>-2.2921897271153777</v>
      </c>
    </row>
    <row r="647" spans="1:17" x14ac:dyDescent="0.4">
      <c r="A647">
        <v>645</v>
      </c>
      <c r="B647">
        <v>2</v>
      </c>
      <c r="C647">
        <v>1</v>
      </c>
      <c r="D647">
        <v>19.258299999999998</v>
      </c>
      <c r="E647">
        <v>0.75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1</v>
      </c>
      <c r="M647">
        <v>1</v>
      </c>
      <c r="N647">
        <v>1</v>
      </c>
      <c r="O647" s="14">
        <f t="shared" si="31"/>
        <v>1</v>
      </c>
      <c r="P647">
        <f t="shared" si="30"/>
        <v>0.76750798168794465</v>
      </c>
      <c r="Q647">
        <f t="shared" si="32"/>
        <v>-0.26460639998144703</v>
      </c>
    </row>
    <row r="648" spans="1:17" x14ac:dyDescent="0.4">
      <c r="A648">
        <v>646</v>
      </c>
      <c r="B648">
        <v>1</v>
      </c>
      <c r="C648">
        <v>0</v>
      </c>
      <c r="D648">
        <v>76.729200000000006</v>
      </c>
      <c r="E648">
        <v>48</v>
      </c>
      <c r="F648">
        <v>0</v>
      </c>
      <c r="G648">
        <v>1</v>
      </c>
      <c r="H648">
        <v>0</v>
      </c>
      <c r="I648">
        <v>0</v>
      </c>
      <c r="J648">
        <v>0</v>
      </c>
      <c r="K648">
        <v>0</v>
      </c>
      <c r="L648">
        <v>1</v>
      </c>
      <c r="M648">
        <v>1</v>
      </c>
      <c r="N648">
        <v>1</v>
      </c>
      <c r="O648" s="14">
        <f t="shared" si="31"/>
        <v>0</v>
      </c>
      <c r="P648">
        <f t="shared" si="30"/>
        <v>0.34382656218154584</v>
      </c>
      <c r="Q648">
        <f t="shared" si="32"/>
        <v>-1.0676179284548712</v>
      </c>
    </row>
    <row r="649" spans="1:17" x14ac:dyDescent="0.4">
      <c r="A649">
        <v>647</v>
      </c>
      <c r="B649">
        <v>0</v>
      </c>
      <c r="C649">
        <v>0</v>
      </c>
      <c r="D649">
        <v>7.8958000000000004</v>
      </c>
      <c r="E649">
        <v>19</v>
      </c>
      <c r="F649">
        <v>0</v>
      </c>
      <c r="G649">
        <v>0</v>
      </c>
      <c r="H649">
        <v>0</v>
      </c>
      <c r="I649">
        <v>1</v>
      </c>
      <c r="J649">
        <v>1</v>
      </c>
      <c r="K649">
        <v>0</v>
      </c>
      <c r="L649">
        <v>0</v>
      </c>
      <c r="M649">
        <v>1</v>
      </c>
      <c r="N649">
        <v>0</v>
      </c>
      <c r="O649" s="14">
        <f t="shared" si="31"/>
        <v>0</v>
      </c>
      <c r="P649">
        <f t="shared" si="30"/>
        <v>0.12427061783070333</v>
      </c>
      <c r="Q649">
        <f t="shared" si="32"/>
        <v>-0.13269816023701078</v>
      </c>
    </row>
    <row r="650" spans="1:17" x14ac:dyDescent="0.4">
      <c r="A650">
        <v>648</v>
      </c>
      <c r="B650">
        <v>0</v>
      </c>
      <c r="C650">
        <v>0</v>
      </c>
      <c r="D650">
        <v>35.5</v>
      </c>
      <c r="E650">
        <v>56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1</v>
      </c>
      <c r="O650" s="14">
        <f t="shared" si="31"/>
        <v>0</v>
      </c>
      <c r="P650">
        <f t="shared" si="30"/>
        <v>0.32541804725754098</v>
      </c>
      <c r="Q650">
        <f t="shared" si="32"/>
        <v>-1.1226446239725743</v>
      </c>
    </row>
    <row r="651" spans="1:17" x14ac:dyDescent="0.4">
      <c r="A651">
        <v>649</v>
      </c>
      <c r="B651">
        <v>0</v>
      </c>
      <c r="C651">
        <v>0</v>
      </c>
      <c r="D651">
        <v>7.55</v>
      </c>
      <c r="E651">
        <v>28</v>
      </c>
      <c r="F651">
        <v>0</v>
      </c>
      <c r="G651">
        <v>0</v>
      </c>
      <c r="H651">
        <v>0</v>
      </c>
      <c r="I651">
        <v>1</v>
      </c>
      <c r="J651">
        <v>1</v>
      </c>
      <c r="K651">
        <v>0</v>
      </c>
      <c r="L651">
        <v>0</v>
      </c>
      <c r="M651">
        <v>1</v>
      </c>
      <c r="N651">
        <v>0</v>
      </c>
      <c r="O651" s="14">
        <f t="shared" si="31"/>
        <v>0</v>
      </c>
      <c r="P651">
        <f t="shared" si="30"/>
        <v>9.1111894777795924E-2</v>
      </c>
      <c r="Q651">
        <f t="shared" si="32"/>
        <v>-9.5533288946894238E-2</v>
      </c>
    </row>
    <row r="652" spans="1:17" x14ac:dyDescent="0.4">
      <c r="A652">
        <v>650</v>
      </c>
      <c r="B652">
        <v>0</v>
      </c>
      <c r="C652">
        <v>0</v>
      </c>
      <c r="D652">
        <v>7.55</v>
      </c>
      <c r="E652">
        <v>23</v>
      </c>
      <c r="F652">
        <v>1</v>
      </c>
      <c r="G652">
        <v>0</v>
      </c>
      <c r="H652">
        <v>0</v>
      </c>
      <c r="I652">
        <v>1</v>
      </c>
      <c r="J652">
        <v>1</v>
      </c>
      <c r="K652">
        <v>0</v>
      </c>
      <c r="L652">
        <v>0</v>
      </c>
      <c r="M652">
        <v>1</v>
      </c>
      <c r="N652">
        <v>1</v>
      </c>
      <c r="O652" s="14">
        <f t="shared" si="31"/>
        <v>1</v>
      </c>
      <c r="P652">
        <f t="shared" si="30"/>
        <v>0.64841966106251159</v>
      </c>
      <c r="Q652">
        <f t="shared" si="32"/>
        <v>-0.43321716715202868</v>
      </c>
    </row>
    <row r="653" spans="1:17" x14ac:dyDescent="0.4">
      <c r="A653">
        <v>651</v>
      </c>
      <c r="B653">
        <v>0</v>
      </c>
      <c r="C653">
        <v>0</v>
      </c>
      <c r="D653">
        <v>7.8958000000000004</v>
      </c>
      <c r="E653">
        <v>28</v>
      </c>
      <c r="F653">
        <v>0</v>
      </c>
      <c r="G653">
        <v>0</v>
      </c>
      <c r="H653">
        <v>0</v>
      </c>
      <c r="I653">
        <v>1</v>
      </c>
      <c r="J653">
        <v>1</v>
      </c>
      <c r="K653">
        <v>0</v>
      </c>
      <c r="L653">
        <v>0</v>
      </c>
      <c r="M653">
        <v>1</v>
      </c>
      <c r="N653">
        <v>0</v>
      </c>
      <c r="O653" s="14">
        <f t="shared" si="31"/>
        <v>0</v>
      </c>
      <c r="P653">
        <f t="shared" si="30"/>
        <v>9.117888566880443E-2</v>
      </c>
      <c r="Q653">
        <f t="shared" si="32"/>
        <v>-9.5606998086197895E-2</v>
      </c>
    </row>
    <row r="654" spans="1:17" x14ac:dyDescent="0.4">
      <c r="A654">
        <v>652</v>
      </c>
      <c r="B654">
        <v>0</v>
      </c>
      <c r="C654">
        <v>1</v>
      </c>
      <c r="D654">
        <v>23</v>
      </c>
      <c r="E654">
        <v>18</v>
      </c>
      <c r="F654">
        <v>1</v>
      </c>
      <c r="G654">
        <v>0</v>
      </c>
      <c r="H654">
        <v>1</v>
      </c>
      <c r="I654">
        <v>0</v>
      </c>
      <c r="J654">
        <v>1</v>
      </c>
      <c r="K654">
        <v>0</v>
      </c>
      <c r="L654">
        <v>0</v>
      </c>
      <c r="M654">
        <v>1</v>
      </c>
      <c r="N654">
        <v>1</v>
      </c>
      <c r="O654" s="14">
        <f t="shared" si="31"/>
        <v>1</v>
      </c>
      <c r="P654">
        <f t="shared" si="30"/>
        <v>0.8783829094859642</v>
      </c>
      <c r="Q654">
        <f t="shared" si="32"/>
        <v>-0.12967266483012452</v>
      </c>
    </row>
    <row r="655" spans="1:17" x14ac:dyDescent="0.4">
      <c r="A655">
        <v>653</v>
      </c>
      <c r="B655">
        <v>0</v>
      </c>
      <c r="C655">
        <v>0</v>
      </c>
      <c r="D655">
        <v>8.4332999999999991</v>
      </c>
      <c r="E655">
        <v>21</v>
      </c>
      <c r="F655">
        <v>0</v>
      </c>
      <c r="G655">
        <v>0</v>
      </c>
      <c r="H655">
        <v>0</v>
      </c>
      <c r="I655">
        <v>1</v>
      </c>
      <c r="J655">
        <v>1</v>
      </c>
      <c r="K655">
        <v>0</v>
      </c>
      <c r="L655">
        <v>0</v>
      </c>
      <c r="M655">
        <v>1</v>
      </c>
      <c r="N655">
        <v>0</v>
      </c>
      <c r="O655" s="14">
        <f t="shared" si="31"/>
        <v>0</v>
      </c>
      <c r="P655">
        <f t="shared" si="30"/>
        <v>0.11625428211856551</v>
      </c>
      <c r="Q655">
        <f t="shared" si="32"/>
        <v>-0.12358590717892431</v>
      </c>
    </row>
    <row r="656" spans="1:17" x14ac:dyDescent="0.4">
      <c r="A656">
        <v>654</v>
      </c>
      <c r="B656">
        <v>0</v>
      </c>
      <c r="C656">
        <v>0</v>
      </c>
      <c r="D656">
        <v>7.8292000000000002</v>
      </c>
      <c r="E656">
        <v>28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1</v>
      </c>
      <c r="L656">
        <v>0</v>
      </c>
      <c r="M656">
        <v>1</v>
      </c>
      <c r="N656">
        <v>1</v>
      </c>
      <c r="O656" s="14">
        <f t="shared" si="31"/>
        <v>1</v>
      </c>
      <c r="P656">
        <f t="shared" si="30"/>
        <v>0.68962355104615181</v>
      </c>
      <c r="Q656">
        <f t="shared" si="32"/>
        <v>-0.37160940846675139</v>
      </c>
    </row>
    <row r="657" spans="1:17" x14ac:dyDescent="0.4">
      <c r="A657">
        <v>655</v>
      </c>
      <c r="B657">
        <v>0</v>
      </c>
      <c r="C657">
        <v>0</v>
      </c>
      <c r="D657">
        <v>6.75</v>
      </c>
      <c r="E657">
        <v>18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1</v>
      </c>
      <c r="L657">
        <v>0</v>
      </c>
      <c r="M657">
        <v>1</v>
      </c>
      <c r="N657">
        <v>0</v>
      </c>
      <c r="O657" s="14">
        <f t="shared" si="31"/>
        <v>1</v>
      </c>
      <c r="P657">
        <f t="shared" si="30"/>
        <v>0.76514391082742284</v>
      </c>
      <c r="Q657">
        <f t="shared" si="32"/>
        <v>-1.4487823389228491</v>
      </c>
    </row>
    <row r="658" spans="1:17" x14ac:dyDescent="0.4">
      <c r="A658">
        <v>656</v>
      </c>
      <c r="B658">
        <v>2</v>
      </c>
      <c r="C658">
        <v>0</v>
      </c>
      <c r="D658">
        <v>73.5</v>
      </c>
      <c r="E658">
        <v>24</v>
      </c>
      <c r="F658">
        <v>0</v>
      </c>
      <c r="G658">
        <v>0</v>
      </c>
      <c r="H658">
        <v>1</v>
      </c>
      <c r="I658">
        <v>0</v>
      </c>
      <c r="J658">
        <v>1</v>
      </c>
      <c r="K658">
        <v>0</v>
      </c>
      <c r="L658">
        <v>0</v>
      </c>
      <c r="M658">
        <v>1</v>
      </c>
      <c r="N658">
        <v>0</v>
      </c>
      <c r="O658" s="14">
        <f t="shared" si="31"/>
        <v>0</v>
      </c>
      <c r="P658">
        <f t="shared" si="30"/>
        <v>0.19687351156267774</v>
      </c>
      <c r="Q658">
        <f t="shared" si="32"/>
        <v>-0.21924305759309812</v>
      </c>
    </row>
    <row r="659" spans="1:17" x14ac:dyDescent="0.4">
      <c r="A659">
        <v>657</v>
      </c>
      <c r="B659">
        <v>0</v>
      </c>
      <c r="C659">
        <v>0</v>
      </c>
      <c r="D659">
        <v>7.8958000000000004</v>
      </c>
      <c r="E659">
        <v>28</v>
      </c>
      <c r="F659">
        <v>0</v>
      </c>
      <c r="G659">
        <v>0</v>
      </c>
      <c r="H659">
        <v>0</v>
      </c>
      <c r="I659">
        <v>1</v>
      </c>
      <c r="J659">
        <v>1</v>
      </c>
      <c r="K659">
        <v>0</v>
      </c>
      <c r="L659">
        <v>0</v>
      </c>
      <c r="M659">
        <v>1</v>
      </c>
      <c r="N659">
        <v>0</v>
      </c>
      <c r="O659" s="14">
        <f t="shared" si="31"/>
        <v>0</v>
      </c>
      <c r="P659">
        <f t="shared" si="30"/>
        <v>9.117888566880443E-2</v>
      </c>
      <c r="Q659">
        <f t="shared" si="32"/>
        <v>-9.5606998086197895E-2</v>
      </c>
    </row>
    <row r="660" spans="1:17" x14ac:dyDescent="0.4">
      <c r="A660">
        <v>658</v>
      </c>
      <c r="B660">
        <v>1</v>
      </c>
      <c r="C660">
        <v>1</v>
      </c>
      <c r="D660">
        <v>15.5</v>
      </c>
      <c r="E660">
        <v>32</v>
      </c>
      <c r="F660">
        <v>1</v>
      </c>
      <c r="G660">
        <v>0</v>
      </c>
      <c r="H660">
        <v>0</v>
      </c>
      <c r="I660">
        <v>1</v>
      </c>
      <c r="J660">
        <v>0</v>
      </c>
      <c r="K660">
        <v>1</v>
      </c>
      <c r="L660">
        <v>0</v>
      </c>
      <c r="M660">
        <v>1</v>
      </c>
      <c r="N660">
        <v>0</v>
      </c>
      <c r="O660" s="14">
        <f t="shared" si="31"/>
        <v>1</v>
      </c>
      <c r="P660">
        <f t="shared" si="30"/>
        <v>0.5614152450910801</v>
      </c>
      <c r="Q660">
        <f t="shared" si="32"/>
        <v>-0.82420220213203532</v>
      </c>
    </row>
    <row r="661" spans="1:17" x14ac:dyDescent="0.4">
      <c r="A661">
        <v>659</v>
      </c>
      <c r="B661">
        <v>0</v>
      </c>
      <c r="C661">
        <v>0</v>
      </c>
      <c r="D661">
        <v>13</v>
      </c>
      <c r="E661">
        <v>23</v>
      </c>
      <c r="F661">
        <v>0</v>
      </c>
      <c r="G661">
        <v>0</v>
      </c>
      <c r="H661">
        <v>1</v>
      </c>
      <c r="I661">
        <v>0</v>
      </c>
      <c r="J661">
        <v>1</v>
      </c>
      <c r="K661">
        <v>0</v>
      </c>
      <c r="L661">
        <v>0</v>
      </c>
      <c r="M661">
        <v>1</v>
      </c>
      <c r="N661">
        <v>0</v>
      </c>
      <c r="O661" s="14">
        <f t="shared" si="31"/>
        <v>0</v>
      </c>
      <c r="P661">
        <f t="shared" si="30"/>
        <v>0.29628443547828459</v>
      </c>
      <c r="Q661">
        <f t="shared" si="32"/>
        <v>-0.35138103213328165</v>
      </c>
    </row>
    <row r="662" spans="1:17" x14ac:dyDescent="0.4">
      <c r="A662">
        <v>660</v>
      </c>
      <c r="B662">
        <v>0</v>
      </c>
      <c r="C662">
        <v>2</v>
      </c>
      <c r="D662">
        <v>113.27500000000001</v>
      </c>
      <c r="E662">
        <v>58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0</v>
      </c>
      <c r="L662">
        <v>1</v>
      </c>
      <c r="M662">
        <v>1</v>
      </c>
      <c r="N662">
        <v>0</v>
      </c>
      <c r="O662" s="14">
        <f t="shared" si="31"/>
        <v>0</v>
      </c>
      <c r="P662">
        <f t="shared" si="30"/>
        <v>0.30770572666022805</v>
      </c>
      <c r="Q662">
        <f t="shared" si="32"/>
        <v>-0.36774416326683207</v>
      </c>
    </row>
    <row r="663" spans="1:17" x14ac:dyDescent="0.4">
      <c r="A663">
        <v>661</v>
      </c>
      <c r="B663">
        <v>2</v>
      </c>
      <c r="C663">
        <v>0</v>
      </c>
      <c r="D663">
        <v>133.65</v>
      </c>
      <c r="E663">
        <v>50</v>
      </c>
      <c r="F663">
        <v>0</v>
      </c>
      <c r="G663">
        <v>1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1</v>
      </c>
      <c r="N663">
        <v>1</v>
      </c>
      <c r="O663" s="14">
        <f t="shared" si="31"/>
        <v>0</v>
      </c>
      <c r="P663">
        <f t="shared" si="30"/>
        <v>0.20636303836517719</v>
      </c>
      <c r="Q663">
        <f t="shared" si="32"/>
        <v>-1.578118339099148</v>
      </c>
    </row>
    <row r="664" spans="1:17" x14ac:dyDescent="0.4">
      <c r="A664">
        <v>662</v>
      </c>
      <c r="B664">
        <v>0</v>
      </c>
      <c r="C664">
        <v>0</v>
      </c>
      <c r="D664">
        <v>7.2249999999999996</v>
      </c>
      <c r="E664">
        <v>40</v>
      </c>
      <c r="F664">
        <v>0</v>
      </c>
      <c r="G664">
        <v>0</v>
      </c>
      <c r="H664">
        <v>0</v>
      </c>
      <c r="I664">
        <v>1</v>
      </c>
      <c r="J664">
        <v>0</v>
      </c>
      <c r="K664">
        <v>0</v>
      </c>
      <c r="L664">
        <v>1</v>
      </c>
      <c r="M664">
        <v>1</v>
      </c>
      <c r="N664">
        <v>0</v>
      </c>
      <c r="O664" s="14">
        <f t="shared" si="31"/>
        <v>0</v>
      </c>
      <c r="P664">
        <f t="shared" si="30"/>
        <v>8.8801158087896667E-2</v>
      </c>
      <c r="Q664">
        <f t="shared" si="32"/>
        <v>-9.2994137798059109E-2</v>
      </c>
    </row>
    <row r="665" spans="1:17" x14ac:dyDescent="0.4">
      <c r="A665">
        <v>663</v>
      </c>
      <c r="B665">
        <v>0</v>
      </c>
      <c r="C665">
        <v>0</v>
      </c>
      <c r="D665">
        <v>25.587499999999999</v>
      </c>
      <c r="E665">
        <v>47</v>
      </c>
      <c r="F665">
        <v>0</v>
      </c>
      <c r="G665">
        <v>1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1</v>
      </c>
      <c r="N665">
        <v>0</v>
      </c>
      <c r="O665" s="14">
        <f t="shared" si="31"/>
        <v>0</v>
      </c>
      <c r="P665">
        <f t="shared" si="30"/>
        <v>0.30147731342661827</v>
      </c>
      <c r="Q665">
        <f t="shared" si="32"/>
        <v>-0.35878762182417384</v>
      </c>
    </row>
    <row r="666" spans="1:17" x14ac:dyDescent="0.4">
      <c r="A666">
        <v>664</v>
      </c>
      <c r="B666">
        <v>0</v>
      </c>
      <c r="C666">
        <v>0</v>
      </c>
      <c r="D666">
        <v>7.4958</v>
      </c>
      <c r="E666">
        <v>36</v>
      </c>
      <c r="F666">
        <v>0</v>
      </c>
      <c r="G666">
        <v>0</v>
      </c>
      <c r="H666">
        <v>0</v>
      </c>
      <c r="I666">
        <v>1</v>
      </c>
      <c r="J666">
        <v>1</v>
      </c>
      <c r="K666">
        <v>0</v>
      </c>
      <c r="L666">
        <v>0</v>
      </c>
      <c r="M666">
        <v>1</v>
      </c>
      <c r="N666">
        <v>0</v>
      </c>
      <c r="O666" s="14">
        <f t="shared" si="31"/>
        <v>0</v>
      </c>
      <c r="P666">
        <f t="shared" si="30"/>
        <v>6.8595655756424886E-2</v>
      </c>
      <c r="Q666">
        <f t="shared" si="32"/>
        <v>-7.1061784236475745E-2</v>
      </c>
    </row>
    <row r="667" spans="1:17" x14ac:dyDescent="0.4">
      <c r="A667">
        <v>665</v>
      </c>
      <c r="B667">
        <v>1</v>
      </c>
      <c r="C667">
        <v>0</v>
      </c>
      <c r="D667">
        <v>7.9249999999999998</v>
      </c>
      <c r="E667">
        <v>20</v>
      </c>
      <c r="F667">
        <v>0</v>
      </c>
      <c r="G667">
        <v>0</v>
      </c>
      <c r="H667">
        <v>0</v>
      </c>
      <c r="I667">
        <v>1</v>
      </c>
      <c r="J667">
        <v>1</v>
      </c>
      <c r="K667">
        <v>0</v>
      </c>
      <c r="L667">
        <v>0</v>
      </c>
      <c r="M667">
        <v>1</v>
      </c>
      <c r="N667">
        <v>1</v>
      </c>
      <c r="O667" s="14">
        <f t="shared" si="31"/>
        <v>0</v>
      </c>
      <c r="P667">
        <f t="shared" si="30"/>
        <v>9.0053506350878498E-2</v>
      </c>
      <c r="Q667">
        <f t="shared" si="32"/>
        <v>-2.407351270296147</v>
      </c>
    </row>
    <row r="668" spans="1:17" x14ac:dyDescent="0.4">
      <c r="A668">
        <v>666</v>
      </c>
      <c r="B668">
        <v>2</v>
      </c>
      <c r="C668">
        <v>0</v>
      </c>
      <c r="D668">
        <v>73.5</v>
      </c>
      <c r="E668">
        <v>32</v>
      </c>
      <c r="F668">
        <v>0</v>
      </c>
      <c r="G668">
        <v>0</v>
      </c>
      <c r="H668">
        <v>1</v>
      </c>
      <c r="I668">
        <v>0</v>
      </c>
      <c r="J668">
        <v>1</v>
      </c>
      <c r="K668">
        <v>0</v>
      </c>
      <c r="L668">
        <v>0</v>
      </c>
      <c r="M668">
        <v>1</v>
      </c>
      <c r="N668">
        <v>0</v>
      </c>
      <c r="O668" s="14">
        <f t="shared" si="31"/>
        <v>0</v>
      </c>
      <c r="P668">
        <f t="shared" si="30"/>
        <v>0.15262561066126462</v>
      </c>
      <c r="Q668">
        <f t="shared" si="32"/>
        <v>-0.16561266388182277</v>
      </c>
    </row>
    <row r="669" spans="1:17" x14ac:dyDescent="0.4">
      <c r="A669">
        <v>667</v>
      </c>
      <c r="B669">
        <v>0</v>
      </c>
      <c r="C669">
        <v>0</v>
      </c>
      <c r="D669">
        <v>13</v>
      </c>
      <c r="E669">
        <v>25</v>
      </c>
      <c r="F669">
        <v>0</v>
      </c>
      <c r="G669">
        <v>0</v>
      </c>
      <c r="H669">
        <v>1</v>
      </c>
      <c r="I669">
        <v>0</v>
      </c>
      <c r="J669">
        <v>1</v>
      </c>
      <c r="K669">
        <v>0</v>
      </c>
      <c r="L669">
        <v>0</v>
      </c>
      <c r="M669">
        <v>1</v>
      </c>
      <c r="N669">
        <v>0</v>
      </c>
      <c r="O669" s="14">
        <f t="shared" si="31"/>
        <v>0</v>
      </c>
      <c r="P669">
        <f t="shared" si="30"/>
        <v>0.28047527789571319</v>
      </c>
      <c r="Q669">
        <f t="shared" si="32"/>
        <v>-0.32916439312786339</v>
      </c>
    </row>
    <row r="670" spans="1:17" x14ac:dyDescent="0.4">
      <c r="A670">
        <v>668</v>
      </c>
      <c r="B670">
        <v>0</v>
      </c>
      <c r="C670">
        <v>0</v>
      </c>
      <c r="D670">
        <v>7.7750000000000004</v>
      </c>
      <c r="E670">
        <v>28</v>
      </c>
      <c r="F670">
        <v>0</v>
      </c>
      <c r="G670">
        <v>0</v>
      </c>
      <c r="H670">
        <v>0</v>
      </c>
      <c r="I670">
        <v>1</v>
      </c>
      <c r="J670">
        <v>1</v>
      </c>
      <c r="K670">
        <v>0</v>
      </c>
      <c r="L670">
        <v>0</v>
      </c>
      <c r="M670">
        <v>1</v>
      </c>
      <c r="N670">
        <v>0</v>
      </c>
      <c r="O670" s="14">
        <f t="shared" si="31"/>
        <v>0</v>
      </c>
      <c r="P670">
        <f t="shared" si="30"/>
        <v>9.1155478379431165E-2</v>
      </c>
      <c r="Q670">
        <f t="shared" si="32"/>
        <v>-9.5581242755941834E-2</v>
      </c>
    </row>
    <row r="671" spans="1:17" x14ac:dyDescent="0.4">
      <c r="A671">
        <v>669</v>
      </c>
      <c r="B671">
        <v>0</v>
      </c>
      <c r="C671">
        <v>0</v>
      </c>
      <c r="D671">
        <v>8.0500000000000007</v>
      </c>
      <c r="E671">
        <v>43</v>
      </c>
      <c r="F671">
        <v>0</v>
      </c>
      <c r="G671">
        <v>0</v>
      </c>
      <c r="H671">
        <v>0</v>
      </c>
      <c r="I671">
        <v>1</v>
      </c>
      <c r="J671">
        <v>1</v>
      </c>
      <c r="K671">
        <v>0</v>
      </c>
      <c r="L671">
        <v>0</v>
      </c>
      <c r="M671">
        <v>1</v>
      </c>
      <c r="N671">
        <v>0</v>
      </c>
      <c r="O671" s="14">
        <f t="shared" si="31"/>
        <v>0</v>
      </c>
      <c r="P671">
        <f t="shared" si="30"/>
        <v>5.3310056445616393E-2</v>
      </c>
      <c r="Q671">
        <f t="shared" si="32"/>
        <v>-5.478364853560852E-2</v>
      </c>
    </row>
    <row r="672" spans="1:17" x14ac:dyDescent="0.4">
      <c r="A672">
        <v>670</v>
      </c>
      <c r="B672">
        <v>1</v>
      </c>
      <c r="C672">
        <v>0</v>
      </c>
      <c r="D672">
        <v>52</v>
      </c>
      <c r="E672">
        <v>28</v>
      </c>
      <c r="F672">
        <v>1</v>
      </c>
      <c r="G672">
        <v>1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1</v>
      </c>
      <c r="N672">
        <v>1</v>
      </c>
      <c r="O672" s="14">
        <f t="shared" si="31"/>
        <v>1</v>
      </c>
      <c r="P672">
        <f t="shared" si="30"/>
        <v>0.91302618537262192</v>
      </c>
      <c r="Q672">
        <f t="shared" si="32"/>
        <v>-9.0990718215073055E-2</v>
      </c>
    </row>
    <row r="673" spans="1:17" x14ac:dyDescent="0.4">
      <c r="A673">
        <v>671</v>
      </c>
      <c r="B673">
        <v>1</v>
      </c>
      <c r="C673">
        <v>1</v>
      </c>
      <c r="D673">
        <v>39</v>
      </c>
      <c r="E673">
        <v>40</v>
      </c>
      <c r="F673">
        <v>1</v>
      </c>
      <c r="G673">
        <v>0</v>
      </c>
      <c r="H673">
        <v>1</v>
      </c>
      <c r="I673">
        <v>0</v>
      </c>
      <c r="J673">
        <v>1</v>
      </c>
      <c r="K673">
        <v>0</v>
      </c>
      <c r="L673">
        <v>0</v>
      </c>
      <c r="M673">
        <v>1</v>
      </c>
      <c r="N673">
        <v>1</v>
      </c>
      <c r="O673" s="14">
        <f t="shared" si="31"/>
        <v>1</v>
      </c>
      <c r="P673">
        <f t="shared" si="30"/>
        <v>0.69954526409242612</v>
      </c>
      <c r="Q673">
        <f t="shared" si="32"/>
        <v>-0.35732477776010729</v>
      </c>
    </row>
    <row r="674" spans="1:17" x14ac:dyDescent="0.4">
      <c r="A674">
        <v>672</v>
      </c>
      <c r="B674">
        <v>1</v>
      </c>
      <c r="C674">
        <v>0</v>
      </c>
      <c r="D674">
        <v>52</v>
      </c>
      <c r="E674">
        <v>31</v>
      </c>
      <c r="F674">
        <v>0</v>
      </c>
      <c r="G674">
        <v>1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1</v>
      </c>
      <c r="N674">
        <v>0</v>
      </c>
      <c r="O674" s="14">
        <f t="shared" si="31"/>
        <v>0</v>
      </c>
      <c r="P674">
        <f t="shared" si="30"/>
        <v>0.38130212069501918</v>
      </c>
      <c r="Q674">
        <f t="shared" si="32"/>
        <v>-0.48013820411394076</v>
      </c>
    </row>
    <row r="675" spans="1:17" x14ac:dyDescent="0.4">
      <c r="A675">
        <v>673</v>
      </c>
      <c r="B675">
        <v>0</v>
      </c>
      <c r="C675">
        <v>0</v>
      </c>
      <c r="D675">
        <v>10.5</v>
      </c>
      <c r="E675">
        <v>70</v>
      </c>
      <c r="F675">
        <v>0</v>
      </c>
      <c r="G675">
        <v>0</v>
      </c>
      <c r="H675">
        <v>1</v>
      </c>
      <c r="I675">
        <v>0</v>
      </c>
      <c r="J675">
        <v>1</v>
      </c>
      <c r="K675">
        <v>0</v>
      </c>
      <c r="L675">
        <v>0</v>
      </c>
      <c r="M675">
        <v>1</v>
      </c>
      <c r="N675">
        <v>0</v>
      </c>
      <c r="O675" s="14">
        <f t="shared" si="31"/>
        <v>0</v>
      </c>
      <c r="P675">
        <f t="shared" si="30"/>
        <v>6.4067936238581008E-2</v>
      </c>
      <c r="Q675">
        <f t="shared" si="32"/>
        <v>-6.6212386590181416E-2</v>
      </c>
    </row>
    <row r="676" spans="1:17" x14ac:dyDescent="0.4">
      <c r="A676">
        <v>674</v>
      </c>
      <c r="B676">
        <v>0</v>
      </c>
      <c r="C676">
        <v>0</v>
      </c>
      <c r="D676">
        <v>13</v>
      </c>
      <c r="E676">
        <v>31</v>
      </c>
      <c r="F676">
        <v>0</v>
      </c>
      <c r="G676">
        <v>0</v>
      </c>
      <c r="H676">
        <v>1</v>
      </c>
      <c r="I676">
        <v>0</v>
      </c>
      <c r="J676">
        <v>1</v>
      </c>
      <c r="K676">
        <v>0</v>
      </c>
      <c r="L676">
        <v>0</v>
      </c>
      <c r="M676">
        <v>1</v>
      </c>
      <c r="N676">
        <v>1</v>
      </c>
      <c r="O676" s="14">
        <f t="shared" si="31"/>
        <v>0</v>
      </c>
      <c r="P676">
        <f t="shared" si="30"/>
        <v>0.23626654843129932</v>
      </c>
      <c r="Q676">
        <f t="shared" si="32"/>
        <v>-1.4427946687913602</v>
      </c>
    </row>
    <row r="677" spans="1:17" x14ac:dyDescent="0.4">
      <c r="A677">
        <v>675</v>
      </c>
      <c r="B677">
        <v>0</v>
      </c>
      <c r="C677">
        <v>0</v>
      </c>
      <c r="D677">
        <v>0</v>
      </c>
      <c r="E677">
        <v>28</v>
      </c>
      <c r="F677">
        <v>0</v>
      </c>
      <c r="G677">
        <v>0</v>
      </c>
      <c r="H677">
        <v>1</v>
      </c>
      <c r="I677">
        <v>0</v>
      </c>
      <c r="J677">
        <v>1</v>
      </c>
      <c r="K677">
        <v>0</v>
      </c>
      <c r="L677">
        <v>0</v>
      </c>
      <c r="M677">
        <v>1</v>
      </c>
      <c r="N677">
        <v>0</v>
      </c>
      <c r="O677" s="14">
        <f t="shared" si="31"/>
        <v>0</v>
      </c>
      <c r="P677">
        <f t="shared" si="30"/>
        <v>0.25197925163314788</v>
      </c>
      <c r="Q677">
        <f t="shared" si="32"/>
        <v>-0.29032456293400521</v>
      </c>
    </row>
    <row r="678" spans="1:17" x14ac:dyDescent="0.4">
      <c r="A678">
        <v>676</v>
      </c>
      <c r="B678">
        <v>0</v>
      </c>
      <c r="C678">
        <v>0</v>
      </c>
      <c r="D678">
        <v>7.7750000000000004</v>
      </c>
      <c r="E678">
        <v>18</v>
      </c>
      <c r="F678">
        <v>0</v>
      </c>
      <c r="G678">
        <v>0</v>
      </c>
      <c r="H678">
        <v>0</v>
      </c>
      <c r="I678">
        <v>1</v>
      </c>
      <c r="J678">
        <v>1</v>
      </c>
      <c r="K678">
        <v>0</v>
      </c>
      <c r="L678">
        <v>0</v>
      </c>
      <c r="M678">
        <v>1</v>
      </c>
      <c r="N678">
        <v>0</v>
      </c>
      <c r="O678" s="14">
        <f t="shared" si="31"/>
        <v>0</v>
      </c>
      <c r="P678">
        <f t="shared" si="30"/>
        <v>0.12849265528895501</v>
      </c>
      <c r="Q678">
        <f t="shared" si="32"/>
        <v>-0.13753098639142949</v>
      </c>
    </row>
    <row r="679" spans="1:17" x14ac:dyDescent="0.4">
      <c r="A679">
        <v>677</v>
      </c>
      <c r="B679">
        <v>0</v>
      </c>
      <c r="C679">
        <v>0</v>
      </c>
      <c r="D679">
        <v>8.0500000000000007</v>
      </c>
      <c r="E679">
        <v>24.5</v>
      </c>
      <c r="F679">
        <v>0</v>
      </c>
      <c r="G679">
        <v>0</v>
      </c>
      <c r="H679">
        <v>0</v>
      </c>
      <c r="I679">
        <v>1</v>
      </c>
      <c r="J679">
        <v>1</v>
      </c>
      <c r="K679">
        <v>0</v>
      </c>
      <c r="L679">
        <v>0</v>
      </c>
      <c r="M679">
        <v>1</v>
      </c>
      <c r="N679">
        <v>0</v>
      </c>
      <c r="O679" s="14">
        <f t="shared" si="31"/>
        <v>0</v>
      </c>
      <c r="P679">
        <f t="shared" si="30"/>
        <v>0.10301864356512873</v>
      </c>
      <c r="Q679">
        <f t="shared" si="32"/>
        <v>-0.10872020149288229</v>
      </c>
    </row>
    <row r="680" spans="1:17" x14ac:dyDescent="0.4">
      <c r="A680">
        <v>678</v>
      </c>
      <c r="B680">
        <v>0</v>
      </c>
      <c r="C680">
        <v>0</v>
      </c>
      <c r="D680">
        <v>9.8416999999999994</v>
      </c>
      <c r="E680">
        <v>18</v>
      </c>
      <c r="F680">
        <v>1</v>
      </c>
      <c r="G680">
        <v>0</v>
      </c>
      <c r="H680">
        <v>0</v>
      </c>
      <c r="I680">
        <v>1</v>
      </c>
      <c r="J680">
        <v>1</v>
      </c>
      <c r="K680">
        <v>0</v>
      </c>
      <c r="L680">
        <v>0</v>
      </c>
      <c r="M680">
        <v>1</v>
      </c>
      <c r="N680">
        <v>1</v>
      </c>
      <c r="O680" s="14">
        <f t="shared" si="31"/>
        <v>1</v>
      </c>
      <c r="P680">
        <f t="shared" si="30"/>
        <v>0.69212798988784097</v>
      </c>
      <c r="Q680">
        <f t="shared" si="32"/>
        <v>-0.36798438398149014</v>
      </c>
    </row>
    <row r="681" spans="1:17" x14ac:dyDescent="0.4">
      <c r="A681">
        <v>679</v>
      </c>
      <c r="B681">
        <v>1</v>
      </c>
      <c r="C681">
        <v>6</v>
      </c>
      <c r="D681">
        <v>46.9</v>
      </c>
      <c r="E681">
        <v>43</v>
      </c>
      <c r="F681">
        <v>1</v>
      </c>
      <c r="G681">
        <v>0</v>
      </c>
      <c r="H681">
        <v>0</v>
      </c>
      <c r="I681">
        <v>1</v>
      </c>
      <c r="J681">
        <v>1</v>
      </c>
      <c r="K681">
        <v>0</v>
      </c>
      <c r="L681">
        <v>0</v>
      </c>
      <c r="M681">
        <v>1</v>
      </c>
      <c r="N681">
        <v>0</v>
      </c>
      <c r="O681" s="14">
        <f t="shared" si="31"/>
        <v>0</v>
      </c>
      <c r="P681">
        <f t="shared" si="30"/>
        <v>0.27919140121952357</v>
      </c>
      <c r="Q681">
        <f t="shared" si="32"/>
        <v>-0.32738164326349822</v>
      </c>
    </row>
    <row r="682" spans="1:17" x14ac:dyDescent="0.4">
      <c r="A682">
        <v>680</v>
      </c>
      <c r="B682">
        <v>0</v>
      </c>
      <c r="C682">
        <v>1</v>
      </c>
      <c r="D682">
        <v>512.32920000000001</v>
      </c>
      <c r="E682">
        <v>36</v>
      </c>
      <c r="F682">
        <v>0</v>
      </c>
      <c r="G682">
        <v>1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1</v>
      </c>
      <c r="N682">
        <v>1</v>
      </c>
      <c r="O682" s="14">
        <f t="shared" si="31"/>
        <v>1</v>
      </c>
      <c r="P682">
        <f t="shared" si="30"/>
        <v>0.74331959256763491</v>
      </c>
      <c r="Q682">
        <f t="shared" si="32"/>
        <v>-0.29662918870195853</v>
      </c>
    </row>
    <row r="683" spans="1:17" x14ac:dyDescent="0.4">
      <c r="A683">
        <v>681</v>
      </c>
      <c r="B683">
        <v>0</v>
      </c>
      <c r="C683">
        <v>0</v>
      </c>
      <c r="D683">
        <v>8.1374999999999993</v>
      </c>
      <c r="E683">
        <v>28</v>
      </c>
      <c r="F683">
        <v>1</v>
      </c>
      <c r="G683">
        <v>0</v>
      </c>
      <c r="H683">
        <v>0</v>
      </c>
      <c r="I683">
        <v>1</v>
      </c>
      <c r="J683">
        <v>0</v>
      </c>
      <c r="K683">
        <v>1</v>
      </c>
      <c r="L683">
        <v>0</v>
      </c>
      <c r="M683">
        <v>1</v>
      </c>
      <c r="N683">
        <v>0</v>
      </c>
      <c r="O683" s="14">
        <f t="shared" si="31"/>
        <v>1</v>
      </c>
      <c r="P683">
        <f t="shared" si="30"/>
        <v>0.68977785485216558</v>
      </c>
      <c r="Q683">
        <f t="shared" si="32"/>
        <v>-1.1704666408850821</v>
      </c>
    </row>
    <row r="684" spans="1:17" x14ac:dyDescent="0.4">
      <c r="A684">
        <v>682</v>
      </c>
      <c r="B684">
        <v>0</v>
      </c>
      <c r="C684">
        <v>0</v>
      </c>
      <c r="D684">
        <v>76.729200000000006</v>
      </c>
      <c r="E684">
        <v>27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1</v>
      </c>
      <c r="N684">
        <v>1</v>
      </c>
      <c r="O684" s="14">
        <f t="shared" si="31"/>
        <v>1</v>
      </c>
      <c r="P684">
        <f t="shared" si="30"/>
        <v>0.61885156016616327</v>
      </c>
      <c r="Q684">
        <f t="shared" si="32"/>
        <v>-0.47988984092606191</v>
      </c>
    </row>
    <row r="685" spans="1:17" x14ac:dyDescent="0.4">
      <c r="A685">
        <v>683</v>
      </c>
      <c r="B685">
        <v>0</v>
      </c>
      <c r="C685">
        <v>0</v>
      </c>
      <c r="D685">
        <v>9.2249999999999996</v>
      </c>
      <c r="E685">
        <v>20</v>
      </c>
      <c r="F685">
        <v>0</v>
      </c>
      <c r="G685">
        <v>0</v>
      </c>
      <c r="H685">
        <v>0</v>
      </c>
      <c r="I685">
        <v>1</v>
      </c>
      <c r="J685">
        <v>1</v>
      </c>
      <c r="K685">
        <v>0</v>
      </c>
      <c r="L685">
        <v>0</v>
      </c>
      <c r="M685">
        <v>1</v>
      </c>
      <c r="N685">
        <v>0</v>
      </c>
      <c r="O685" s="14">
        <f t="shared" si="31"/>
        <v>0</v>
      </c>
      <c r="P685">
        <f t="shared" si="30"/>
        <v>0.12046728802435461</v>
      </c>
      <c r="Q685">
        <f t="shared" si="32"/>
        <v>-0.12836452166374121</v>
      </c>
    </row>
    <row r="686" spans="1:17" x14ac:dyDescent="0.4">
      <c r="A686">
        <v>684</v>
      </c>
      <c r="B686">
        <v>5</v>
      </c>
      <c r="C686">
        <v>2</v>
      </c>
      <c r="D686">
        <v>46.9</v>
      </c>
      <c r="E686">
        <v>14</v>
      </c>
      <c r="F686">
        <v>0</v>
      </c>
      <c r="G686">
        <v>0</v>
      </c>
      <c r="H686">
        <v>0</v>
      </c>
      <c r="I686">
        <v>1</v>
      </c>
      <c r="J686">
        <v>1</v>
      </c>
      <c r="K686">
        <v>0</v>
      </c>
      <c r="L686">
        <v>0</v>
      </c>
      <c r="M686">
        <v>1</v>
      </c>
      <c r="N686">
        <v>0</v>
      </c>
      <c r="O686" s="14">
        <f t="shared" si="31"/>
        <v>0</v>
      </c>
      <c r="P686">
        <f t="shared" si="30"/>
        <v>3.0321201111378208E-2</v>
      </c>
      <c r="Q686">
        <f t="shared" si="32"/>
        <v>-3.0790397488433142E-2</v>
      </c>
    </row>
    <row r="687" spans="1:17" x14ac:dyDescent="0.4">
      <c r="A687">
        <v>685</v>
      </c>
      <c r="B687">
        <v>1</v>
      </c>
      <c r="C687">
        <v>1</v>
      </c>
      <c r="D687">
        <v>39</v>
      </c>
      <c r="E687">
        <v>60</v>
      </c>
      <c r="F687">
        <v>0</v>
      </c>
      <c r="G687">
        <v>0</v>
      </c>
      <c r="H687">
        <v>1</v>
      </c>
      <c r="I687">
        <v>0</v>
      </c>
      <c r="J687">
        <v>1</v>
      </c>
      <c r="K687">
        <v>0</v>
      </c>
      <c r="L687">
        <v>0</v>
      </c>
      <c r="M687">
        <v>1</v>
      </c>
      <c r="N687">
        <v>0</v>
      </c>
      <c r="O687" s="14">
        <f t="shared" si="31"/>
        <v>0</v>
      </c>
      <c r="P687">
        <f t="shared" si="30"/>
        <v>6.6298938692647122E-2</v>
      </c>
      <c r="Q687">
        <f t="shared" si="32"/>
        <v>-6.859895482443025E-2</v>
      </c>
    </row>
    <row r="688" spans="1:17" x14ac:dyDescent="0.4">
      <c r="A688">
        <v>686</v>
      </c>
      <c r="B688">
        <v>1</v>
      </c>
      <c r="C688">
        <v>2</v>
      </c>
      <c r="D688">
        <v>41.5792</v>
      </c>
      <c r="E688">
        <v>25</v>
      </c>
      <c r="F688">
        <v>0</v>
      </c>
      <c r="G688">
        <v>0</v>
      </c>
      <c r="H688">
        <v>1</v>
      </c>
      <c r="I688">
        <v>0</v>
      </c>
      <c r="J688">
        <v>0</v>
      </c>
      <c r="K688">
        <v>0</v>
      </c>
      <c r="L688">
        <v>1</v>
      </c>
      <c r="M688">
        <v>1</v>
      </c>
      <c r="N688">
        <v>0</v>
      </c>
      <c r="O688" s="14">
        <f t="shared" si="31"/>
        <v>0</v>
      </c>
      <c r="P688">
        <f t="shared" si="30"/>
        <v>0.27906971642606798</v>
      </c>
      <c r="Q688">
        <f t="shared" si="32"/>
        <v>-0.32721284044457755</v>
      </c>
    </row>
    <row r="689" spans="1:17" x14ac:dyDescent="0.4">
      <c r="A689">
        <v>687</v>
      </c>
      <c r="B689">
        <v>4</v>
      </c>
      <c r="C689">
        <v>1</v>
      </c>
      <c r="D689">
        <v>39.6875</v>
      </c>
      <c r="E689">
        <v>14</v>
      </c>
      <c r="F689">
        <v>0</v>
      </c>
      <c r="G689">
        <v>0</v>
      </c>
      <c r="H689">
        <v>0</v>
      </c>
      <c r="I689">
        <v>1</v>
      </c>
      <c r="J689">
        <v>1</v>
      </c>
      <c r="K689">
        <v>0</v>
      </c>
      <c r="L689">
        <v>0</v>
      </c>
      <c r="M689">
        <v>1</v>
      </c>
      <c r="N689">
        <v>0</v>
      </c>
      <c r="O689" s="14">
        <f t="shared" si="31"/>
        <v>0</v>
      </c>
      <c r="P689">
        <f t="shared" si="30"/>
        <v>4.4502122776571125E-2</v>
      </c>
      <c r="Q689">
        <f t="shared" si="32"/>
        <v>-4.5522736943807436E-2</v>
      </c>
    </row>
    <row r="690" spans="1:17" x14ac:dyDescent="0.4">
      <c r="A690">
        <v>688</v>
      </c>
      <c r="B690">
        <v>0</v>
      </c>
      <c r="C690">
        <v>0</v>
      </c>
      <c r="D690">
        <v>10.1708</v>
      </c>
      <c r="E690">
        <v>19</v>
      </c>
      <c r="F690">
        <v>0</v>
      </c>
      <c r="G690">
        <v>0</v>
      </c>
      <c r="H690">
        <v>0</v>
      </c>
      <c r="I690">
        <v>1</v>
      </c>
      <c r="J690">
        <v>1</v>
      </c>
      <c r="K690">
        <v>0</v>
      </c>
      <c r="L690">
        <v>0</v>
      </c>
      <c r="M690">
        <v>1</v>
      </c>
      <c r="N690">
        <v>0</v>
      </c>
      <c r="O690" s="14">
        <f t="shared" si="31"/>
        <v>0</v>
      </c>
      <c r="P690">
        <f t="shared" si="30"/>
        <v>0.12485078005529272</v>
      </c>
      <c r="Q690">
        <f t="shared" si="32"/>
        <v>-0.13336087008465189</v>
      </c>
    </row>
    <row r="691" spans="1:17" x14ac:dyDescent="0.4">
      <c r="A691">
        <v>689</v>
      </c>
      <c r="B691">
        <v>0</v>
      </c>
      <c r="C691">
        <v>0</v>
      </c>
      <c r="D691">
        <v>7.7957999999999998</v>
      </c>
      <c r="E691">
        <v>18</v>
      </c>
      <c r="F691">
        <v>0</v>
      </c>
      <c r="G691">
        <v>0</v>
      </c>
      <c r="H691">
        <v>0</v>
      </c>
      <c r="I691">
        <v>1</v>
      </c>
      <c r="J691">
        <v>1</v>
      </c>
      <c r="K691">
        <v>0</v>
      </c>
      <c r="L691">
        <v>0</v>
      </c>
      <c r="M691">
        <v>1</v>
      </c>
      <c r="N691">
        <v>0</v>
      </c>
      <c r="O691" s="14">
        <f t="shared" si="31"/>
        <v>0</v>
      </c>
      <c r="P691">
        <f t="shared" si="30"/>
        <v>0.12849810260030353</v>
      </c>
      <c r="Q691">
        <f t="shared" si="32"/>
        <v>-0.13753723685897373</v>
      </c>
    </row>
    <row r="692" spans="1:17" x14ac:dyDescent="0.4">
      <c r="A692">
        <v>690</v>
      </c>
      <c r="B692">
        <v>0</v>
      </c>
      <c r="C692">
        <v>1</v>
      </c>
      <c r="D692">
        <v>211.33750000000001</v>
      </c>
      <c r="E692">
        <v>15</v>
      </c>
      <c r="F692">
        <v>1</v>
      </c>
      <c r="G692">
        <v>1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1</v>
      </c>
      <c r="N692">
        <v>1</v>
      </c>
      <c r="O692" s="14">
        <f t="shared" si="31"/>
        <v>1</v>
      </c>
      <c r="P692">
        <f t="shared" si="30"/>
        <v>0.96932610405446218</v>
      </c>
      <c r="Q692">
        <f t="shared" si="32"/>
        <v>-3.1154187015230057E-2</v>
      </c>
    </row>
    <row r="693" spans="1:17" x14ac:dyDescent="0.4">
      <c r="A693">
        <v>691</v>
      </c>
      <c r="B693">
        <v>1</v>
      </c>
      <c r="C693">
        <v>0</v>
      </c>
      <c r="D693">
        <v>57</v>
      </c>
      <c r="E693">
        <v>31</v>
      </c>
      <c r="F693">
        <v>0</v>
      </c>
      <c r="G693">
        <v>1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1</v>
      </c>
      <c r="N693">
        <v>1</v>
      </c>
      <c r="O693" s="14">
        <f t="shared" si="31"/>
        <v>0</v>
      </c>
      <c r="P693">
        <f t="shared" si="30"/>
        <v>0.38406446466268451</v>
      </c>
      <c r="Q693">
        <f t="shared" si="32"/>
        <v>-0.95694486375838994</v>
      </c>
    </row>
    <row r="694" spans="1:17" x14ac:dyDescent="0.4">
      <c r="A694">
        <v>692</v>
      </c>
      <c r="B694">
        <v>0</v>
      </c>
      <c r="C694">
        <v>1</v>
      </c>
      <c r="D694">
        <v>13.416700000000001</v>
      </c>
      <c r="E694">
        <v>4</v>
      </c>
      <c r="F694">
        <v>1</v>
      </c>
      <c r="G694">
        <v>0</v>
      </c>
      <c r="H694">
        <v>0</v>
      </c>
      <c r="I694">
        <v>1</v>
      </c>
      <c r="J694">
        <v>0</v>
      </c>
      <c r="K694">
        <v>0</v>
      </c>
      <c r="L694">
        <v>1</v>
      </c>
      <c r="M694">
        <v>1</v>
      </c>
      <c r="N694">
        <v>1</v>
      </c>
      <c r="O694" s="14">
        <f t="shared" si="31"/>
        <v>1</v>
      </c>
      <c r="P694">
        <f t="shared" si="30"/>
        <v>0.84544092661330161</v>
      </c>
      <c r="Q694">
        <f t="shared" si="32"/>
        <v>-0.16789698107574802</v>
      </c>
    </row>
    <row r="695" spans="1:17" x14ac:dyDescent="0.4">
      <c r="A695">
        <v>693</v>
      </c>
      <c r="B695">
        <v>0</v>
      </c>
      <c r="C695">
        <v>0</v>
      </c>
      <c r="D695">
        <v>56.495800000000003</v>
      </c>
      <c r="E695">
        <v>28</v>
      </c>
      <c r="F695">
        <v>0</v>
      </c>
      <c r="G695">
        <v>0</v>
      </c>
      <c r="H695">
        <v>0</v>
      </c>
      <c r="I695">
        <v>1</v>
      </c>
      <c r="J695">
        <v>1</v>
      </c>
      <c r="K695">
        <v>0</v>
      </c>
      <c r="L695">
        <v>0</v>
      </c>
      <c r="M695">
        <v>1</v>
      </c>
      <c r="N695">
        <v>1</v>
      </c>
      <c r="O695" s="14">
        <f t="shared" si="31"/>
        <v>0</v>
      </c>
      <c r="P695">
        <f t="shared" si="30"/>
        <v>0.10104495854089617</v>
      </c>
      <c r="Q695">
        <f t="shared" si="32"/>
        <v>-2.2921897271153777</v>
      </c>
    </row>
    <row r="696" spans="1:17" x14ac:dyDescent="0.4">
      <c r="A696">
        <v>694</v>
      </c>
      <c r="B696">
        <v>0</v>
      </c>
      <c r="C696">
        <v>0</v>
      </c>
      <c r="D696">
        <v>7.2249999999999996</v>
      </c>
      <c r="E696">
        <v>25</v>
      </c>
      <c r="F696">
        <v>0</v>
      </c>
      <c r="G696">
        <v>0</v>
      </c>
      <c r="H696">
        <v>0</v>
      </c>
      <c r="I696">
        <v>1</v>
      </c>
      <c r="J696">
        <v>0</v>
      </c>
      <c r="K696">
        <v>0</v>
      </c>
      <c r="L696">
        <v>1</v>
      </c>
      <c r="M696">
        <v>1</v>
      </c>
      <c r="N696">
        <v>0</v>
      </c>
      <c r="O696" s="14">
        <f t="shared" si="31"/>
        <v>0</v>
      </c>
      <c r="P696">
        <f t="shared" si="30"/>
        <v>0.14798677725129866</v>
      </c>
      <c r="Q696">
        <f t="shared" si="32"/>
        <v>-0.16015323261514974</v>
      </c>
    </row>
    <row r="697" spans="1:17" x14ac:dyDescent="0.4">
      <c r="A697">
        <v>695</v>
      </c>
      <c r="B697">
        <v>0</v>
      </c>
      <c r="C697">
        <v>0</v>
      </c>
      <c r="D697">
        <v>26.55</v>
      </c>
      <c r="E697">
        <v>60</v>
      </c>
      <c r="F697">
        <v>0</v>
      </c>
      <c r="G697">
        <v>1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1</v>
      </c>
      <c r="N697">
        <v>0</v>
      </c>
      <c r="O697" s="14">
        <f t="shared" si="31"/>
        <v>0</v>
      </c>
      <c r="P697">
        <f t="shared" si="30"/>
        <v>0.20769869451330175</v>
      </c>
      <c r="Q697">
        <f t="shared" si="32"/>
        <v>-0.232813523294643</v>
      </c>
    </row>
    <row r="698" spans="1:17" x14ac:dyDescent="0.4">
      <c r="A698">
        <v>696</v>
      </c>
      <c r="B698">
        <v>0</v>
      </c>
      <c r="C698">
        <v>0</v>
      </c>
      <c r="D698">
        <v>13.5</v>
      </c>
      <c r="E698">
        <v>52</v>
      </c>
      <c r="F698">
        <v>0</v>
      </c>
      <c r="G698">
        <v>0</v>
      </c>
      <c r="H698">
        <v>1</v>
      </c>
      <c r="I698">
        <v>0</v>
      </c>
      <c r="J698">
        <v>1</v>
      </c>
      <c r="K698">
        <v>0</v>
      </c>
      <c r="L698">
        <v>0</v>
      </c>
      <c r="M698">
        <v>1</v>
      </c>
      <c r="N698">
        <v>0</v>
      </c>
      <c r="O698" s="14">
        <f t="shared" si="31"/>
        <v>0</v>
      </c>
      <c r="P698">
        <f t="shared" si="30"/>
        <v>0.12119905069504262</v>
      </c>
      <c r="Q698">
        <f t="shared" si="32"/>
        <v>-0.12919685824359292</v>
      </c>
    </row>
    <row r="699" spans="1:17" x14ac:dyDescent="0.4">
      <c r="A699">
        <v>697</v>
      </c>
      <c r="B699">
        <v>0</v>
      </c>
      <c r="C699">
        <v>0</v>
      </c>
      <c r="D699">
        <v>8.0500000000000007</v>
      </c>
      <c r="E699">
        <v>44</v>
      </c>
      <c r="F699">
        <v>0</v>
      </c>
      <c r="G699">
        <v>0</v>
      </c>
      <c r="H699">
        <v>0</v>
      </c>
      <c r="I699">
        <v>1</v>
      </c>
      <c r="J699">
        <v>1</v>
      </c>
      <c r="K699">
        <v>0</v>
      </c>
      <c r="L699">
        <v>0</v>
      </c>
      <c r="M699">
        <v>1</v>
      </c>
      <c r="N699">
        <v>0</v>
      </c>
      <c r="O699" s="14">
        <f t="shared" si="31"/>
        <v>0</v>
      </c>
      <c r="P699">
        <f t="shared" si="30"/>
        <v>5.1398874261905036E-2</v>
      </c>
      <c r="Q699">
        <f t="shared" si="32"/>
        <v>-5.2766878803016892E-2</v>
      </c>
    </row>
    <row r="700" spans="1:17" x14ac:dyDescent="0.4">
      <c r="A700">
        <v>698</v>
      </c>
      <c r="B700">
        <v>0</v>
      </c>
      <c r="C700">
        <v>0</v>
      </c>
      <c r="D700">
        <v>7.7332999999999998</v>
      </c>
      <c r="E700">
        <v>28</v>
      </c>
      <c r="F700">
        <v>1</v>
      </c>
      <c r="G700">
        <v>0</v>
      </c>
      <c r="H700">
        <v>0</v>
      </c>
      <c r="I700">
        <v>1</v>
      </c>
      <c r="J700">
        <v>0</v>
      </c>
      <c r="K700">
        <v>1</v>
      </c>
      <c r="L700">
        <v>0</v>
      </c>
      <c r="M700">
        <v>1</v>
      </c>
      <c r="N700">
        <v>1</v>
      </c>
      <c r="O700" s="14">
        <f t="shared" si="31"/>
        <v>1</v>
      </c>
      <c r="P700">
        <f t="shared" si="30"/>
        <v>0.68957554459747161</v>
      </c>
      <c r="Q700">
        <f t="shared" si="32"/>
        <v>-0.37167902343220666</v>
      </c>
    </row>
    <row r="701" spans="1:17" x14ac:dyDescent="0.4">
      <c r="A701">
        <v>699</v>
      </c>
      <c r="B701">
        <v>1</v>
      </c>
      <c r="C701">
        <v>1</v>
      </c>
      <c r="D701">
        <v>110.88330000000001</v>
      </c>
      <c r="E701">
        <v>49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1</v>
      </c>
      <c r="N701">
        <v>0</v>
      </c>
      <c r="O701" s="14">
        <f t="shared" si="31"/>
        <v>0</v>
      </c>
      <c r="P701">
        <f t="shared" si="30"/>
        <v>0.33218928754991911</v>
      </c>
      <c r="Q701">
        <f t="shared" si="32"/>
        <v>-0.40375051019651148</v>
      </c>
    </row>
    <row r="702" spans="1:17" x14ac:dyDescent="0.4">
      <c r="A702">
        <v>700</v>
      </c>
      <c r="B702">
        <v>0</v>
      </c>
      <c r="C702">
        <v>0</v>
      </c>
      <c r="D702">
        <v>7.65</v>
      </c>
      <c r="E702">
        <v>42</v>
      </c>
      <c r="F702">
        <v>0</v>
      </c>
      <c r="G702">
        <v>0</v>
      </c>
      <c r="H702">
        <v>0</v>
      </c>
      <c r="I702">
        <v>1</v>
      </c>
      <c r="J702">
        <v>1</v>
      </c>
      <c r="K702">
        <v>0</v>
      </c>
      <c r="L702">
        <v>0</v>
      </c>
      <c r="M702">
        <v>1</v>
      </c>
      <c r="N702">
        <v>0</v>
      </c>
      <c r="O702" s="14">
        <f t="shared" si="31"/>
        <v>0</v>
      </c>
      <c r="P702">
        <f t="shared" si="30"/>
        <v>5.5239321240977045E-2</v>
      </c>
      <c r="Q702">
        <f t="shared" si="32"/>
        <v>-5.6823633552040204E-2</v>
      </c>
    </row>
    <row r="703" spans="1:17" x14ac:dyDescent="0.4">
      <c r="A703">
        <v>701</v>
      </c>
      <c r="B703">
        <v>1</v>
      </c>
      <c r="C703">
        <v>0</v>
      </c>
      <c r="D703">
        <v>227.52500000000001</v>
      </c>
      <c r="E703">
        <v>18</v>
      </c>
      <c r="F703">
        <v>1</v>
      </c>
      <c r="G703">
        <v>1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1</v>
      </c>
      <c r="N703">
        <v>1</v>
      </c>
      <c r="O703" s="14">
        <f t="shared" si="31"/>
        <v>1</v>
      </c>
      <c r="P703">
        <f t="shared" si="30"/>
        <v>0.97292611719700606</v>
      </c>
      <c r="Q703">
        <f t="shared" si="32"/>
        <v>-2.744713267301499E-2</v>
      </c>
    </row>
    <row r="704" spans="1:17" x14ac:dyDescent="0.4">
      <c r="A704">
        <v>702</v>
      </c>
      <c r="B704">
        <v>0</v>
      </c>
      <c r="C704">
        <v>0</v>
      </c>
      <c r="D704">
        <v>26.287500000000001</v>
      </c>
      <c r="E704">
        <v>35</v>
      </c>
      <c r="F704">
        <v>0</v>
      </c>
      <c r="G704">
        <v>1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1</v>
      </c>
      <c r="N704">
        <v>1</v>
      </c>
      <c r="O704" s="14">
        <f t="shared" si="31"/>
        <v>0</v>
      </c>
      <c r="P704">
        <f t="shared" si="30"/>
        <v>0.40701236442024613</v>
      </c>
      <c r="Q704">
        <f t="shared" si="32"/>
        <v>-0.89891171459006292</v>
      </c>
    </row>
    <row r="705" spans="1:17" x14ac:dyDescent="0.4">
      <c r="A705">
        <v>703</v>
      </c>
      <c r="B705">
        <v>0</v>
      </c>
      <c r="C705">
        <v>1</v>
      </c>
      <c r="D705">
        <v>14.4542</v>
      </c>
      <c r="E705">
        <v>18</v>
      </c>
      <c r="F705">
        <v>1</v>
      </c>
      <c r="G705">
        <v>0</v>
      </c>
      <c r="H705">
        <v>0</v>
      </c>
      <c r="I705">
        <v>1</v>
      </c>
      <c r="J705">
        <v>0</v>
      </c>
      <c r="K705">
        <v>0</v>
      </c>
      <c r="L705">
        <v>1</v>
      </c>
      <c r="M705">
        <v>1</v>
      </c>
      <c r="N705">
        <v>0</v>
      </c>
      <c r="O705" s="14">
        <f t="shared" si="31"/>
        <v>1</v>
      </c>
      <c r="P705">
        <f t="shared" si="30"/>
        <v>0.76175971579568147</v>
      </c>
      <c r="Q705">
        <f t="shared" si="32"/>
        <v>-1.4344755171143151</v>
      </c>
    </row>
    <row r="706" spans="1:17" x14ac:dyDescent="0.4">
      <c r="A706">
        <v>704</v>
      </c>
      <c r="B706">
        <v>0</v>
      </c>
      <c r="C706">
        <v>0</v>
      </c>
      <c r="D706">
        <v>7.7416999999999998</v>
      </c>
      <c r="E706">
        <v>25</v>
      </c>
      <c r="F706">
        <v>0</v>
      </c>
      <c r="G706">
        <v>0</v>
      </c>
      <c r="H706">
        <v>0</v>
      </c>
      <c r="I706">
        <v>1</v>
      </c>
      <c r="J706">
        <v>0</v>
      </c>
      <c r="K706">
        <v>1</v>
      </c>
      <c r="L706">
        <v>0</v>
      </c>
      <c r="M706">
        <v>1</v>
      </c>
      <c r="N706">
        <v>0</v>
      </c>
      <c r="O706" s="14">
        <f t="shared" si="31"/>
        <v>0</v>
      </c>
      <c r="P706">
        <f t="shared" si="30"/>
        <v>0.14113749903540884</v>
      </c>
      <c r="Q706">
        <f t="shared" si="32"/>
        <v>-0.15214643853598531</v>
      </c>
    </row>
    <row r="707" spans="1:17" x14ac:dyDescent="0.4">
      <c r="A707">
        <v>705</v>
      </c>
      <c r="B707">
        <v>1</v>
      </c>
      <c r="C707">
        <v>0</v>
      </c>
      <c r="D707">
        <v>7.8541999999999996</v>
      </c>
      <c r="E707">
        <v>26</v>
      </c>
      <c r="F707">
        <v>0</v>
      </c>
      <c r="G707">
        <v>0</v>
      </c>
      <c r="H707">
        <v>0</v>
      </c>
      <c r="I707">
        <v>1</v>
      </c>
      <c r="J707">
        <v>1</v>
      </c>
      <c r="K707">
        <v>0</v>
      </c>
      <c r="L707">
        <v>0</v>
      </c>
      <c r="M707">
        <v>1</v>
      </c>
      <c r="N707">
        <v>0</v>
      </c>
      <c r="O707" s="14">
        <f t="shared" si="31"/>
        <v>0</v>
      </c>
      <c r="P707">
        <f t="shared" ref="P707:P770" si="33">1/(1+EXP(-SUMPRODUCT(B$1:M$1,B707:M707)))</f>
        <v>7.281033081589372E-2</v>
      </c>
      <c r="Q707">
        <f t="shared" si="32"/>
        <v>-7.5597128968509314E-2</v>
      </c>
    </row>
    <row r="708" spans="1:17" x14ac:dyDescent="0.4">
      <c r="A708">
        <v>706</v>
      </c>
      <c r="B708">
        <v>0</v>
      </c>
      <c r="C708">
        <v>0</v>
      </c>
      <c r="D708">
        <v>26</v>
      </c>
      <c r="E708">
        <v>39</v>
      </c>
      <c r="F708">
        <v>0</v>
      </c>
      <c r="G708">
        <v>0</v>
      </c>
      <c r="H708">
        <v>1</v>
      </c>
      <c r="I708">
        <v>0</v>
      </c>
      <c r="J708">
        <v>1</v>
      </c>
      <c r="K708">
        <v>0</v>
      </c>
      <c r="L708">
        <v>0</v>
      </c>
      <c r="M708">
        <v>1</v>
      </c>
      <c r="N708">
        <v>0</v>
      </c>
      <c r="O708" s="14">
        <f t="shared" ref="O708:O771" si="34">IF(P708&gt;0.5,1,0)</f>
        <v>0</v>
      </c>
      <c r="P708">
        <f t="shared" si="33"/>
        <v>0.18983849348843695</v>
      </c>
      <c r="Q708">
        <f t="shared" ref="Q708:Q771" si="35">N708*LN(P708)+(1-N708)*LN(1-P708)</f>
        <v>-0.21052166043633111</v>
      </c>
    </row>
    <row r="709" spans="1:17" x14ac:dyDescent="0.4">
      <c r="A709">
        <v>707</v>
      </c>
      <c r="B709">
        <v>0</v>
      </c>
      <c r="C709">
        <v>0</v>
      </c>
      <c r="D709">
        <v>13.5</v>
      </c>
      <c r="E709">
        <v>45</v>
      </c>
      <c r="F709">
        <v>1</v>
      </c>
      <c r="G709">
        <v>0</v>
      </c>
      <c r="H709">
        <v>1</v>
      </c>
      <c r="I709">
        <v>0</v>
      </c>
      <c r="J709">
        <v>1</v>
      </c>
      <c r="K709">
        <v>0</v>
      </c>
      <c r="L709">
        <v>0</v>
      </c>
      <c r="M709">
        <v>1</v>
      </c>
      <c r="N709">
        <v>1</v>
      </c>
      <c r="O709" s="14">
        <f t="shared" si="34"/>
        <v>1</v>
      </c>
      <c r="P709">
        <f t="shared" si="33"/>
        <v>0.73265996072863482</v>
      </c>
      <c r="Q709">
        <f t="shared" si="35"/>
        <v>-0.31107358551023018</v>
      </c>
    </row>
    <row r="710" spans="1:17" x14ac:dyDescent="0.4">
      <c r="A710">
        <v>708</v>
      </c>
      <c r="B710">
        <v>0</v>
      </c>
      <c r="C710">
        <v>0</v>
      </c>
      <c r="D710">
        <v>26.287500000000001</v>
      </c>
      <c r="E710">
        <v>42</v>
      </c>
      <c r="F710">
        <v>0</v>
      </c>
      <c r="G710">
        <v>1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1</v>
      </c>
      <c r="N710">
        <v>1</v>
      </c>
      <c r="O710" s="14">
        <f t="shared" si="34"/>
        <v>0</v>
      </c>
      <c r="P710">
        <f t="shared" si="33"/>
        <v>0.34388959713191503</v>
      </c>
      <c r="Q710">
        <f t="shared" si="35"/>
        <v>-1.0674346116905578</v>
      </c>
    </row>
    <row r="711" spans="1:17" x14ac:dyDescent="0.4">
      <c r="A711">
        <v>709</v>
      </c>
      <c r="B711">
        <v>0</v>
      </c>
      <c r="C711">
        <v>0</v>
      </c>
      <c r="D711">
        <v>151.55000000000001</v>
      </c>
      <c r="E711">
        <v>22</v>
      </c>
      <c r="F711">
        <v>1</v>
      </c>
      <c r="G711">
        <v>1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1</v>
      </c>
      <c r="N711">
        <v>1</v>
      </c>
      <c r="O711" s="14">
        <f t="shared" si="34"/>
        <v>1</v>
      </c>
      <c r="P711">
        <f t="shared" si="33"/>
        <v>0.95839541856578392</v>
      </c>
      <c r="Q711">
        <f t="shared" si="35"/>
        <v>-4.2494831926843654E-2</v>
      </c>
    </row>
    <row r="712" spans="1:17" x14ac:dyDescent="0.4">
      <c r="A712">
        <v>710</v>
      </c>
      <c r="B712">
        <v>1</v>
      </c>
      <c r="C712">
        <v>1</v>
      </c>
      <c r="D712">
        <v>15.245799999999999</v>
      </c>
      <c r="E712">
        <v>28</v>
      </c>
      <c r="F712">
        <v>0</v>
      </c>
      <c r="G712">
        <v>0</v>
      </c>
      <c r="H712">
        <v>0</v>
      </c>
      <c r="I712">
        <v>1</v>
      </c>
      <c r="J712">
        <v>0</v>
      </c>
      <c r="K712">
        <v>0</v>
      </c>
      <c r="L712">
        <v>1</v>
      </c>
      <c r="M712">
        <v>1</v>
      </c>
      <c r="N712">
        <v>1</v>
      </c>
      <c r="O712" s="14">
        <f t="shared" si="34"/>
        <v>0</v>
      </c>
      <c r="P712">
        <f t="shared" si="33"/>
        <v>9.4269224453440062E-2</v>
      </c>
      <c r="Q712">
        <f t="shared" si="35"/>
        <v>-2.3616005004728806</v>
      </c>
    </row>
    <row r="713" spans="1:17" x14ac:dyDescent="0.4">
      <c r="A713">
        <v>711</v>
      </c>
      <c r="B713">
        <v>0</v>
      </c>
      <c r="C713">
        <v>0</v>
      </c>
      <c r="D713">
        <v>49.504199999999997</v>
      </c>
      <c r="E713">
        <v>24</v>
      </c>
      <c r="F713">
        <v>1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1</v>
      </c>
      <c r="N713">
        <v>1</v>
      </c>
      <c r="O713" s="14">
        <f t="shared" si="34"/>
        <v>1</v>
      </c>
      <c r="P713">
        <f t="shared" si="33"/>
        <v>0.96289489942397921</v>
      </c>
      <c r="Q713">
        <f t="shared" si="35"/>
        <v>-3.7811011848298791E-2</v>
      </c>
    </row>
    <row r="714" spans="1:17" x14ac:dyDescent="0.4">
      <c r="A714">
        <v>712</v>
      </c>
      <c r="B714">
        <v>0</v>
      </c>
      <c r="C714">
        <v>0</v>
      </c>
      <c r="D714">
        <v>26.55</v>
      </c>
      <c r="E714">
        <v>28</v>
      </c>
      <c r="F714">
        <v>0</v>
      </c>
      <c r="G714">
        <v>1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1</v>
      </c>
      <c r="N714">
        <v>0</v>
      </c>
      <c r="O714" s="14">
        <f t="shared" si="34"/>
        <v>0</v>
      </c>
      <c r="P714">
        <f t="shared" si="33"/>
        <v>0.47351539329993997</v>
      </c>
      <c r="Q714">
        <f t="shared" si="35"/>
        <v>-0.64153318487244038</v>
      </c>
    </row>
    <row r="715" spans="1:17" x14ac:dyDescent="0.4">
      <c r="A715">
        <v>713</v>
      </c>
      <c r="B715">
        <v>1</v>
      </c>
      <c r="C715">
        <v>0</v>
      </c>
      <c r="D715">
        <v>52</v>
      </c>
      <c r="E715">
        <v>48</v>
      </c>
      <c r="F715">
        <v>0</v>
      </c>
      <c r="G715">
        <v>1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1</v>
      </c>
      <c r="N715">
        <v>1</v>
      </c>
      <c r="O715" s="14">
        <f t="shared" si="34"/>
        <v>0</v>
      </c>
      <c r="P715">
        <f t="shared" si="33"/>
        <v>0.24251165980576994</v>
      </c>
      <c r="Q715">
        <f t="shared" si="35"/>
        <v>-1.4167054880872076</v>
      </c>
    </row>
    <row r="716" spans="1:17" x14ac:dyDescent="0.4">
      <c r="A716">
        <v>714</v>
      </c>
      <c r="B716">
        <v>0</v>
      </c>
      <c r="C716">
        <v>0</v>
      </c>
      <c r="D716">
        <v>9.4832999999999998</v>
      </c>
      <c r="E716">
        <v>29</v>
      </c>
      <c r="F716">
        <v>0</v>
      </c>
      <c r="G716">
        <v>0</v>
      </c>
      <c r="H716">
        <v>0</v>
      </c>
      <c r="I716">
        <v>1</v>
      </c>
      <c r="J716">
        <v>1</v>
      </c>
      <c r="K716">
        <v>0</v>
      </c>
      <c r="L716">
        <v>0</v>
      </c>
      <c r="M716">
        <v>1</v>
      </c>
      <c r="N716">
        <v>0</v>
      </c>
      <c r="O716" s="14">
        <f t="shared" si="34"/>
        <v>0</v>
      </c>
      <c r="P716">
        <f t="shared" si="33"/>
        <v>8.8334867382307655E-2</v>
      </c>
      <c r="Q716">
        <f t="shared" si="35"/>
        <v>-9.2482535481841585E-2</v>
      </c>
    </row>
    <row r="717" spans="1:17" x14ac:dyDescent="0.4">
      <c r="A717">
        <v>715</v>
      </c>
      <c r="B717">
        <v>0</v>
      </c>
      <c r="C717">
        <v>0</v>
      </c>
      <c r="D717">
        <v>13</v>
      </c>
      <c r="E717">
        <v>52</v>
      </c>
      <c r="F717">
        <v>0</v>
      </c>
      <c r="G717">
        <v>0</v>
      </c>
      <c r="H717">
        <v>1</v>
      </c>
      <c r="I717">
        <v>0</v>
      </c>
      <c r="J717">
        <v>1</v>
      </c>
      <c r="K717">
        <v>0</v>
      </c>
      <c r="L717">
        <v>0</v>
      </c>
      <c r="M717">
        <v>1</v>
      </c>
      <c r="N717">
        <v>0</v>
      </c>
      <c r="O717" s="14">
        <f t="shared" si="34"/>
        <v>0</v>
      </c>
      <c r="P717">
        <f t="shared" si="33"/>
        <v>0.12107456225420637</v>
      </c>
      <c r="Q717">
        <f t="shared" si="35"/>
        <v>-0.12905521112267412</v>
      </c>
    </row>
    <row r="718" spans="1:17" x14ac:dyDescent="0.4">
      <c r="A718">
        <v>716</v>
      </c>
      <c r="B718">
        <v>0</v>
      </c>
      <c r="C718">
        <v>0</v>
      </c>
      <c r="D718">
        <v>7.65</v>
      </c>
      <c r="E718">
        <v>19</v>
      </c>
      <c r="F718">
        <v>0</v>
      </c>
      <c r="G718">
        <v>0</v>
      </c>
      <c r="H718">
        <v>0</v>
      </c>
      <c r="I718">
        <v>1</v>
      </c>
      <c r="J718">
        <v>1</v>
      </c>
      <c r="K718">
        <v>0</v>
      </c>
      <c r="L718">
        <v>0</v>
      </c>
      <c r="M718">
        <v>1</v>
      </c>
      <c r="N718">
        <v>0</v>
      </c>
      <c r="O718" s="14">
        <f t="shared" si="34"/>
        <v>0</v>
      </c>
      <c r="P718">
        <f t="shared" si="33"/>
        <v>0.12420807347608863</v>
      </c>
      <c r="Q718">
        <f t="shared" si="35"/>
        <v>-0.13262674305889152</v>
      </c>
    </row>
    <row r="719" spans="1:17" x14ac:dyDescent="0.4">
      <c r="A719">
        <v>717</v>
      </c>
      <c r="B719">
        <v>0</v>
      </c>
      <c r="C719">
        <v>0</v>
      </c>
      <c r="D719">
        <v>227.52500000000001</v>
      </c>
      <c r="E719">
        <v>38</v>
      </c>
      <c r="F719">
        <v>1</v>
      </c>
      <c r="G719">
        <v>1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1</v>
      </c>
      <c r="N719">
        <v>1</v>
      </c>
      <c r="O719" s="14">
        <f t="shared" si="34"/>
        <v>1</v>
      </c>
      <c r="P719">
        <f t="shared" si="33"/>
        <v>0.9582399431649683</v>
      </c>
      <c r="Q719">
        <f t="shared" si="35"/>
        <v>-4.2657069777883035E-2</v>
      </c>
    </row>
    <row r="720" spans="1:17" x14ac:dyDescent="0.4">
      <c r="A720">
        <v>718</v>
      </c>
      <c r="B720">
        <v>0</v>
      </c>
      <c r="C720">
        <v>0</v>
      </c>
      <c r="D720">
        <v>10.5</v>
      </c>
      <c r="E720">
        <v>27</v>
      </c>
      <c r="F720">
        <v>1</v>
      </c>
      <c r="G720">
        <v>0</v>
      </c>
      <c r="H720">
        <v>1</v>
      </c>
      <c r="I720">
        <v>0</v>
      </c>
      <c r="J720">
        <v>1</v>
      </c>
      <c r="K720">
        <v>0</v>
      </c>
      <c r="L720">
        <v>0</v>
      </c>
      <c r="M720">
        <v>1</v>
      </c>
      <c r="N720">
        <v>1</v>
      </c>
      <c r="O720" s="14">
        <f t="shared" si="34"/>
        <v>1</v>
      </c>
      <c r="P720">
        <f t="shared" si="33"/>
        <v>0.844828565900688</v>
      </c>
      <c r="Q720">
        <f t="shared" si="35"/>
        <v>-0.16862155279891605</v>
      </c>
    </row>
    <row r="721" spans="1:17" x14ac:dyDescent="0.4">
      <c r="A721">
        <v>719</v>
      </c>
      <c r="B721">
        <v>0</v>
      </c>
      <c r="C721">
        <v>0</v>
      </c>
      <c r="D721">
        <v>15.5</v>
      </c>
      <c r="E721">
        <v>28</v>
      </c>
      <c r="F721">
        <v>0</v>
      </c>
      <c r="G721">
        <v>0</v>
      </c>
      <c r="H721">
        <v>0</v>
      </c>
      <c r="I721">
        <v>1</v>
      </c>
      <c r="J721">
        <v>0</v>
      </c>
      <c r="K721">
        <v>1</v>
      </c>
      <c r="L721">
        <v>0</v>
      </c>
      <c r="M721">
        <v>1</v>
      </c>
      <c r="N721">
        <v>0</v>
      </c>
      <c r="O721" s="14">
        <f t="shared" si="34"/>
        <v>0</v>
      </c>
      <c r="P721">
        <f t="shared" si="33"/>
        <v>0.12973465370662443</v>
      </c>
      <c r="Q721">
        <f t="shared" si="35"/>
        <v>-0.13895711809574104</v>
      </c>
    </row>
    <row r="722" spans="1:17" x14ac:dyDescent="0.4">
      <c r="A722">
        <v>720</v>
      </c>
      <c r="B722">
        <v>0</v>
      </c>
      <c r="C722">
        <v>0</v>
      </c>
      <c r="D722">
        <v>7.7750000000000004</v>
      </c>
      <c r="E722">
        <v>33</v>
      </c>
      <c r="F722">
        <v>0</v>
      </c>
      <c r="G722">
        <v>0</v>
      </c>
      <c r="H722">
        <v>0</v>
      </c>
      <c r="I722">
        <v>1</v>
      </c>
      <c r="J722">
        <v>1</v>
      </c>
      <c r="K722">
        <v>0</v>
      </c>
      <c r="L722">
        <v>0</v>
      </c>
      <c r="M722">
        <v>1</v>
      </c>
      <c r="N722">
        <v>0</v>
      </c>
      <c r="O722" s="14">
        <f t="shared" si="34"/>
        <v>0</v>
      </c>
      <c r="P722">
        <f t="shared" si="33"/>
        <v>7.6404340014144589E-2</v>
      </c>
      <c r="Q722">
        <f t="shared" si="35"/>
        <v>-7.948090053204955E-2</v>
      </c>
    </row>
    <row r="723" spans="1:17" x14ac:dyDescent="0.4">
      <c r="A723">
        <v>721</v>
      </c>
      <c r="B723">
        <v>0</v>
      </c>
      <c r="C723">
        <v>1</v>
      </c>
      <c r="D723">
        <v>33</v>
      </c>
      <c r="E723">
        <v>6</v>
      </c>
      <c r="F723">
        <v>1</v>
      </c>
      <c r="G723">
        <v>0</v>
      </c>
      <c r="H723">
        <v>1</v>
      </c>
      <c r="I723">
        <v>0</v>
      </c>
      <c r="J723">
        <v>1</v>
      </c>
      <c r="K723">
        <v>0</v>
      </c>
      <c r="L723">
        <v>0</v>
      </c>
      <c r="M723">
        <v>1</v>
      </c>
      <c r="N723">
        <v>1</v>
      </c>
      <c r="O723" s="14">
        <f t="shared" si="34"/>
        <v>1</v>
      </c>
      <c r="P723">
        <f t="shared" si="33"/>
        <v>0.92149950282923976</v>
      </c>
      <c r="Q723">
        <f t="shared" si="35"/>
        <v>-8.1753041395747267E-2</v>
      </c>
    </row>
    <row r="724" spans="1:17" x14ac:dyDescent="0.4">
      <c r="A724">
        <v>722</v>
      </c>
      <c r="B724">
        <v>1</v>
      </c>
      <c r="C724">
        <v>0</v>
      </c>
      <c r="D724">
        <v>7.0541999999999998</v>
      </c>
      <c r="E724">
        <v>17</v>
      </c>
      <c r="F724">
        <v>0</v>
      </c>
      <c r="G724">
        <v>0</v>
      </c>
      <c r="H724">
        <v>0</v>
      </c>
      <c r="I724">
        <v>1</v>
      </c>
      <c r="J724">
        <v>1</v>
      </c>
      <c r="K724">
        <v>0</v>
      </c>
      <c r="L724">
        <v>0</v>
      </c>
      <c r="M724">
        <v>1</v>
      </c>
      <c r="N724">
        <v>0</v>
      </c>
      <c r="O724" s="14">
        <f t="shared" si="34"/>
        <v>0</v>
      </c>
      <c r="P724">
        <f t="shared" si="33"/>
        <v>9.9800626456330532E-2</v>
      </c>
      <c r="Q724">
        <f t="shared" si="35"/>
        <v>-0.10513901403149009</v>
      </c>
    </row>
    <row r="725" spans="1:17" x14ac:dyDescent="0.4">
      <c r="A725">
        <v>723</v>
      </c>
      <c r="B725">
        <v>0</v>
      </c>
      <c r="C725">
        <v>0</v>
      </c>
      <c r="D725">
        <v>13</v>
      </c>
      <c r="E725">
        <v>34</v>
      </c>
      <c r="F725">
        <v>0</v>
      </c>
      <c r="G725">
        <v>0</v>
      </c>
      <c r="H725">
        <v>1</v>
      </c>
      <c r="I725">
        <v>0</v>
      </c>
      <c r="J725">
        <v>1</v>
      </c>
      <c r="K725">
        <v>0</v>
      </c>
      <c r="L725">
        <v>0</v>
      </c>
      <c r="M725">
        <v>1</v>
      </c>
      <c r="N725">
        <v>0</v>
      </c>
      <c r="O725" s="14">
        <f t="shared" si="34"/>
        <v>0</v>
      </c>
      <c r="P725">
        <f t="shared" si="33"/>
        <v>0.21605011545420041</v>
      </c>
      <c r="Q725">
        <f t="shared" si="35"/>
        <v>-0.24341018344809151</v>
      </c>
    </row>
    <row r="726" spans="1:17" x14ac:dyDescent="0.4">
      <c r="A726">
        <v>724</v>
      </c>
      <c r="B726">
        <v>0</v>
      </c>
      <c r="C726">
        <v>0</v>
      </c>
      <c r="D726">
        <v>13</v>
      </c>
      <c r="E726">
        <v>50</v>
      </c>
      <c r="F726">
        <v>0</v>
      </c>
      <c r="G726">
        <v>0</v>
      </c>
      <c r="H726">
        <v>1</v>
      </c>
      <c r="I726">
        <v>0</v>
      </c>
      <c r="J726">
        <v>1</v>
      </c>
      <c r="K726">
        <v>0</v>
      </c>
      <c r="L726">
        <v>0</v>
      </c>
      <c r="M726">
        <v>1</v>
      </c>
      <c r="N726">
        <v>0</v>
      </c>
      <c r="O726" s="14">
        <f t="shared" si="34"/>
        <v>0</v>
      </c>
      <c r="P726">
        <f t="shared" si="33"/>
        <v>0.12951627457836831</v>
      </c>
      <c r="Q726">
        <f t="shared" si="35"/>
        <v>-0.13870621561594074</v>
      </c>
    </row>
    <row r="727" spans="1:17" x14ac:dyDescent="0.4">
      <c r="A727">
        <v>725</v>
      </c>
      <c r="B727">
        <v>1</v>
      </c>
      <c r="C727">
        <v>0</v>
      </c>
      <c r="D727">
        <v>53.1</v>
      </c>
      <c r="E727">
        <v>27</v>
      </c>
      <c r="F727">
        <v>0</v>
      </c>
      <c r="G727">
        <v>1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1</v>
      </c>
      <c r="N727">
        <v>1</v>
      </c>
      <c r="O727" s="14">
        <f t="shared" si="34"/>
        <v>0</v>
      </c>
      <c r="P727">
        <f t="shared" si="33"/>
        <v>0.41888540284378778</v>
      </c>
      <c r="Q727">
        <f t="shared" si="35"/>
        <v>-0.8701578980345126</v>
      </c>
    </row>
    <row r="728" spans="1:17" x14ac:dyDescent="0.4">
      <c r="A728">
        <v>726</v>
      </c>
      <c r="B728">
        <v>0</v>
      </c>
      <c r="C728">
        <v>0</v>
      </c>
      <c r="D728">
        <v>8.6624999999999996</v>
      </c>
      <c r="E728">
        <v>20</v>
      </c>
      <c r="F728">
        <v>0</v>
      </c>
      <c r="G728">
        <v>0</v>
      </c>
      <c r="H728">
        <v>0</v>
      </c>
      <c r="I728">
        <v>1</v>
      </c>
      <c r="J728">
        <v>1</v>
      </c>
      <c r="K728">
        <v>0</v>
      </c>
      <c r="L728">
        <v>0</v>
      </c>
      <c r="M728">
        <v>1</v>
      </c>
      <c r="N728">
        <v>0</v>
      </c>
      <c r="O728" s="14">
        <f t="shared" si="34"/>
        <v>0</v>
      </c>
      <c r="P728">
        <f t="shared" si="33"/>
        <v>0.12032797603970147</v>
      </c>
      <c r="Q728">
        <f t="shared" si="35"/>
        <v>-0.1282061410249235</v>
      </c>
    </row>
    <row r="729" spans="1:17" x14ac:dyDescent="0.4">
      <c r="A729">
        <v>727</v>
      </c>
      <c r="B729">
        <v>3</v>
      </c>
      <c r="C729">
        <v>0</v>
      </c>
      <c r="D729">
        <v>21</v>
      </c>
      <c r="E729">
        <v>30</v>
      </c>
      <c r="F729">
        <v>1</v>
      </c>
      <c r="G729">
        <v>0</v>
      </c>
      <c r="H729">
        <v>1</v>
      </c>
      <c r="I729">
        <v>0</v>
      </c>
      <c r="J729">
        <v>1</v>
      </c>
      <c r="K729">
        <v>0</v>
      </c>
      <c r="L729">
        <v>0</v>
      </c>
      <c r="M729">
        <v>1</v>
      </c>
      <c r="N729">
        <v>1</v>
      </c>
      <c r="O729" s="14">
        <f t="shared" si="34"/>
        <v>1</v>
      </c>
      <c r="P729">
        <f t="shared" si="33"/>
        <v>0.6542548854335053</v>
      </c>
      <c r="Q729">
        <f t="shared" si="35"/>
        <v>-0.42425827037239378</v>
      </c>
    </row>
    <row r="730" spans="1:17" x14ac:dyDescent="0.4">
      <c r="A730">
        <v>728</v>
      </c>
      <c r="B730">
        <v>0</v>
      </c>
      <c r="C730">
        <v>0</v>
      </c>
      <c r="D730">
        <v>7.7374999999999998</v>
      </c>
      <c r="E730">
        <v>28</v>
      </c>
      <c r="F730">
        <v>1</v>
      </c>
      <c r="G730">
        <v>0</v>
      </c>
      <c r="H730">
        <v>0</v>
      </c>
      <c r="I730">
        <v>1</v>
      </c>
      <c r="J730">
        <v>0</v>
      </c>
      <c r="K730">
        <v>1</v>
      </c>
      <c r="L730">
        <v>0</v>
      </c>
      <c r="M730">
        <v>1</v>
      </c>
      <c r="N730">
        <v>1</v>
      </c>
      <c r="O730" s="14">
        <f t="shared" si="34"/>
        <v>1</v>
      </c>
      <c r="P730">
        <f t="shared" si="33"/>
        <v>0.68957764715516112</v>
      </c>
      <c r="Q730">
        <f t="shared" si="35"/>
        <v>-0.37167597437615968</v>
      </c>
    </row>
    <row r="731" spans="1:17" x14ac:dyDescent="0.4">
      <c r="A731">
        <v>729</v>
      </c>
      <c r="B731">
        <v>1</v>
      </c>
      <c r="C731">
        <v>0</v>
      </c>
      <c r="D731">
        <v>26</v>
      </c>
      <c r="E731">
        <v>25</v>
      </c>
      <c r="F731">
        <v>0</v>
      </c>
      <c r="G731">
        <v>0</v>
      </c>
      <c r="H731">
        <v>1</v>
      </c>
      <c r="I731">
        <v>0</v>
      </c>
      <c r="J731">
        <v>1</v>
      </c>
      <c r="K731">
        <v>0</v>
      </c>
      <c r="L731">
        <v>0</v>
      </c>
      <c r="M731">
        <v>1</v>
      </c>
      <c r="N731">
        <v>0</v>
      </c>
      <c r="O731" s="14">
        <f t="shared" si="34"/>
        <v>0</v>
      </c>
      <c r="P731">
        <f t="shared" si="33"/>
        <v>0.22554634482741009</v>
      </c>
      <c r="Q731">
        <f t="shared" si="35"/>
        <v>-0.25559745929831273</v>
      </c>
    </row>
    <row r="732" spans="1:17" x14ac:dyDescent="0.4">
      <c r="A732">
        <v>730</v>
      </c>
      <c r="B732">
        <v>1</v>
      </c>
      <c r="C732">
        <v>0</v>
      </c>
      <c r="D732">
        <v>7.9249999999999998</v>
      </c>
      <c r="E732">
        <v>25</v>
      </c>
      <c r="F732">
        <v>1</v>
      </c>
      <c r="G732">
        <v>0</v>
      </c>
      <c r="H732">
        <v>0</v>
      </c>
      <c r="I732">
        <v>1</v>
      </c>
      <c r="J732">
        <v>1</v>
      </c>
      <c r="K732">
        <v>0</v>
      </c>
      <c r="L732">
        <v>0</v>
      </c>
      <c r="M732">
        <v>1</v>
      </c>
      <c r="N732">
        <v>0</v>
      </c>
      <c r="O732" s="14">
        <f t="shared" si="34"/>
        <v>1</v>
      </c>
      <c r="P732">
        <f t="shared" si="33"/>
        <v>0.5532959695879075</v>
      </c>
      <c r="Q732">
        <f t="shared" si="35"/>
        <v>-0.80585902802744414</v>
      </c>
    </row>
    <row r="733" spans="1:17" x14ac:dyDescent="0.4">
      <c r="A733">
        <v>731</v>
      </c>
      <c r="B733">
        <v>0</v>
      </c>
      <c r="C733">
        <v>0</v>
      </c>
      <c r="D733">
        <v>211.33750000000001</v>
      </c>
      <c r="E733">
        <v>29</v>
      </c>
      <c r="F733">
        <v>1</v>
      </c>
      <c r="G733">
        <v>1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1</v>
      </c>
      <c r="N733">
        <v>1</v>
      </c>
      <c r="O733" s="14">
        <f t="shared" si="34"/>
        <v>1</v>
      </c>
      <c r="P733">
        <f t="shared" si="33"/>
        <v>0.9528980097502</v>
      </c>
      <c r="Q733">
        <f t="shared" si="35"/>
        <v>-4.8247401254165607E-2</v>
      </c>
    </row>
    <row r="734" spans="1:17" x14ac:dyDescent="0.4">
      <c r="A734">
        <v>732</v>
      </c>
      <c r="B734">
        <v>0</v>
      </c>
      <c r="C734">
        <v>0</v>
      </c>
      <c r="D734">
        <v>18.787500000000001</v>
      </c>
      <c r="E734">
        <v>11</v>
      </c>
      <c r="F734">
        <v>0</v>
      </c>
      <c r="G734">
        <v>0</v>
      </c>
      <c r="H734">
        <v>0</v>
      </c>
      <c r="I734">
        <v>1</v>
      </c>
      <c r="J734">
        <v>0</v>
      </c>
      <c r="K734">
        <v>0</v>
      </c>
      <c r="L734">
        <v>1</v>
      </c>
      <c r="M734">
        <v>1</v>
      </c>
      <c r="N734">
        <v>0</v>
      </c>
      <c r="O734" s="14">
        <f t="shared" si="34"/>
        <v>0</v>
      </c>
      <c r="P734">
        <f t="shared" si="33"/>
        <v>0.2343190609035179</v>
      </c>
      <c r="Q734">
        <f t="shared" si="35"/>
        <v>-0.26698972460834802</v>
      </c>
    </row>
    <row r="735" spans="1:17" x14ac:dyDescent="0.4">
      <c r="A735">
        <v>733</v>
      </c>
      <c r="B735">
        <v>0</v>
      </c>
      <c r="C735">
        <v>0</v>
      </c>
      <c r="D735">
        <v>0</v>
      </c>
      <c r="E735">
        <v>28</v>
      </c>
      <c r="F735">
        <v>0</v>
      </c>
      <c r="G735">
        <v>0</v>
      </c>
      <c r="H735">
        <v>1</v>
      </c>
      <c r="I735">
        <v>0</v>
      </c>
      <c r="J735">
        <v>1</v>
      </c>
      <c r="K735">
        <v>0</v>
      </c>
      <c r="L735">
        <v>0</v>
      </c>
      <c r="M735">
        <v>1</v>
      </c>
      <c r="N735">
        <v>0</v>
      </c>
      <c r="O735" s="14">
        <f t="shared" si="34"/>
        <v>0</v>
      </c>
      <c r="P735">
        <f t="shared" si="33"/>
        <v>0.25197925163314788</v>
      </c>
      <c r="Q735">
        <f t="shared" si="35"/>
        <v>-0.29032456293400521</v>
      </c>
    </row>
    <row r="736" spans="1:17" x14ac:dyDescent="0.4">
      <c r="A736">
        <v>734</v>
      </c>
      <c r="B736">
        <v>0</v>
      </c>
      <c r="C736">
        <v>0</v>
      </c>
      <c r="D736">
        <v>13</v>
      </c>
      <c r="E736">
        <v>23</v>
      </c>
      <c r="F736">
        <v>0</v>
      </c>
      <c r="G736">
        <v>0</v>
      </c>
      <c r="H736">
        <v>1</v>
      </c>
      <c r="I736">
        <v>0</v>
      </c>
      <c r="J736">
        <v>1</v>
      </c>
      <c r="K736">
        <v>0</v>
      </c>
      <c r="L736">
        <v>0</v>
      </c>
      <c r="M736">
        <v>1</v>
      </c>
      <c r="N736">
        <v>0</v>
      </c>
      <c r="O736" s="14">
        <f t="shared" si="34"/>
        <v>0</v>
      </c>
      <c r="P736">
        <f t="shared" si="33"/>
        <v>0.29628443547828459</v>
      </c>
      <c r="Q736">
        <f t="shared" si="35"/>
        <v>-0.35138103213328165</v>
      </c>
    </row>
    <row r="737" spans="1:17" x14ac:dyDescent="0.4">
      <c r="A737">
        <v>735</v>
      </c>
      <c r="B737">
        <v>0</v>
      </c>
      <c r="C737">
        <v>0</v>
      </c>
      <c r="D737">
        <v>13</v>
      </c>
      <c r="E737">
        <v>23</v>
      </c>
      <c r="F737">
        <v>0</v>
      </c>
      <c r="G737">
        <v>0</v>
      </c>
      <c r="H737">
        <v>1</v>
      </c>
      <c r="I737">
        <v>0</v>
      </c>
      <c r="J737">
        <v>1</v>
      </c>
      <c r="K737">
        <v>0</v>
      </c>
      <c r="L737">
        <v>0</v>
      </c>
      <c r="M737">
        <v>1</v>
      </c>
      <c r="N737">
        <v>0</v>
      </c>
      <c r="O737" s="14">
        <f t="shared" si="34"/>
        <v>0</v>
      </c>
      <c r="P737">
        <f t="shared" si="33"/>
        <v>0.29628443547828459</v>
      </c>
      <c r="Q737">
        <f t="shared" si="35"/>
        <v>-0.35138103213328165</v>
      </c>
    </row>
    <row r="738" spans="1:17" x14ac:dyDescent="0.4">
      <c r="A738">
        <v>736</v>
      </c>
      <c r="B738">
        <v>0</v>
      </c>
      <c r="C738">
        <v>0</v>
      </c>
      <c r="D738">
        <v>16.100000000000001</v>
      </c>
      <c r="E738">
        <v>28.5</v>
      </c>
      <c r="F738">
        <v>0</v>
      </c>
      <c r="G738">
        <v>0</v>
      </c>
      <c r="H738">
        <v>0</v>
      </c>
      <c r="I738">
        <v>1</v>
      </c>
      <c r="J738">
        <v>1</v>
      </c>
      <c r="K738">
        <v>0</v>
      </c>
      <c r="L738">
        <v>0</v>
      </c>
      <c r="M738">
        <v>1</v>
      </c>
      <c r="N738">
        <v>0</v>
      </c>
      <c r="O738" s="14">
        <f t="shared" si="34"/>
        <v>0</v>
      </c>
      <c r="P738">
        <f t="shared" si="33"/>
        <v>9.1172575693146324E-2</v>
      </c>
      <c r="Q738">
        <f t="shared" si="35"/>
        <v>-9.5600055076563217E-2</v>
      </c>
    </row>
    <row r="739" spans="1:17" x14ac:dyDescent="0.4">
      <c r="A739">
        <v>737</v>
      </c>
      <c r="B739">
        <v>1</v>
      </c>
      <c r="C739">
        <v>3</v>
      </c>
      <c r="D739">
        <v>34.375</v>
      </c>
      <c r="E739">
        <v>48</v>
      </c>
      <c r="F739">
        <v>1</v>
      </c>
      <c r="G739">
        <v>0</v>
      </c>
      <c r="H739">
        <v>0</v>
      </c>
      <c r="I739">
        <v>1</v>
      </c>
      <c r="J739">
        <v>1</v>
      </c>
      <c r="K739">
        <v>0</v>
      </c>
      <c r="L739">
        <v>0</v>
      </c>
      <c r="M739">
        <v>1</v>
      </c>
      <c r="N739">
        <v>0</v>
      </c>
      <c r="O739" s="14">
        <f t="shared" si="34"/>
        <v>0</v>
      </c>
      <c r="P739">
        <f t="shared" si="33"/>
        <v>0.29104508487262737</v>
      </c>
      <c r="Q739">
        <f t="shared" si="35"/>
        <v>-0.34396334385501343</v>
      </c>
    </row>
    <row r="740" spans="1:17" x14ac:dyDescent="0.4">
      <c r="A740">
        <v>738</v>
      </c>
      <c r="B740">
        <v>0</v>
      </c>
      <c r="C740">
        <v>0</v>
      </c>
      <c r="D740">
        <v>512.32920000000001</v>
      </c>
      <c r="E740">
        <v>35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0</v>
      </c>
      <c r="L740">
        <v>1</v>
      </c>
      <c r="M740">
        <v>1</v>
      </c>
      <c r="N740">
        <v>1</v>
      </c>
      <c r="O740" s="14">
        <f t="shared" si="34"/>
        <v>1</v>
      </c>
      <c r="P740">
        <f t="shared" si="33"/>
        <v>0.76766625627671858</v>
      </c>
      <c r="Q740">
        <f t="shared" si="35"/>
        <v>-0.26440020242364465</v>
      </c>
    </row>
    <row r="741" spans="1:17" x14ac:dyDescent="0.4">
      <c r="A741">
        <v>739</v>
      </c>
      <c r="B741">
        <v>0</v>
      </c>
      <c r="C741">
        <v>0</v>
      </c>
      <c r="D741">
        <v>7.8958000000000004</v>
      </c>
      <c r="E741">
        <v>28</v>
      </c>
      <c r="F741">
        <v>0</v>
      </c>
      <c r="G741">
        <v>0</v>
      </c>
      <c r="H741">
        <v>0</v>
      </c>
      <c r="I741">
        <v>1</v>
      </c>
      <c r="J741">
        <v>1</v>
      </c>
      <c r="K741">
        <v>0</v>
      </c>
      <c r="L741">
        <v>0</v>
      </c>
      <c r="M741">
        <v>1</v>
      </c>
      <c r="N741">
        <v>0</v>
      </c>
      <c r="O741" s="14">
        <f t="shared" si="34"/>
        <v>0</v>
      </c>
      <c r="P741">
        <f t="shared" si="33"/>
        <v>9.117888566880443E-2</v>
      </c>
      <c r="Q741">
        <f t="shared" si="35"/>
        <v>-9.5606998086197895E-2</v>
      </c>
    </row>
    <row r="742" spans="1:17" x14ac:dyDescent="0.4">
      <c r="A742">
        <v>740</v>
      </c>
      <c r="B742">
        <v>0</v>
      </c>
      <c r="C742">
        <v>0</v>
      </c>
      <c r="D742">
        <v>7.8958000000000004</v>
      </c>
      <c r="E742">
        <v>28</v>
      </c>
      <c r="F742">
        <v>0</v>
      </c>
      <c r="G742">
        <v>0</v>
      </c>
      <c r="H742">
        <v>0</v>
      </c>
      <c r="I742">
        <v>1</v>
      </c>
      <c r="J742">
        <v>1</v>
      </c>
      <c r="K742">
        <v>0</v>
      </c>
      <c r="L742">
        <v>0</v>
      </c>
      <c r="M742">
        <v>1</v>
      </c>
      <c r="N742">
        <v>0</v>
      </c>
      <c r="O742" s="14">
        <f t="shared" si="34"/>
        <v>0</v>
      </c>
      <c r="P742">
        <f t="shared" si="33"/>
        <v>9.117888566880443E-2</v>
      </c>
      <c r="Q742">
        <f t="shared" si="35"/>
        <v>-9.5606998086197895E-2</v>
      </c>
    </row>
    <row r="743" spans="1:17" x14ac:dyDescent="0.4">
      <c r="A743">
        <v>741</v>
      </c>
      <c r="B743">
        <v>0</v>
      </c>
      <c r="C743">
        <v>0</v>
      </c>
      <c r="D743">
        <v>30</v>
      </c>
      <c r="E743">
        <v>28</v>
      </c>
      <c r="F743">
        <v>0</v>
      </c>
      <c r="G743">
        <v>1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1</v>
      </c>
      <c r="N743">
        <v>1</v>
      </c>
      <c r="O743" s="14">
        <f t="shared" si="34"/>
        <v>0</v>
      </c>
      <c r="P743">
        <f t="shared" si="33"/>
        <v>0.47552722195922503</v>
      </c>
      <c r="Q743">
        <f t="shared" si="35"/>
        <v>-0.74333114950975598</v>
      </c>
    </row>
    <row r="744" spans="1:17" x14ac:dyDescent="0.4">
      <c r="A744">
        <v>742</v>
      </c>
      <c r="B744">
        <v>1</v>
      </c>
      <c r="C744">
        <v>0</v>
      </c>
      <c r="D744">
        <v>78.849999999999994</v>
      </c>
      <c r="E744">
        <v>36</v>
      </c>
      <c r="F744">
        <v>0</v>
      </c>
      <c r="G744">
        <v>1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1</v>
      </c>
      <c r="N744">
        <v>0</v>
      </c>
      <c r="O744" s="14">
        <f t="shared" si="34"/>
        <v>0</v>
      </c>
      <c r="P744">
        <f t="shared" si="33"/>
        <v>0.351179125615254</v>
      </c>
      <c r="Q744">
        <f t="shared" si="35"/>
        <v>-0.43259860286257895</v>
      </c>
    </row>
    <row r="745" spans="1:17" x14ac:dyDescent="0.4">
      <c r="A745">
        <v>743</v>
      </c>
      <c r="B745">
        <v>2</v>
      </c>
      <c r="C745">
        <v>2</v>
      </c>
      <c r="D745">
        <v>262.375</v>
      </c>
      <c r="E745">
        <v>21</v>
      </c>
      <c r="F745">
        <v>1</v>
      </c>
      <c r="G745">
        <v>1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1</v>
      </c>
      <c r="N745">
        <v>1</v>
      </c>
      <c r="O745" s="14">
        <f t="shared" si="34"/>
        <v>1</v>
      </c>
      <c r="P745">
        <f t="shared" si="33"/>
        <v>0.95430583680840009</v>
      </c>
      <c r="Q745">
        <f t="shared" si="35"/>
        <v>-4.67710752532072E-2</v>
      </c>
    </row>
    <row r="746" spans="1:17" x14ac:dyDescent="0.4">
      <c r="A746">
        <v>744</v>
      </c>
      <c r="B746">
        <v>1</v>
      </c>
      <c r="C746">
        <v>0</v>
      </c>
      <c r="D746">
        <v>16.100000000000001</v>
      </c>
      <c r="E746">
        <v>24</v>
      </c>
      <c r="F746">
        <v>0</v>
      </c>
      <c r="G746">
        <v>0</v>
      </c>
      <c r="H746">
        <v>0</v>
      </c>
      <c r="I746">
        <v>1</v>
      </c>
      <c r="J746">
        <v>1</v>
      </c>
      <c r="K746">
        <v>0</v>
      </c>
      <c r="L746">
        <v>0</v>
      </c>
      <c r="M746">
        <v>1</v>
      </c>
      <c r="N746">
        <v>0</v>
      </c>
      <c r="O746" s="14">
        <f t="shared" si="34"/>
        <v>0</v>
      </c>
      <c r="P746">
        <f t="shared" si="33"/>
        <v>7.9587460055188908E-2</v>
      </c>
      <c r="Q746">
        <f t="shared" si="35"/>
        <v>-8.2933296462617961E-2</v>
      </c>
    </row>
    <row r="747" spans="1:17" x14ac:dyDescent="0.4">
      <c r="A747">
        <v>745</v>
      </c>
      <c r="B747">
        <v>0</v>
      </c>
      <c r="C747">
        <v>0</v>
      </c>
      <c r="D747">
        <v>7.9249999999999998</v>
      </c>
      <c r="E747">
        <v>31</v>
      </c>
      <c r="F747">
        <v>0</v>
      </c>
      <c r="G747">
        <v>0</v>
      </c>
      <c r="H747">
        <v>0</v>
      </c>
      <c r="I747">
        <v>1</v>
      </c>
      <c r="J747">
        <v>1</v>
      </c>
      <c r="K747">
        <v>0</v>
      </c>
      <c r="L747">
        <v>0</v>
      </c>
      <c r="M747">
        <v>1</v>
      </c>
      <c r="N747">
        <v>1</v>
      </c>
      <c r="O747" s="14">
        <f t="shared" si="34"/>
        <v>0</v>
      </c>
      <c r="P747">
        <f t="shared" si="33"/>
        <v>8.2048568967900817E-2</v>
      </c>
      <c r="Q747">
        <f t="shared" si="35"/>
        <v>-2.5004439025743568</v>
      </c>
    </row>
    <row r="748" spans="1:17" x14ac:dyDescent="0.4">
      <c r="A748">
        <v>746</v>
      </c>
      <c r="B748">
        <v>1</v>
      </c>
      <c r="C748">
        <v>1</v>
      </c>
      <c r="D748">
        <v>71</v>
      </c>
      <c r="E748">
        <v>70</v>
      </c>
      <c r="F748">
        <v>0</v>
      </c>
      <c r="G748">
        <v>1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1</v>
      </c>
      <c r="N748">
        <v>0</v>
      </c>
      <c r="O748" s="14">
        <f t="shared" si="34"/>
        <v>0</v>
      </c>
      <c r="P748">
        <f t="shared" si="33"/>
        <v>0.1155313150489851</v>
      </c>
      <c r="Q748">
        <f t="shared" si="35"/>
        <v>-0.1227681702475779</v>
      </c>
    </row>
    <row r="749" spans="1:17" x14ac:dyDescent="0.4">
      <c r="A749">
        <v>747</v>
      </c>
      <c r="B749">
        <v>1</v>
      </c>
      <c r="C749">
        <v>1</v>
      </c>
      <c r="D749">
        <v>20.25</v>
      </c>
      <c r="E749">
        <v>16</v>
      </c>
      <c r="F749">
        <v>0</v>
      </c>
      <c r="G749">
        <v>0</v>
      </c>
      <c r="H749">
        <v>0</v>
      </c>
      <c r="I749">
        <v>1</v>
      </c>
      <c r="J749">
        <v>1</v>
      </c>
      <c r="K749">
        <v>0</v>
      </c>
      <c r="L749">
        <v>0</v>
      </c>
      <c r="M749">
        <v>1</v>
      </c>
      <c r="N749">
        <v>0</v>
      </c>
      <c r="O749" s="14">
        <f t="shared" si="34"/>
        <v>0</v>
      </c>
      <c r="P749">
        <f t="shared" si="33"/>
        <v>9.7667292321724289E-2</v>
      </c>
      <c r="Q749">
        <f t="shared" si="35"/>
        <v>-0.10277197141083426</v>
      </c>
    </row>
    <row r="750" spans="1:17" x14ac:dyDescent="0.4">
      <c r="A750">
        <v>748</v>
      </c>
      <c r="B750">
        <v>0</v>
      </c>
      <c r="C750">
        <v>0</v>
      </c>
      <c r="D750">
        <v>13</v>
      </c>
      <c r="E750">
        <v>30</v>
      </c>
      <c r="F750">
        <v>1</v>
      </c>
      <c r="G750">
        <v>0</v>
      </c>
      <c r="H750">
        <v>1</v>
      </c>
      <c r="I750">
        <v>0</v>
      </c>
      <c r="J750">
        <v>1</v>
      </c>
      <c r="K750">
        <v>0</v>
      </c>
      <c r="L750">
        <v>0</v>
      </c>
      <c r="M750">
        <v>1</v>
      </c>
      <c r="N750">
        <v>1</v>
      </c>
      <c r="O750" s="14">
        <f t="shared" si="34"/>
        <v>1</v>
      </c>
      <c r="P750">
        <f t="shared" si="33"/>
        <v>0.82989358993649609</v>
      </c>
      <c r="Q750">
        <f t="shared" si="35"/>
        <v>-0.18645779130623141</v>
      </c>
    </row>
    <row r="751" spans="1:17" x14ac:dyDescent="0.4">
      <c r="A751">
        <v>749</v>
      </c>
      <c r="B751">
        <v>1</v>
      </c>
      <c r="C751">
        <v>0</v>
      </c>
      <c r="D751">
        <v>53.1</v>
      </c>
      <c r="E751">
        <v>19</v>
      </c>
      <c r="F751">
        <v>0</v>
      </c>
      <c r="G751">
        <v>1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1</v>
      </c>
      <c r="N751">
        <v>0</v>
      </c>
      <c r="O751" s="14">
        <f t="shared" si="34"/>
        <v>0</v>
      </c>
      <c r="P751">
        <f t="shared" si="33"/>
        <v>0.49521347417050571</v>
      </c>
      <c r="Q751">
        <f t="shared" si="35"/>
        <v>-0.68361966020825526</v>
      </c>
    </row>
    <row r="752" spans="1:17" x14ac:dyDescent="0.4">
      <c r="A752">
        <v>750</v>
      </c>
      <c r="B752">
        <v>0</v>
      </c>
      <c r="C752">
        <v>0</v>
      </c>
      <c r="D752">
        <v>7.75</v>
      </c>
      <c r="E752">
        <v>31</v>
      </c>
      <c r="F752">
        <v>0</v>
      </c>
      <c r="G752">
        <v>0</v>
      </c>
      <c r="H752">
        <v>0</v>
      </c>
      <c r="I752">
        <v>1</v>
      </c>
      <c r="J752">
        <v>0</v>
      </c>
      <c r="K752">
        <v>1</v>
      </c>
      <c r="L752">
        <v>0</v>
      </c>
      <c r="M752">
        <v>1</v>
      </c>
      <c r="N752">
        <v>0</v>
      </c>
      <c r="O752" s="14">
        <f t="shared" si="34"/>
        <v>0</v>
      </c>
      <c r="P752">
        <f t="shared" si="33"/>
        <v>0.11537177047465476</v>
      </c>
      <c r="Q752">
        <f t="shared" si="35"/>
        <v>-0.12258780186475239</v>
      </c>
    </row>
    <row r="753" spans="1:17" x14ac:dyDescent="0.4">
      <c r="A753">
        <v>751</v>
      </c>
      <c r="B753">
        <v>1</v>
      </c>
      <c r="C753">
        <v>1</v>
      </c>
      <c r="D753">
        <v>23</v>
      </c>
      <c r="E753">
        <v>4</v>
      </c>
      <c r="F753">
        <v>1</v>
      </c>
      <c r="G753">
        <v>0</v>
      </c>
      <c r="H753">
        <v>1</v>
      </c>
      <c r="I753">
        <v>0</v>
      </c>
      <c r="J753">
        <v>1</v>
      </c>
      <c r="K753">
        <v>0</v>
      </c>
      <c r="L753">
        <v>0</v>
      </c>
      <c r="M753">
        <v>1</v>
      </c>
      <c r="N753">
        <v>1</v>
      </c>
      <c r="O753" s="14">
        <f t="shared" si="34"/>
        <v>1</v>
      </c>
      <c r="P753">
        <f t="shared" si="33"/>
        <v>0.89976650604079378</v>
      </c>
      <c r="Q753">
        <f t="shared" si="35"/>
        <v>-0.10561998705006805</v>
      </c>
    </row>
    <row r="754" spans="1:17" x14ac:dyDescent="0.4">
      <c r="A754">
        <v>752</v>
      </c>
      <c r="B754">
        <v>0</v>
      </c>
      <c r="C754">
        <v>1</v>
      </c>
      <c r="D754">
        <v>12.475</v>
      </c>
      <c r="E754">
        <v>6</v>
      </c>
      <c r="F754">
        <v>0</v>
      </c>
      <c r="G754">
        <v>0</v>
      </c>
      <c r="H754">
        <v>0</v>
      </c>
      <c r="I754">
        <v>1</v>
      </c>
      <c r="J754">
        <v>1</v>
      </c>
      <c r="K754">
        <v>0</v>
      </c>
      <c r="L754">
        <v>0</v>
      </c>
      <c r="M754">
        <v>1</v>
      </c>
      <c r="N754">
        <v>1</v>
      </c>
      <c r="O754" s="14">
        <f t="shared" si="34"/>
        <v>0</v>
      </c>
      <c r="P754">
        <f t="shared" si="33"/>
        <v>0.17734856553877384</v>
      </c>
      <c r="Q754">
        <f t="shared" si="35"/>
        <v>-1.7296381861021024</v>
      </c>
    </row>
    <row r="755" spans="1:17" x14ac:dyDescent="0.4">
      <c r="A755">
        <v>753</v>
      </c>
      <c r="B755">
        <v>0</v>
      </c>
      <c r="C755">
        <v>0</v>
      </c>
      <c r="D755">
        <v>9.5</v>
      </c>
      <c r="E755">
        <v>33</v>
      </c>
      <c r="F755">
        <v>0</v>
      </c>
      <c r="G755">
        <v>0</v>
      </c>
      <c r="H755">
        <v>0</v>
      </c>
      <c r="I755">
        <v>1</v>
      </c>
      <c r="J755">
        <v>1</v>
      </c>
      <c r="K755">
        <v>0</v>
      </c>
      <c r="L755">
        <v>0</v>
      </c>
      <c r="M755">
        <v>1</v>
      </c>
      <c r="N755">
        <v>0</v>
      </c>
      <c r="O755" s="14">
        <f t="shared" si="34"/>
        <v>0</v>
      </c>
      <c r="P755">
        <f t="shared" si="33"/>
        <v>7.6689502805759632E-2</v>
      </c>
      <c r="Q755">
        <f t="shared" si="35"/>
        <v>-7.9789701055316506E-2</v>
      </c>
    </row>
    <row r="756" spans="1:17" x14ac:dyDescent="0.4">
      <c r="A756">
        <v>754</v>
      </c>
      <c r="B756">
        <v>0</v>
      </c>
      <c r="C756">
        <v>0</v>
      </c>
      <c r="D756">
        <v>7.8958000000000004</v>
      </c>
      <c r="E756">
        <v>23</v>
      </c>
      <c r="F756">
        <v>0</v>
      </c>
      <c r="G756">
        <v>0</v>
      </c>
      <c r="H756">
        <v>0</v>
      </c>
      <c r="I756">
        <v>1</v>
      </c>
      <c r="J756">
        <v>1</v>
      </c>
      <c r="K756">
        <v>0</v>
      </c>
      <c r="L756">
        <v>0</v>
      </c>
      <c r="M756">
        <v>1</v>
      </c>
      <c r="N756">
        <v>0</v>
      </c>
      <c r="O756" s="14">
        <f t="shared" si="34"/>
        <v>0</v>
      </c>
      <c r="P756">
        <f t="shared" si="33"/>
        <v>0.10844756344378501</v>
      </c>
      <c r="Q756">
        <f t="shared" si="35"/>
        <v>-0.11479102506182512</v>
      </c>
    </row>
    <row r="757" spans="1:17" x14ac:dyDescent="0.4">
      <c r="A757">
        <v>755</v>
      </c>
      <c r="B757">
        <v>1</v>
      </c>
      <c r="C757">
        <v>2</v>
      </c>
      <c r="D757">
        <v>65</v>
      </c>
      <c r="E757">
        <v>48</v>
      </c>
      <c r="F757">
        <v>1</v>
      </c>
      <c r="G757">
        <v>0</v>
      </c>
      <c r="H757">
        <v>1</v>
      </c>
      <c r="I757">
        <v>0</v>
      </c>
      <c r="J757">
        <v>1</v>
      </c>
      <c r="K757">
        <v>0</v>
      </c>
      <c r="L757">
        <v>0</v>
      </c>
      <c r="M757">
        <v>1</v>
      </c>
      <c r="N757">
        <v>1</v>
      </c>
      <c r="O757" s="14">
        <f t="shared" si="34"/>
        <v>1</v>
      </c>
      <c r="P757">
        <f t="shared" si="33"/>
        <v>0.62348657028662002</v>
      </c>
      <c r="Q757">
        <f t="shared" si="35"/>
        <v>-0.47242805332959192</v>
      </c>
    </row>
    <row r="758" spans="1:17" x14ac:dyDescent="0.4">
      <c r="A758">
        <v>756</v>
      </c>
      <c r="B758">
        <v>1</v>
      </c>
      <c r="C758">
        <v>1</v>
      </c>
      <c r="D758">
        <v>14.5</v>
      </c>
      <c r="E758">
        <v>0.67</v>
      </c>
      <c r="F758">
        <v>0</v>
      </c>
      <c r="G758">
        <v>0</v>
      </c>
      <c r="H758">
        <v>1</v>
      </c>
      <c r="I758">
        <v>0</v>
      </c>
      <c r="J758">
        <v>1</v>
      </c>
      <c r="K758">
        <v>0</v>
      </c>
      <c r="L758">
        <v>0</v>
      </c>
      <c r="M758">
        <v>1</v>
      </c>
      <c r="N758">
        <v>1</v>
      </c>
      <c r="O758" s="14">
        <f t="shared" si="34"/>
        <v>0</v>
      </c>
      <c r="P758">
        <f t="shared" si="33"/>
        <v>0.3973398103083649</v>
      </c>
      <c r="Q758">
        <f t="shared" si="35"/>
        <v>-0.92296341904615675</v>
      </c>
    </row>
    <row r="759" spans="1:17" x14ac:dyDescent="0.4">
      <c r="A759">
        <v>757</v>
      </c>
      <c r="B759">
        <v>0</v>
      </c>
      <c r="C759">
        <v>0</v>
      </c>
      <c r="D759">
        <v>7.7957999999999998</v>
      </c>
      <c r="E759">
        <v>28</v>
      </c>
      <c r="F759">
        <v>0</v>
      </c>
      <c r="G759">
        <v>0</v>
      </c>
      <c r="H759">
        <v>0</v>
      </c>
      <c r="I759">
        <v>1</v>
      </c>
      <c r="J759">
        <v>1</v>
      </c>
      <c r="K759">
        <v>0</v>
      </c>
      <c r="L759">
        <v>0</v>
      </c>
      <c r="M759">
        <v>1</v>
      </c>
      <c r="N759">
        <v>0</v>
      </c>
      <c r="O759" s="14">
        <f t="shared" si="34"/>
        <v>0</v>
      </c>
      <c r="P759">
        <f t="shared" si="33"/>
        <v>9.1159508388285557E-2</v>
      </c>
      <c r="Q759">
        <f t="shared" si="35"/>
        <v>-9.5585676977300402E-2</v>
      </c>
    </row>
    <row r="760" spans="1:17" x14ac:dyDescent="0.4">
      <c r="A760">
        <v>758</v>
      </c>
      <c r="B760">
        <v>0</v>
      </c>
      <c r="C760">
        <v>0</v>
      </c>
      <c r="D760">
        <v>11.5</v>
      </c>
      <c r="E760">
        <v>18</v>
      </c>
      <c r="F760">
        <v>0</v>
      </c>
      <c r="G760">
        <v>0</v>
      </c>
      <c r="H760">
        <v>1</v>
      </c>
      <c r="I760">
        <v>0</v>
      </c>
      <c r="J760">
        <v>1</v>
      </c>
      <c r="K760">
        <v>0</v>
      </c>
      <c r="L760">
        <v>0</v>
      </c>
      <c r="M760">
        <v>1</v>
      </c>
      <c r="N760">
        <v>0</v>
      </c>
      <c r="O760" s="14">
        <f t="shared" si="34"/>
        <v>0</v>
      </c>
      <c r="P760">
        <f t="shared" si="33"/>
        <v>0.33716921039100695</v>
      </c>
      <c r="Q760">
        <f t="shared" si="35"/>
        <v>-0.41123554066288043</v>
      </c>
    </row>
    <row r="761" spans="1:17" x14ac:dyDescent="0.4">
      <c r="A761">
        <v>759</v>
      </c>
      <c r="B761">
        <v>0</v>
      </c>
      <c r="C761">
        <v>0</v>
      </c>
      <c r="D761">
        <v>8.0500000000000007</v>
      </c>
      <c r="E761">
        <v>34</v>
      </c>
      <c r="F761">
        <v>0</v>
      </c>
      <c r="G761">
        <v>0</v>
      </c>
      <c r="H761">
        <v>0</v>
      </c>
      <c r="I761">
        <v>1</v>
      </c>
      <c r="J761">
        <v>1</v>
      </c>
      <c r="K761">
        <v>0</v>
      </c>
      <c r="L761">
        <v>0</v>
      </c>
      <c r="M761">
        <v>1</v>
      </c>
      <c r="N761">
        <v>0</v>
      </c>
      <c r="O761" s="14">
        <f t="shared" si="34"/>
        <v>0</v>
      </c>
      <c r="P761">
        <f t="shared" si="33"/>
        <v>7.377363488496147E-2</v>
      </c>
      <c r="Q761">
        <f t="shared" si="35"/>
        <v>-7.6636619442295759E-2</v>
      </c>
    </row>
    <row r="762" spans="1:17" x14ac:dyDescent="0.4">
      <c r="A762">
        <v>760</v>
      </c>
      <c r="B762">
        <v>0</v>
      </c>
      <c r="C762">
        <v>0</v>
      </c>
      <c r="D762">
        <v>86.5</v>
      </c>
      <c r="E762">
        <v>33</v>
      </c>
      <c r="F762">
        <v>1</v>
      </c>
      <c r="G762">
        <v>1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1</v>
      </c>
      <c r="N762">
        <v>1</v>
      </c>
      <c r="O762" s="14">
        <f t="shared" si="34"/>
        <v>1</v>
      </c>
      <c r="P762">
        <f t="shared" si="33"/>
        <v>0.92831847721663074</v>
      </c>
      <c r="Q762">
        <f t="shared" si="35"/>
        <v>-7.4380418415155053E-2</v>
      </c>
    </row>
    <row r="763" spans="1:17" x14ac:dyDescent="0.4">
      <c r="A763">
        <v>761</v>
      </c>
      <c r="B763">
        <v>0</v>
      </c>
      <c r="C763">
        <v>0</v>
      </c>
      <c r="D763">
        <v>14.5</v>
      </c>
      <c r="E763">
        <v>28</v>
      </c>
      <c r="F763">
        <v>0</v>
      </c>
      <c r="G763">
        <v>0</v>
      </c>
      <c r="H763">
        <v>0</v>
      </c>
      <c r="I763">
        <v>1</v>
      </c>
      <c r="J763">
        <v>1</v>
      </c>
      <c r="K763">
        <v>0</v>
      </c>
      <c r="L763">
        <v>0</v>
      </c>
      <c r="M763">
        <v>1</v>
      </c>
      <c r="N763">
        <v>0</v>
      </c>
      <c r="O763" s="14">
        <f t="shared" si="34"/>
        <v>0</v>
      </c>
      <c r="P763">
        <f t="shared" si="33"/>
        <v>9.246682905694209E-2</v>
      </c>
      <c r="Q763">
        <f t="shared" si="35"/>
        <v>-9.7025161507769866E-2</v>
      </c>
    </row>
    <row r="764" spans="1:17" x14ac:dyDescent="0.4">
      <c r="A764">
        <v>762</v>
      </c>
      <c r="B764">
        <v>0</v>
      </c>
      <c r="C764">
        <v>0</v>
      </c>
      <c r="D764">
        <v>7.125</v>
      </c>
      <c r="E764">
        <v>41</v>
      </c>
      <c r="F764">
        <v>0</v>
      </c>
      <c r="G764">
        <v>0</v>
      </c>
      <c r="H764">
        <v>0</v>
      </c>
      <c r="I764">
        <v>1</v>
      </c>
      <c r="J764">
        <v>1</v>
      </c>
      <c r="K764">
        <v>0</v>
      </c>
      <c r="L764">
        <v>0</v>
      </c>
      <c r="M764">
        <v>1</v>
      </c>
      <c r="N764">
        <v>0</v>
      </c>
      <c r="O764" s="14">
        <f t="shared" si="34"/>
        <v>0</v>
      </c>
      <c r="P764">
        <f t="shared" si="33"/>
        <v>5.7218412550994809E-2</v>
      </c>
      <c r="Q764">
        <f t="shared" si="35"/>
        <v>-5.8920637757658302E-2</v>
      </c>
    </row>
    <row r="765" spans="1:17" x14ac:dyDescent="0.4">
      <c r="A765">
        <v>763</v>
      </c>
      <c r="B765">
        <v>0</v>
      </c>
      <c r="C765">
        <v>0</v>
      </c>
      <c r="D765">
        <v>7.2291999999999996</v>
      </c>
      <c r="E765">
        <v>20</v>
      </c>
      <c r="F765">
        <v>0</v>
      </c>
      <c r="G765">
        <v>0</v>
      </c>
      <c r="H765">
        <v>0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1</v>
      </c>
      <c r="O765" s="14">
        <f t="shared" si="34"/>
        <v>0</v>
      </c>
      <c r="P765">
        <f t="shared" si="33"/>
        <v>0.17395654509001054</v>
      </c>
      <c r="Q765">
        <f t="shared" si="35"/>
        <v>-1.7489497518200585</v>
      </c>
    </row>
    <row r="766" spans="1:17" x14ac:dyDescent="0.4">
      <c r="A766">
        <v>764</v>
      </c>
      <c r="B766">
        <v>1</v>
      </c>
      <c r="C766">
        <v>2</v>
      </c>
      <c r="D766">
        <v>120</v>
      </c>
      <c r="E766">
        <v>36</v>
      </c>
      <c r="F766">
        <v>1</v>
      </c>
      <c r="G766">
        <v>1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1</v>
      </c>
      <c r="N766">
        <v>1</v>
      </c>
      <c r="O766" s="14">
        <f t="shared" si="34"/>
        <v>1</v>
      </c>
      <c r="P766">
        <f t="shared" si="33"/>
        <v>0.88238996304190309</v>
      </c>
      <c r="Q766">
        <f t="shared" si="35"/>
        <v>-0.12512118572006622</v>
      </c>
    </row>
    <row r="767" spans="1:17" x14ac:dyDescent="0.4">
      <c r="A767">
        <v>765</v>
      </c>
      <c r="B767">
        <v>0</v>
      </c>
      <c r="C767">
        <v>0</v>
      </c>
      <c r="D767">
        <v>7.7750000000000004</v>
      </c>
      <c r="E767">
        <v>16</v>
      </c>
      <c r="F767">
        <v>0</v>
      </c>
      <c r="G767">
        <v>0</v>
      </c>
      <c r="H767">
        <v>0</v>
      </c>
      <c r="I767">
        <v>1</v>
      </c>
      <c r="J767">
        <v>1</v>
      </c>
      <c r="K767">
        <v>0</v>
      </c>
      <c r="L767">
        <v>0</v>
      </c>
      <c r="M767">
        <v>1</v>
      </c>
      <c r="N767">
        <v>0</v>
      </c>
      <c r="O767" s="14">
        <f t="shared" si="34"/>
        <v>0</v>
      </c>
      <c r="P767">
        <f t="shared" si="33"/>
        <v>0.1373707438278706</v>
      </c>
      <c r="Q767">
        <f t="shared" si="35"/>
        <v>-0.14777027907628842</v>
      </c>
    </row>
    <row r="768" spans="1:17" x14ac:dyDescent="0.4">
      <c r="A768">
        <v>766</v>
      </c>
      <c r="B768">
        <v>1</v>
      </c>
      <c r="C768">
        <v>0</v>
      </c>
      <c r="D768">
        <v>77.958299999999994</v>
      </c>
      <c r="E768">
        <v>51</v>
      </c>
      <c r="F768">
        <v>1</v>
      </c>
      <c r="G768">
        <v>1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1</v>
      </c>
      <c r="N768">
        <v>1</v>
      </c>
      <c r="O768" s="14">
        <f t="shared" si="34"/>
        <v>1</v>
      </c>
      <c r="P768">
        <f t="shared" si="33"/>
        <v>0.82138776106921463</v>
      </c>
      <c r="Q768">
        <f t="shared" si="35"/>
        <v>-0.19675997765686273</v>
      </c>
    </row>
    <row r="769" spans="1:17" x14ac:dyDescent="0.4">
      <c r="A769">
        <v>767</v>
      </c>
      <c r="B769">
        <v>0</v>
      </c>
      <c r="C769">
        <v>0</v>
      </c>
      <c r="D769">
        <v>39.6</v>
      </c>
      <c r="E769">
        <v>28</v>
      </c>
      <c r="F769">
        <v>0</v>
      </c>
      <c r="G769">
        <v>1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1</v>
      </c>
      <c r="N769">
        <v>0</v>
      </c>
      <c r="O769" s="14">
        <f t="shared" si="34"/>
        <v>1</v>
      </c>
      <c r="P769">
        <f t="shared" si="33"/>
        <v>0.58887570743446327</v>
      </c>
      <c r="Q769">
        <f t="shared" si="35"/>
        <v>-0.88885969520279606</v>
      </c>
    </row>
    <row r="770" spans="1:17" x14ac:dyDescent="0.4">
      <c r="A770">
        <v>768</v>
      </c>
      <c r="B770">
        <v>0</v>
      </c>
      <c r="C770">
        <v>0</v>
      </c>
      <c r="D770">
        <v>7.75</v>
      </c>
      <c r="E770">
        <v>30.5</v>
      </c>
      <c r="F770">
        <v>1</v>
      </c>
      <c r="G770">
        <v>0</v>
      </c>
      <c r="H770">
        <v>0</v>
      </c>
      <c r="I770">
        <v>1</v>
      </c>
      <c r="J770">
        <v>0</v>
      </c>
      <c r="K770">
        <v>1</v>
      </c>
      <c r="L770">
        <v>0</v>
      </c>
      <c r="M770">
        <v>1</v>
      </c>
      <c r="N770">
        <v>0</v>
      </c>
      <c r="O770" s="14">
        <f t="shared" si="34"/>
        <v>1</v>
      </c>
      <c r="P770">
        <f t="shared" si="33"/>
        <v>0.66860025437614323</v>
      </c>
      <c r="Q770">
        <f t="shared" si="35"/>
        <v>-1.1044299415703651</v>
      </c>
    </row>
    <row r="771" spans="1:17" x14ac:dyDescent="0.4">
      <c r="A771">
        <v>769</v>
      </c>
      <c r="B771">
        <v>1</v>
      </c>
      <c r="C771">
        <v>0</v>
      </c>
      <c r="D771">
        <v>24.15</v>
      </c>
      <c r="E771">
        <v>28</v>
      </c>
      <c r="F771">
        <v>0</v>
      </c>
      <c r="G771">
        <v>0</v>
      </c>
      <c r="H771">
        <v>0</v>
      </c>
      <c r="I771">
        <v>1</v>
      </c>
      <c r="J771">
        <v>0</v>
      </c>
      <c r="K771">
        <v>1</v>
      </c>
      <c r="L771">
        <v>0</v>
      </c>
      <c r="M771">
        <v>1</v>
      </c>
      <c r="N771">
        <v>0</v>
      </c>
      <c r="O771" s="14">
        <f t="shared" si="34"/>
        <v>0</v>
      </c>
      <c r="P771">
        <f t="shared" ref="P771:P834" si="36">1/(1+EXP(-SUMPRODUCT(B$1:M$1,B771:M771)))</f>
        <v>9.9301774604780096E-2</v>
      </c>
      <c r="Q771">
        <f t="shared" si="35"/>
        <v>-0.10458501044505263</v>
      </c>
    </row>
    <row r="772" spans="1:17" x14ac:dyDescent="0.4">
      <c r="A772">
        <v>770</v>
      </c>
      <c r="B772">
        <v>0</v>
      </c>
      <c r="C772">
        <v>0</v>
      </c>
      <c r="D772">
        <v>8.3625000000000007</v>
      </c>
      <c r="E772">
        <v>32</v>
      </c>
      <c r="F772">
        <v>0</v>
      </c>
      <c r="G772">
        <v>0</v>
      </c>
      <c r="H772">
        <v>0</v>
      </c>
      <c r="I772">
        <v>1</v>
      </c>
      <c r="J772">
        <v>1</v>
      </c>
      <c r="K772">
        <v>0</v>
      </c>
      <c r="L772">
        <v>0</v>
      </c>
      <c r="M772">
        <v>1</v>
      </c>
      <c r="N772">
        <v>0</v>
      </c>
      <c r="O772" s="14">
        <f t="shared" ref="O772:O835" si="37">IF(P772&gt;0.5,1,0)</f>
        <v>0</v>
      </c>
      <c r="P772">
        <f t="shared" si="36"/>
        <v>7.9267930401035872E-2</v>
      </c>
      <c r="Q772">
        <f t="shared" ref="Q772:Q835" si="38">N772*LN(P772)+(1-N772)*LN(1-P772)</f>
        <v>-8.2586197537628858E-2</v>
      </c>
    </row>
    <row r="773" spans="1:17" x14ac:dyDescent="0.4">
      <c r="A773">
        <v>771</v>
      </c>
      <c r="B773">
        <v>0</v>
      </c>
      <c r="C773">
        <v>0</v>
      </c>
      <c r="D773">
        <v>9.5</v>
      </c>
      <c r="E773">
        <v>24</v>
      </c>
      <c r="F773">
        <v>0</v>
      </c>
      <c r="G773">
        <v>0</v>
      </c>
      <c r="H773">
        <v>0</v>
      </c>
      <c r="I773">
        <v>1</v>
      </c>
      <c r="J773">
        <v>1</v>
      </c>
      <c r="K773">
        <v>0</v>
      </c>
      <c r="L773">
        <v>0</v>
      </c>
      <c r="M773">
        <v>1</v>
      </c>
      <c r="N773">
        <v>0</v>
      </c>
      <c r="O773" s="14">
        <f t="shared" si="37"/>
        <v>0</v>
      </c>
      <c r="P773">
        <f t="shared" si="36"/>
        <v>0.10513088767800434</v>
      </c>
      <c r="Q773">
        <f t="shared" si="38"/>
        <v>-0.11107781461751078</v>
      </c>
    </row>
    <row r="774" spans="1:17" x14ac:dyDescent="0.4">
      <c r="A774">
        <v>772</v>
      </c>
      <c r="B774">
        <v>0</v>
      </c>
      <c r="C774">
        <v>0</v>
      </c>
      <c r="D774">
        <v>7.8541999999999996</v>
      </c>
      <c r="E774">
        <v>48</v>
      </c>
      <c r="F774">
        <v>0</v>
      </c>
      <c r="G774">
        <v>0</v>
      </c>
      <c r="H774">
        <v>0</v>
      </c>
      <c r="I774">
        <v>1</v>
      </c>
      <c r="J774">
        <v>1</v>
      </c>
      <c r="K774">
        <v>0</v>
      </c>
      <c r="L774">
        <v>0</v>
      </c>
      <c r="M774">
        <v>1</v>
      </c>
      <c r="N774">
        <v>0</v>
      </c>
      <c r="O774" s="14">
        <f t="shared" si="37"/>
        <v>0</v>
      </c>
      <c r="P774">
        <f t="shared" si="36"/>
        <v>4.4364710964522582E-2</v>
      </c>
      <c r="Q774">
        <f t="shared" si="38"/>
        <v>-4.5378935543976776E-2</v>
      </c>
    </row>
    <row r="775" spans="1:17" x14ac:dyDescent="0.4">
      <c r="A775">
        <v>773</v>
      </c>
      <c r="B775">
        <v>0</v>
      </c>
      <c r="C775">
        <v>0</v>
      </c>
      <c r="D775">
        <v>10.5</v>
      </c>
      <c r="E775">
        <v>57</v>
      </c>
      <c r="F775">
        <v>1</v>
      </c>
      <c r="G775">
        <v>0</v>
      </c>
      <c r="H775">
        <v>1</v>
      </c>
      <c r="I775">
        <v>0</v>
      </c>
      <c r="J775">
        <v>1</v>
      </c>
      <c r="K775">
        <v>0</v>
      </c>
      <c r="L775">
        <v>0</v>
      </c>
      <c r="M775">
        <v>1</v>
      </c>
      <c r="N775">
        <v>0</v>
      </c>
      <c r="O775" s="14">
        <f t="shared" si="37"/>
        <v>1</v>
      </c>
      <c r="P775">
        <f t="shared" si="36"/>
        <v>0.63154218968928733</v>
      </c>
      <c r="Q775">
        <f t="shared" si="38"/>
        <v>-0.99842906424454381</v>
      </c>
    </row>
    <row r="776" spans="1:17" x14ac:dyDescent="0.4">
      <c r="A776">
        <v>774</v>
      </c>
      <c r="B776">
        <v>0</v>
      </c>
      <c r="C776">
        <v>0</v>
      </c>
      <c r="D776">
        <v>7.2249999999999996</v>
      </c>
      <c r="E776">
        <v>28</v>
      </c>
      <c r="F776">
        <v>0</v>
      </c>
      <c r="G776">
        <v>0</v>
      </c>
      <c r="H776">
        <v>0</v>
      </c>
      <c r="I776">
        <v>1</v>
      </c>
      <c r="J776">
        <v>0</v>
      </c>
      <c r="K776">
        <v>0</v>
      </c>
      <c r="L776">
        <v>1</v>
      </c>
      <c r="M776">
        <v>1</v>
      </c>
      <c r="N776">
        <v>0</v>
      </c>
      <c r="O776" s="14">
        <f t="shared" si="37"/>
        <v>0</v>
      </c>
      <c r="P776">
        <f t="shared" si="36"/>
        <v>0.13399878421988354</v>
      </c>
      <c r="Q776">
        <f t="shared" si="38"/>
        <v>-0.14386896651755057</v>
      </c>
    </row>
    <row r="777" spans="1:17" x14ac:dyDescent="0.4">
      <c r="A777">
        <v>775</v>
      </c>
      <c r="B777">
        <v>1</v>
      </c>
      <c r="C777">
        <v>3</v>
      </c>
      <c r="D777">
        <v>23</v>
      </c>
      <c r="E777">
        <v>54</v>
      </c>
      <c r="F777">
        <v>1</v>
      </c>
      <c r="G777">
        <v>0</v>
      </c>
      <c r="H777">
        <v>1</v>
      </c>
      <c r="I777">
        <v>0</v>
      </c>
      <c r="J777">
        <v>1</v>
      </c>
      <c r="K777">
        <v>0</v>
      </c>
      <c r="L777">
        <v>0</v>
      </c>
      <c r="M777">
        <v>1</v>
      </c>
      <c r="N777">
        <v>1</v>
      </c>
      <c r="O777" s="14">
        <f t="shared" si="37"/>
        <v>1</v>
      </c>
      <c r="P777">
        <f t="shared" si="36"/>
        <v>0.52039810111640405</v>
      </c>
      <c r="Q777">
        <f t="shared" si="38"/>
        <v>-0.65316118124282674</v>
      </c>
    </row>
    <row r="778" spans="1:17" x14ac:dyDescent="0.4">
      <c r="A778">
        <v>776</v>
      </c>
      <c r="B778">
        <v>0</v>
      </c>
      <c r="C778">
        <v>0</v>
      </c>
      <c r="D778">
        <v>7.75</v>
      </c>
      <c r="E778">
        <v>18</v>
      </c>
      <c r="F778">
        <v>0</v>
      </c>
      <c r="G778">
        <v>0</v>
      </c>
      <c r="H778">
        <v>0</v>
      </c>
      <c r="I778">
        <v>1</v>
      </c>
      <c r="J778">
        <v>1</v>
      </c>
      <c r="K778">
        <v>0</v>
      </c>
      <c r="L778">
        <v>0</v>
      </c>
      <c r="M778">
        <v>1</v>
      </c>
      <c r="N778">
        <v>0</v>
      </c>
      <c r="O778" s="14">
        <f t="shared" si="37"/>
        <v>0</v>
      </c>
      <c r="P778">
        <f t="shared" si="36"/>
        <v>0.12848610830026042</v>
      </c>
      <c r="Q778">
        <f t="shared" si="38"/>
        <v>-0.13752347416087499</v>
      </c>
    </row>
    <row r="779" spans="1:17" x14ac:dyDescent="0.4">
      <c r="A779">
        <v>777</v>
      </c>
      <c r="B779">
        <v>0</v>
      </c>
      <c r="C779">
        <v>0</v>
      </c>
      <c r="D779">
        <v>7.75</v>
      </c>
      <c r="E779">
        <v>28</v>
      </c>
      <c r="F779">
        <v>0</v>
      </c>
      <c r="G779">
        <v>0</v>
      </c>
      <c r="H779">
        <v>0</v>
      </c>
      <c r="I779">
        <v>1</v>
      </c>
      <c r="J779">
        <v>0</v>
      </c>
      <c r="K779">
        <v>1</v>
      </c>
      <c r="L779">
        <v>0</v>
      </c>
      <c r="M779">
        <v>1</v>
      </c>
      <c r="N779">
        <v>0</v>
      </c>
      <c r="O779" s="14">
        <f t="shared" si="37"/>
        <v>0</v>
      </c>
      <c r="P779">
        <f t="shared" si="36"/>
        <v>0.12770204164315915</v>
      </c>
      <c r="Q779">
        <f t="shared" si="38"/>
        <v>-0.13662421807437358</v>
      </c>
    </row>
    <row r="780" spans="1:17" x14ac:dyDescent="0.4">
      <c r="A780">
        <v>778</v>
      </c>
      <c r="B780">
        <v>0</v>
      </c>
      <c r="C780">
        <v>0</v>
      </c>
      <c r="D780">
        <v>12.475</v>
      </c>
      <c r="E780">
        <v>5</v>
      </c>
      <c r="F780">
        <v>1</v>
      </c>
      <c r="G780">
        <v>0</v>
      </c>
      <c r="H780">
        <v>0</v>
      </c>
      <c r="I780">
        <v>1</v>
      </c>
      <c r="J780">
        <v>1</v>
      </c>
      <c r="K780">
        <v>0</v>
      </c>
      <c r="L780">
        <v>0</v>
      </c>
      <c r="M780">
        <v>1</v>
      </c>
      <c r="N780">
        <v>1</v>
      </c>
      <c r="O780" s="14">
        <f t="shared" si="37"/>
        <v>1</v>
      </c>
      <c r="P780">
        <f t="shared" si="36"/>
        <v>0.78869488764372897</v>
      </c>
      <c r="Q780">
        <f t="shared" si="38"/>
        <v>-0.23737574060284031</v>
      </c>
    </row>
    <row r="781" spans="1:17" x14ac:dyDescent="0.4">
      <c r="A781">
        <v>779</v>
      </c>
      <c r="B781">
        <v>0</v>
      </c>
      <c r="C781">
        <v>0</v>
      </c>
      <c r="D781">
        <v>7.7374999999999998</v>
      </c>
      <c r="E781">
        <v>28</v>
      </c>
      <c r="F781">
        <v>0</v>
      </c>
      <c r="G781">
        <v>0</v>
      </c>
      <c r="H781">
        <v>0</v>
      </c>
      <c r="I781">
        <v>1</v>
      </c>
      <c r="J781">
        <v>0</v>
      </c>
      <c r="K781">
        <v>1</v>
      </c>
      <c r="L781">
        <v>0</v>
      </c>
      <c r="M781">
        <v>1</v>
      </c>
      <c r="N781">
        <v>0</v>
      </c>
      <c r="O781" s="14">
        <f t="shared" si="37"/>
        <v>0</v>
      </c>
      <c r="P781">
        <f t="shared" si="36"/>
        <v>0.12769878530391607</v>
      </c>
      <c r="Q781">
        <f t="shared" si="38"/>
        <v>-0.13662048502291588</v>
      </c>
    </row>
    <row r="782" spans="1:17" x14ac:dyDescent="0.4">
      <c r="A782">
        <v>780</v>
      </c>
      <c r="B782">
        <v>0</v>
      </c>
      <c r="C782">
        <v>1</v>
      </c>
      <c r="D782">
        <v>211.33750000000001</v>
      </c>
      <c r="E782">
        <v>43</v>
      </c>
      <c r="F782">
        <v>1</v>
      </c>
      <c r="G782">
        <v>1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1</v>
      </c>
      <c r="N782">
        <v>1</v>
      </c>
      <c r="O782" s="14">
        <f t="shared" si="37"/>
        <v>1</v>
      </c>
      <c r="P782">
        <f t="shared" si="36"/>
        <v>0.9148601030636595</v>
      </c>
      <c r="Q782">
        <f t="shared" si="38"/>
        <v>-8.8984118222517075E-2</v>
      </c>
    </row>
    <row r="783" spans="1:17" x14ac:dyDescent="0.4">
      <c r="A783">
        <v>781</v>
      </c>
      <c r="B783">
        <v>0</v>
      </c>
      <c r="C783">
        <v>0</v>
      </c>
      <c r="D783">
        <v>7.2291999999999996</v>
      </c>
      <c r="E783">
        <v>13</v>
      </c>
      <c r="F783">
        <v>1</v>
      </c>
      <c r="G783">
        <v>0</v>
      </c>
      <c r="H783">
        <v>0</v>
      </c>
      <c r="I783">
        <v>1</v>
      </c>
      <c r="J783">
        <v>0</v>
      </c>
      <c r="K783">
        <v>0</v>
      </c>
      <c r="L783">
        <v>1</v>
      </c>
      <c r="M783">
        <v>1</v>
      </c>
      <c r="N783">
        <v>1</v>
      </c>
      <c r="O783" s="14">
        <f t="shared" si="37"/>
        <v>1</v>
      </c>
      <c r="P783">
        <f t="shared" si="36"/>
        <v>0.8071259925188724</v>
      </c>
      <c r="Q783">
        <f t="shared" si="38"/>
        <v>-0.21427549833965695</v>
      </c>
    </row>
    <row r="784" spans="1:17" x14ac:dyDescent="0.4">
      <c r="A784">
        <v>782</v>
      </c>
      <c r="B784">
        <v>1</v>
      </c>
      <c r="C784">
        <v>0</v>
      </c>
      <c r="D784">
        <v>57</v>
      </c>
      <c r="E784">
        <v>17</v>
      </c>
      <c r="F784">
        <v>1</v>
      </c>
      <c r="G784">
        <v>1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1</v>
      </c>
      <c r="N784">
        <v>1</v>
      </c>
      <c r="O784" s="14">
        <f t="shared" si="37"/>
        <v>1</v>
      </c>
      <c r="P784">
        <f t="shared" si="36"/>
        <v>0.9419490984057578</v>
      </c>
      <c r="Q784">
        <f t="shared" si="38"/>
        <v>-5.9804041528430503E-2</v>
      </c>
    </row>
    <row r="785" spans="1:17" x14ac:dyDescent="0.4">
      <c r="A785">
        <v>783</v>
      </c>
      <c r="B785">
        <v>0</v>
      </c>
      <c r="C785">
        <v>0</v>
      </c>
      <c r="D785">
        <v>30</v>
      </c>
      <c r="E785">
        <v>29</v>
      </c>
      <c r="F785">
        <v>0</v>
      </c>
      <c r="G785">
        <v>1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1</v>
      </c>
      <c r="N785">
        <v>0</v>
      </c>
      <c r="O785" s="14">
        <f t="shared" si="37"/>
        <v>0</v>
      </c>
      <c r="P785">
        <f t="shared" si="36"/>
        <v>0.46592915975492116</v>
      </c>
      <c r="Q785">
        <f t="shared" si="38"/>
        <v>-0.62722678918547425</v>
      </c>
    </row>
    <row r="786" spans="1:17" x14ac:dyDescent="0.4">
      <c r="A786">
        <v>784</v>
      </c>
      <c r="B786">
        <v>1</v>
      </c>
      <c r="C786">
        <v>2</v>
      </c>
      <c r="D786">
        <v>23.45</v>
      </c>
      <c r="E786">
        <v>28</v>
      </c>
      <c r="F786">
        <v>0</v>
      </c>
      <c r="G786">
        <v>0</v>
      </c>
      <c r="H786">
        <v>0</v>
      </c>
      <c r="I786">
        <v>1</v>
      </c>
      <c r="J786">
        <v>1</v>
      </c>
      <c r="K786">
        <v>0</v>
      </c>
      <c r="L786">
        <v>0</v>
      </c>
      <c r="M786">
        <v>1</v>
      </c>
      <c r="N786">
        <v>0</v>
      </c>
      <c r="O786" s="14">
        <f t="shared" si="37"/>
        <v>0</v>
      </c>
      <c r="P786">
        <f t="shared" si="36"/>
        <v>5.8878336778850654E-2</v>
      </c>
      <c r="Q786">
        <f t="shared" si="38"/>
        <v>-6.0682856339560623E-2</v>
      </c>
    </row>
    <row r="787" spans="1:17" x14ac:dyDescent="0.4">
      <c r="A787">
        <v>785</v>
      </c>
      <c r="B787">
        <v>0</v>
      </c>
      <c r="C787">
        <v>0</v>
      </c>
      <c r="D787">
        <v>7.05</v>
      </c>
      <c r="E787">
        <v>25</v>
      </c>
      <c r="F787">
        <v>0</v>
      </c>
      <c r="G787">
        <v>0</v>
      </c>
      <c r="H787">
        <v>0</v>
      </c>
      <c r="I787">
        <v>1</v>
      </c>
      <c r="J787">
        <v>1</v>
      </c>
      <c r="K787">
        <v>0</v>
      </c>
      <c r="L787">
        <v>0</v>
      </c>
      <c r="M787">
        <v>1</v>
      </c>
      <c r="N787">
        <v>0</v>
      </c>
      <c r="O787" s="14">
        <f t="shared" si="37"/>
        <v>0</v>
      </c>
      <c r="P787">
        <f t="shared" si="36"/>
        <v>0.10103959909942387</v>
      </c>
      <c r="Q787">
        <f t="shared" si="38"/>
        <v>-0.10651629342217291</v>
      </c>
    </row>
    <row r="788" spans="1:17" x14ac:dyDescent="0.4">
      <c r="A788">
        <v>786</v>
      </c>
      <c r="B788">
        <v>0</v>
      </c>
      <c r="C788">
        <v>0</v>
      </c>
      <c r="D788">
        <v>7.25</v>
      </c>
      <c r="E788">
        <v>25</v>
      </c>
      <c r="F788">
        <v>0</v>
      </c>
      <c r="G788">
        <v>0</v>
      </c>
      <c r="H788">
        <v>0</v>
      </c>
      <c r="I788">
        <v>1</v>
      </c>
      <c r="J788">
        <v>1</v>
      </c>
      <c r="K788">
        <v>0</v>
      </c>
      <c r="L788">
        <v>0</v>
      </c>
      <c r="M788">
        <v>1</v>
      </c>
      <c r="N788">
        <v>0</v>
      </c>
      <c r="O788" s="14">
        <f t="shared" si="37"/>
        <v>0</v>
      </c>
      <c r="P788">
        <f t="shared" si="36"/>
        <v>0.10108209087435141</v>
      </c>
      <c r="Q788">
        <f t="shared" si="38"/>
        <v>-0.10656356222195595</v>
      </c>
    </row>
    <row r="789" spans="1:17" x14ac:dyDescent="0.4">
      <c r="A789">
        <v>787</v>
      </c>
      <c r="B789">
        <v>0</v>
      </c>
      <c r="C789">
        <v>0</v>
      </c>
      <c r="D789">
        <v>7.4958</v>
      </c>
      <c r="E789">
        <v>18</v>
      </c>
      <c r="F789">
        <v>1</v>
      </c>
      <c r="G789">
        <v>0</v>
      </c>
      <c r="H789">
        <v>0</v>
      </c>
      <c r="I789">
        <v>1</v>
      </c>
      <c r="J789">
        <v>1</v>
      </c>
      <c r="K789">
        <v>0</v>
      </c>
      <c r="L789">
        <v>0</v>
      </c>
      <c r="M789">
        <v>1</v>
      </c>
      <c r="N789">
        <v>1</v>
      </c>
      <c r="O789" s="14">
        <f t="shared" si="37"/>
        <v>1</v>
      </c>
      <c r="P789">
        <f t="shared" si="36"/>
        <v>0.69095772359881491</v>
      </c>
      <c r="Q789">
        <f t="shared" si="38"/>
        <v>-0.36967663856396671</v>
      </c>
    </row>
    <row r="790" spans="1:17" x14ac:dyDescent="0.4">
      <c r="A790">
        <v>788</v>
      </c>
      <c r="B790">
        <v>4</v>
      </c>
      <c r="C790">
        <v>1</v>
      </c>
      <c r="D790">
        <v>29.125</v>
      </c>
      <c r="E790">
        <v>8</v>
      </c>
      <c r="F790">
        <v>0</v>
      </c>
      <c r="G790">
        <v>0</v>
      </c>
      <c r="H790">
        <v>0</v>
      </c>
      <c r="I790">
        <v>1</v>
      </c>
      <c r="J790">
        <v>0</v>
      </c>
      <c r="K790">
        <v>1</v>
      </c>
      <c r="L790">
        <v>0</v>
      </c>
      <c r="M790">
        <v>1</v>
      </c>
      <c r="N790">
        <v>0</v>
      </c>
      <c r="O790" s="14">
        <f t="shared" si="37"/>
        <v>0</v>
      </c>
      <c r="P790">
        <f t="shared" si="36"/>
        <v>7.7129014331484447E-2</v>
      </c>
      <c r="Q790">
        <f t="shared" si="38"/>
        <v>-8.0265831422897102E-2</v>
      </c>
    </row>
    <row r="791" spans="1:17" x14ac:dyDescent="0.4">
      <c r="A791">
        <v>789</v>
      </c>
      <c r="B791">
        <v>1</v>
      </c>
      <c r="C791">
        <v>2</v>
      </c>
      <c r="D791">
        <v>20.574999999999999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1</v>
      </c>
      <c r="K791">
        <v>0</v>
      </c>
      <c r="L791">
        <v>0</v>
      </c>
      <c r="M791">
        <v>1</v>
      </c>
      <c r="N791">
        <v>1</v>
      </c>
      <c r="O791" s="14">
        <f t="shared" si="37"/>
        <v>0</v>
      </c>
      <c r="P791">
        <f t="shared" si="36"/>
        <v>0.14955003444157403</v>
      </c>
      <c r="Q791">
        <f t="shared" si="38"/>
        <v>-1.9001242636048088</v>
      </c>
    </row>
    <row r="792" spans="1:17" x14ac:dyDescent="0.4">
      <c r="A792">
        <v>790</v>
      </c>
      <c r="B792">
        <v>0</v>
      </c>
      <c r="C792">
        <v>0</v>
      </c>
      <c r="D792">
        <v>79.2</v>
      </c>
      <c r="E792">
        <v>46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1</v>
      </c>
      <c r="N792">
        <v>0</v>
      </c>
      <c r="O792" s="14">
        <f t="shared" si="37"/>
        <v>0</v>
      </c>
      <c r="P792">
        <f t="shared" si="36"/>
        <v>0.43990947308185241</v>
      </c>
      <c r="Q792">
        <f t="shared" si="38"/>
        <v>-0.57965685310676007</v>
      </c>
    </row>
    <row r="793" spans="1:17" x14ac:dyDescent="0.4">
      <c r="A793">
        <v>791</v>
      </c>
      <c r="B793">
        <v>0</v>
      </c>
      <c r="C793">
        <v>0</v>
      </c>
      <c r="D793">
        <v>7.75</v>
      </c>
      <c r="E793">
        <v>28</v>
      </c>
      <c r="F793">
        <v>0</v>
      </c>
      <c r="G793">
        <v>0</v>
      </c>
      <c r="H793">
        <v>0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 s="14">
        <f t="shared" si="37"/>
        <v>0</v>
      </c>
      <c r="P793">
        <f t="shared" si="36"/>
        <v>0.12770204164315915</v>
      </c>
      <c r="Q793">
        <f t="shared" si="38"/>
        <v>-0.13662421807437358</v>
      </c>
    </row>
    <row r="794" spans="1:17" x14ac:dyDescent="0.4">
      <c r="A794">
        <v>792</v>
      </c>
      <c r="B794">
        <v>0</v>
      </c>
      <c r="C794">
        <v>0</v>
      </c>
      <c r="D794">
        <v>26</v>
      </c>
      <c r="E794">
        <v>16</v>
      </c>
      <c r="F794">
        <v>0</v>
      </c>
      <c r="G794">
        <v>0</v>
      </c>
      <c r="H794">
        <v>1</v>
      </c>
      <c r="I794">
        <v>0</v>
      </c>
      <c r="J794">
        <v>1</v>
      </c>
      <c r="K794">
        <v>0</v>
      </c>
      <c r="L794">
        <v>0</v>
      </c>
      <c r="M794">
        <v>1</v>
      </c>
      <c r="N794">
        <v>0</v>
      </c>
      <c r="O794" s="14">
        <f t="shared" si="37"/>
        <v>0</v>
      </c>
      <c r="P794">
        <f t="shared" si="36"/>
        <v>0.36239742381937412</v>
      </c>
      <c r="Q794">
        <f t="shared" si="38"/>
        <v>-0.4500401110804394</v>
      </c>
    </row>
    <row r="795" spans="1:17" x14ac:dyDescent="0.4">
      <c r="A795">
        <v>793</v>
      </c>
      <c r="B795">
        <v>8</v>
      </c>
      <c r="C795">
        <v>2</v>
      </c>
      <c r="D795">
        <v>69.55</v>
      </c>
      <c r="E795">
        <v>28</v>
      </c>
      <c r="F795">
        <v>1</v>
      </c>
      <c r="G795">
        <v>0</v>
      </c>
      <c r="H795">
        <v>0</v>
      </c>
      <c r="I795">
        <v>1</v>
      </c>
      <c r="J795">
        <v>1</v>
      </c>
      <c r="K795">
        <v>0</v>
      </c>
      <c r="L795">
        <v>0</v>
      </c>
      <c r="M795">
        <v>1</v>
      </c>
      <c r="N795">
        <v>0</v>
      </c>
      <c r="O795" s="14">
        <f t="shared" si="37"/>
        <v>0</v>
      </c>
      <c r="P795">
        <f t="shared" si="36"/>
        <v>9.9958507010454611E-2</v>
      </c>
      <c r="Q795">
        <f t="shared" si="38"/>
        <v>-0.10531441339883467</v>
      </c>
    </row>
    <row r="796" spans="1:17" x14ac:dyDescent="0.4">
      <c r="A796">
        <v>794</v>
      </c>
      <c r="B796">
        <v>0</v>
      </c>
      <c r="C796">
        <v>0</v>
      </c>
      <c r="D796">
        <v>30.695799999999998</v>
      </c>
      <c r="E796">
        <v>28</v>
      </c>
      <c r="F796">
        <v>0</v>
      </c>
      <c r="G796">
        <v>1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1</v>
      </c>
      <c r="N796">
        <v>0</v>
      </c>
      <c r="O796" s="14">
        <f t="shared" si="37"/>
        <v>1</v>
      </c>
      <c r="P796">
        <f t="shared" si="36"/>
        <v>0.58382511734106946</v>
      </c>
      <c r="Q796">
        <f t="shared" si="38"/>
        <v>-0.87664971605337139</v>
      </c>
    </row>
    <row r="797" spans="1:17" x14ac:dyDescent="0.4">
      <c r="A797">
        <v>795</v>
      </c>
      <c r="B797">
        <v>0</v>
      </c>
      <c r="C797">
        <v>0</v>
      </c>
      <c r="D797">
        <v>7.8958000000000004</v>
      </c>
      <c r="E797">
        <v>25</v>
      </c>
      <c r="F797">
        <v>0</v>
      </c>
      <c r="G797">
        <v>0</v>
      </c>
      <c r="H797">
        <v>0</v>
      </c>
      <c r="I797">
        <v>1</v>
      </c>
      <c r="J797">
        <v>1</v>
      </c>
      <c r="K797">
        <v>0</v>
      </c>
      <c r="L797">
        <v>0</v>
      </c>
      <c r="M797">
        <v>1</v>
      </c>
      <c r="N797">
        <v>0</v>
      </c>
      <c r="O797" s="14">
        <f t="shared" si="37"/>
        <v>0</v>
      </c>
      <c r="P797">
        <f t="shared" si="36"/>
        <v>0.10121940512167511</v>
      </c>
      <c r="Q797">
        <f t="shared" si="38"/>
        <v>-0.10671632893704748</v>
      </c>
    </row>
    <row r="798" spans="1:17" x14ac:dyDescent="0.4">
      <c r="A798">
        <v>796</v>
      </c>
      <c r="B798">
        <v>0</v>
      </c>
      <c r="C798">
        <v>0</v>
      </c>
      <c r="D798">
        <v>13</v>
      </c>
      <c r="E798">
        <v>39</v>
      </c>
      <c r="F798">
        <v>0</v>
      </c>
      <c r="G798">
        <v>0</v>
      </c>
      <c r="H798">
        <v>1</v>
      </c>
      <c r="I798">
        <v>0</v>
      </c>
      <c r="J798">
        <v>1</v>
      </c>
      <c r="K798">
        <v>0</v>
      </c>
      <c r="L798">
        <v>0</v>
      </c>
      <c r="M798">
        <v>1</v>
      </c>
      <c r="N798">
        <v>0</v>
      </c>
      <c r="O798" s="14">
        <f t="shared" si="37"/>
        <v>0</v>
      </c>
      <c r="P798">
        <f t="shared" si="36"/>
        <v>0.18520667292643037</v>
      </c>
      <c r="Q798">
        <f t="shared" si="38"/>
        <v>-0.20482078431254344</v>
      </c>
    </row>
    <row r="799" spans="1:17" x14ac:dyDescent="0.4">
      <c r="A799">
        <v>797</v>
      </c>
      <c r="B799">
        <v>0</v>
      </c>
      <c r="C799">
        <v>0</v>
      </c>
      <c r="D799">
        <v>25.929200000000002</v>
      </c>
      <c r="E799">
        <v>49</v>
      </c>
      <c r="F799">
        <v>1</v>
      </c>
      <c r="G799">
        <v>1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1</v>
      </c>
      <c r="N799">
        <v>1</v>
      </c>
      <c r="O799" s="14">
        <f t="shared" si="37"/>
        <v>1</v>
      </c>
      <c r="P799">
        <f t="shared" si="36"/>
        <v>0.85852360499798563</v>
      </c>
      <c r="Q799">
        <f t="shared" si="38"/>
        <v>-0.15254110339303498</v>
      </c>
    </row>
    <row r="800" spans="1:17" x14ac:dyDescent="0.4">
      <c r="A800">
        <v>798</v>
      </c>
      <c r="B800">
        <v>0</v>
      </c>
      <c r="C800">
        <v>0</v>
      </c>
      <c r="D800">
        <v>8.6832999999999991</v>
      </c>
      <c r="E800">
        <v>31</v>
      </c>
      <c r="F800">
        <v>1</v>
      </c>
      <c r="G800">
        <v>0</v>
      </c>
      <c r="H800">
        <v>0</v>
      </c>
      <c r="I800">
        <v>1</v>
      </c>
      <c r="J800">
        <v>1</v>
      </c>
      <c r="K800">
        <v>0</v>
      </c>
      <c r="L800">
        <v>0</v>
      </c>
      <c r="M800">
        <v>1</v>
      </c>
      <c r="N800">
        <v>1</v>
      </c>
      <c r="O800" s="14">
        <f t="shared" si="37"/>
        <v>1</v>
      </c>
      <c r="P800">
        <f t="shared" si="36"/>
        <v>0.57604203571038648</v>
      </c>
      <c r="Q800">
        <f t="shared" si="38"/>
        <v>-0.55157464228519348</v>
      </c>
    </row>
    <row r="801" spans="1:17" x14ac:dyDescent="0.4">
      <c r="A801">
        <v>799</v>
      </c>
      <c r="B801">
        <v>0</v>
      </c>
      <c r="C801">
        <v>0</v>
      </c>
      <c r="D801">
        <v>7.2291999999999996</v>
      </c>
      <c r="E801">
        <v>30</v>
      </c>
      <c r="F801">
        <v>0</v>
      </c>
      <c r="G801">
        <v>0</v>
      </c>
      <c r="H801">
        <v>0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 s="14">
        <f t="shared" si="37"/>
        <v>0</v>
      </c>
      <c r="P801">
        <f t="shared" si="36"/>
        <v>0.12530804133252815</v>
      </c>
      <c r="Q801">
        <f t="shared" si="38"/>
        <v>-0.13388350184487402</v>
      </c>
    </row>
    <row r="802" spans="1:17" x14ac:dyDescent="0.4">
      <c r="A802">
        <v>800</v>
      </c>
      <c r="B802">
        <v>1</v>
      </c>
      <c r="C802">
        <v>1</v>
      </c>
      <c r="D802">
        <v>24.15</v>
      </c>
      <c r="E802">
        <v>30</v>
      </c>
      <c r="F802">
        <v>1</v>
      </c>
      <c r="G802">
        <v>0</v>
      </c>
      <c r="H802">
        <v>0</v>
      </c>
      <c r="I802">
        <v>1</v>
      </c>
      <c r="J802">
        <v>1</v>
      </c>
      <c r="K802">
        <v>0</v>
      </c>
      <c r="L802">
        <v>0</v>
      </c>
      <c r="M802">
        <v>1</v>
      </c>
      <c r="N802">
        <v>0</v>
      </c>
      <c r="O802" s="14">
        <f t="shared" si="37"/>
        <v>0</v>
      </c>
      <c r="P802">
        <f t="shared" si="36"/>
        <v>0.49148914365790636</v>
      </c>
      <c r="Q802">
        <f t="shared" si="38"/>
        <v>-0.6762687139827942</v>
      </c>
    </row>
    <row r="803" spans="1:17" x14ac:dyDescent="0.4">
      <c r="A803">
        <v>801</v>
      </c>
      <c r="B803">
        <v>0</v>
      </c>
      <c r="C803">
        <v>0</v>
      </c>
      <c r="D803">
        <v>13</v>
      </c>
      <c r="E803">
        <v>34</v>
      </c>
      <c r="F803">
        <v>0</v>
      </c>
      <c r="G803">
        <v>0</v>
      </c>
      <c r="H803">
        <v>1</v>
      </c>
      <c r="I803">
        <v>0</v>
      </c>
      <c r="J803">
        <v>1</v>
      </c>
      <c r="K803">
        <v>0</v>
      </c>
      <c r="L803">
        <v>0</v>
      </c>
      <c r="M803">
        <v>1</v>
      </c>
      <c r="N803">
        <v>0</v>
      </c>
      <c r="O803" s="14">
        <f t="shared" si="37"/>
        <v>0</v>
      </c>
      <c r="P803">
        <f t="shared" si="36"/>
        <v>0.21605011545420041</v>
      </c>
      <c r="Q803">
        <f t="shared" si="38"/>
        <v>-0.24341018344809151</v>
      </c>
    </row>
    <row r="804" spans="1:17" x14ac:dyDescent="0.4">
      <c r="A804">
        <v>802</v>
      </c>
      <c r="B804">
        <v>1</v>
      </c>
      <c r="C804">
        <v>1</v>
      </c>
      <c r="D804">
        <v>26.25</v>
      </c>
      <c r="E804">
        <v>31</v>
      </c>
      <c r="F804">
        <v>1</v>
      </c>
      <c r="G804">
        <v>0</v>
      </c>
      <c r="H804">
        <v>1</v>
      </c>
      <c r="I804">
        <v>0</v>
      </c>
      <c r="J804">
        <v>1</v>
      </c>
      <c r="K804">
        <v>0</v>
      </c>
      <c r="L804">
        <v>0</v>
      </c>
      <c r="M804">
        <v>1</v>
      </c>
      <c r="N804">
        <v>1</v>
      </c>
      <c r="O804" s="14">
        <f t="shared" si="37"/>
        <v>1</v>
      </c>
      <c r="P804">
        <f t="shared" si="36"/>
        <v>0.76170414761786043</v>
      </c>
      <c r="Q804">
        <f t="shared" si="38"/>
        <v>-0.2721970564063772</v>
      </c>
    </row>
    <row r="805" spans="1:17" x14ac:dyDescent="0.4">
      <c r="A805">
        <v>803</v>
      </c>
      <c r="B805">
        <v>1</v>
      </c>
      <c r="C805">
        <v>2</v>
      </c>
      <c r="D805">
        <v>120</v>
      </c>
      <c r="E805">
        <v>11</v>
      </c>
      <c r="F805">
        <v>0</v>
      </c>
      <c r="G805">
        <v>1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1</v>
      </c>
      <c r="N805">
        <v>1</v>
      </c>
      <c r="O805" s="14">
        <f t="shared" si="37"/>
        <v>1</v>
      </c>
      <c r="P805">
        <f t="shared" si="36"/>
        <v>0.56433904045186156</v>
      </c>
      <c r="Q805">
        <f t="shared" si="38"/>
        <v>-0.5721000725407317</v>
      </c>
    </row>
    <row r="806" spans="1:17" x14ac:dyDescent="0.4">
      <c r="A806">
        <v>804</v>
      </c>
      <c r="B806">
        <v>0</v>
      </c>
      <c r="C806">
        <v>1</v>
      </c>
      <c r="D806">
        <v>8.5167000000000002</v>
      </c>
      <c r="E806">
        <v>0.42</v>
      </c>
      <c r="F806">
        <v>0</v>
      </c>
      <c r="G806">
        <v>0</v>
      </c>
      <c r="H806">
        <v>0</v>
      </c>
      <c r="I806">
        <v>1</v>
      </c>
      <c r="J806">
        <v>0</v>
      </c>
      <c r="K806">
        <v>0</v>
      </c>
      <c r="L806">
        <v>1</v>
      </c>
      <c r="M806">
        <v>1</v>
      </c>
      <c r="N806">
        <v>1</v>
      </c>
      <c r="O806" s="14">
        <f t="shared" si="37"/>
        <v>0</v>
      </c>
      <c r="P806">
        <f t="shared" si="36"/>
        <v>0.29031345509723266</v>
      </c>
      <c r="Q806">
        <f t="shared" si="38"/>
        <v>-1.2367940600858016</v>
      </c>
    </row>
    <row r="807" spans="1:17" x14ac:dyDescent="0.4">
      <c r="A807">
        <v>805</v>
      </c>
      <c r="B807">
        <v>0</v>
      </c>
      <c r="C807">
        <v>0</v>
      </c>
      <c r="D807">
        <v>6.9749999999999996</v>
      </c>
      <c r="E807">
        <v>27</v>
      </c>
      <c r="F807">
        <v>0</v>
      </c>
      <c r="G807">
        <v>0</v>
      </c>
      <c r="H807">
        <v>0</v>
      </c>
      <c r="I807">
        <v>1</v>
      </c>
      <c r="J807">
        <v>1</v>
      </c>
      <c r="K807">
        <v>0</v>
      </c>
      <c r="L807">
        <v>0</v>
      </c>
      <c r="M807">
        <v>1</v>
      </c>
      <c r="N807">
        <v>1</v>
      </c>
      <c r="O807" s="14">
        <f t="shared" si="37"/>
        <v>0</v>
      </c>
      <c r="P807">
        <f t="shared" si="36"/>
        <v>9.4238019731828812E-2</v>
      </c>
      <c r="Q807">
        <f t="shared" si="38"/>
        <v>-2.361931572332014</v>
      </c>
    </row>
    <row r="808" spans="1:17" x14ac:dyDescent="0.4">
      <c r="A808">
        <v>806</v>
      </c>
      <c r="B808">
        <v>0</v>
      </c>
      <c r="C808">
        <v>0</v>
      </c>
      <c r="D808">
        <v>7.7750000000000004</v>
      </c>
      <c r="E808">
        <v>31</v>
      </c>
      <c r="F808">
        <v>0</v>
      </c>
      <c r="G808">
        <v>0</v>
      </c>
      <c r="H808">
        <v>0</v>
      </c>
      <c r="I808">
        <v>1</v>
      </c>
      <c r="J808">
        <v>1</v>
      </c>
      <c r="K808">
        <v>0</v>
      </c>
      <c r="L808">
        <v>0</v>
      </c>
      <c r="M808">
        <v>1</v>
      </c>
      <c r="N808">
        <v>0</v>
      </c>
      <c r="O808" s="14">
        <f t="shared" si="37"/>
        <v>0</v>
      </c>
      <c r="P808">
        <f t="shared" si="36"/>
        <v>8.2022152183047384E-2</v>
      </c>
      <c r="Q808">
        <f t="shared" si="38"/>
        <v>-8.5582019571154203E-2</v>
      </c>
    </row>
    <row r="809" spans="1:17" x14ac:dyDescent="0.4">
      <c r="A809">
        <v>807</v>
      </c>
      <c r="B809">
        <v>0</v>
      </c>
      <c r="C809">
        <v>0</v>
      </c>
      <c r="D809">
        <v>0</v>
      </c>
      <c r="E809">
        <v>39</v>
      </c>
      <c r="F809">
        <v>0</v>
      </c>
      <c r="G809">
        <v>1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1</v>
      </c>
      <c r="N809">
        <v>0</v>
      </c>
      <c r="O809" s="14">
        <f t="shared" si="37"/>
        <v>0</v>
      </c>
      <c r="P809">
        <f t="shared" si="36"/>
        <v>0.35619703099613681</v>
      </c>
      <c r="Q809">
        <f t="shared" si="38"/>
        <v>-0.44036254844141637</v>
      </c>
    </row>
    <row r="810" spans="1:17" x14ac:dyDescent="0.4">
      <c r="A810">
        <v>808</v>
      </c>
      <c r="B810">
        <v>0</v>
      </c>
      <c r="C810">
        <v>0</v>
      </c>
      <c r="D810">
        <v>7.7750000000000004</v>
      </c>
      <c r="E810">
        <v>18</v>
      </c>
      <c r="F810">
        <v>1</v>
      </c>
      <c r="G810">
        <v>0</v>
      </c>
      <c r="H810">
        <v>0</v>
      </c>
      <c r="I810">
        <v>1</v>
      </c>
      <c r="J810">
        <v>1</v>
      </c>
      <c r="K810">
        <v>0</v>
      </c>
      <c r="L810">
        <v>0</v>
      </c>
      <c r="M810">
        <v>1</v>
      </c>
      <c r="N810">
        <v>0</v>
      </c>
      <c r="O810" s="14">
        <f t="shared" si="37"/>
        <v>1</v>
      </c>
      <c r="P810">
        <f t="shared" si="36"/>
        <v>0.6910971330706509</v>
      </c>
      <c r="Q810">
        <f t="shared" si="38"/>
        <v>-1.1747283980085721</v>
      </c>
    </row>
    <row r="811" spans="1:17" x14ac:dyDescent="0.4">
      <c r="A811">
        <v>809</v>
      </c>
      <c r="B811">
        <v>0</v>
      </c>
      <c r="C811">
        <v>0</v>
      </c>
      <c r="D811">
        <v>13</v>
      </c>
      <c r="E811">
        <v>39</v>
      </c>
      <c r="F811">
        <v>0</v>
      </c>
      <c r="G811">
        <v>0</v>
      </c>
      <c r="H811">
        <v>1</v>
      </c>
      <c r="I811">
        <v>0</v>
      </c>
      <c r="J811">
        <v>1</v>
      </c>
      <c r="K811">
        <v>0</v>
      </c>
      <c r="L811">
        <v>0</v>
      </c>
      <c r="M811">
        <v>1</v>
      </c>
      <c r="N811">
        <v>0</v>
      </c>
      <c r="O811" s="14">
        <f t="shared" si="37"/>
        <v>0</v>
      </c>
      <c r="P811">
        <f t="shared" si="36"/>
        <v>0.18520667292643037</v>
      </c>
      <c r="Q811">
        <f t="shared" si="38"/>
        <v>-0.20482078431254344</v>
      </c>
    </row>
    <row r="812" spans="1:17" x14ac:dyDescent="0.4">
      <c r="A812">
        <v>810</v>
      </c>
      <c r="B812">
        <v>1</v>
      </c>
      <c r="C812">
        <v>0</v>
      </c>
      <c r="D812">
        <v>53.1</v>
      </c>
      <c r="E812">
        <v>33</v>
      </c>
      <c r="F812">
        <v>1</v>
      </c>
      <c r="G812">
        <v>1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1</v>
      </c>
      <c r="N812">
        <v>1</v>
      </c>
      <c r="O812" s="14">
        <f t="shared" si="37"/>
        <v>1</v>
      </c>
      <c r="P812">
        <f t="shared" si="36"/>
        <v>0.89670171708208091</v>
      </c>
      <c r="Q812">
        <f t="shared" si="38"/>
        <v>-0.10903200613572557</v>
      </c>
    </row>
    <row r="813" spans="1:17" x14ac:dyDescent="0.4">
      <c r="A813">
        <v>811</v>
      </c>
      <c r="B813">
        <v>0</v>
      </c>
      <c r="C813">
        <v>0</v>
      </c>
      <c r="D813">
        <v>7.8875000000000002</v>
      </c>
      <c r="E813">
        <v>26</v>
      </c>
      <c r="F813">
        <v>0</v>
      </c>
      <c r="G813">
        <v>0</v>
      </c>
      <c r="H813">
        <v>0</v>
      </c>
      <c r="I813">
        <v>1</v>
      </c>
      <c r="J813">
        <v>1</v>
      </c>
      <c r="K813">
        <v>0</v>
      </c>
      <c r="L813">
        <v>0</v>
      </c>
      <c r="M813">
        <v>1</v>
      </c>
      <c r="N813">
        <v>0</v>
      </c>
      <c r="O813" s="14">
        <f t="shared" si="37"/>
        <v>0</v>
      </c>
      <c r="P813">
        <f t="shared" si="36"/>
        <v>9.7766324685324132E-2</v>
      </c>
      <c r="Q813">
        <f t="shared" si="38"/>
        <v>-0.10288172892890897</v>
      </c>
    </row>
    <row r="814" spans="1:17" x14ac:dyDescent="0.4">
      <c r="A814">
        <v>812</v>
      </c>
      <c r="B814">
        <v>0</v>
      </c>
      <c r="C814">
        <v>0</v>
      </c>
      <c r="D814">
        <v>24.15</v>
      </c>
      <c r="E814">
        <v>39</v>
      </c>
      <c r="F814">
        <v>0</v>
      </c>
      <c r="G814">
        <v>0</v>
      </c>
      <c r="H814">
        <v>0</v>
      </c>
      <c r="I814">
        <v>1</v>
      </c>
      <c r="J814">
        <v>1</v>
      </c>
      <c r="K814">
        <v>0</v>
      </c>
      <c r="L814">
        <v>0</v>
      </c>
      <c r="M814">
        <v>1</v>
      </c>
      <c r="N814">
        <v>0</v>
      </c>
      <c r="O814" s="14">
        <f t="shared" si="37"/>
        <v>0</v>
      </c>
      <c r="P814">
        <f t="shared" si="36"/>
        <v>6.3858751767452454E-2</v>
      </c>
      <c r="Q814">
        <f t="shared" si="38"/>
        <v>-6.5988907658390772E-2</v>
      </c>
    </row>
    <row r="815" spans="1:17" x14ac:dyDescent="0.4">
      <c r="A815">
        <v>813</v>
      </c>
      <c r="B815">
        <v>0</v>
      </c>
      <c r="C815">
        <v>0</v>
      </c>
      <c r="D815">
        <v>10.5</v>
      </c>
      <c r="E815">
        <v>35</v>
      </c>
      <c r="F815">
        <v>0</v>
      </c>
      <c r="G815">
        <v>0</v>
      </c>
      <c r="H815">
        <v>1</v>
      </c>
      <c r="I815">
        <v>0</v>
      </c>
      <c r="J815">
        <v>1</v>
      </c>
      <c r="K815">
        <v>0</v>
      </c>
      <c r="L815">
        <v>0</v>
      </c>
      <c r="M815">
        <v>1</v>
      </c>
      <c r="N815">
        <v>0</v>
      </c>
      <c r="O815" s="14">
        <f t="shared" si="37"/>
        <v>0</v>
      </c>
      <c r="P815">
        <f t="shared" si="36"/>
        <v>0.2086294234921722</v>
      </c>
      <c r="Q815">
        <f t="shared" si="38"/>
        <v>-0.23398892976186486</v>
      </c>
    </row>
    <row r="816" spans="1:17" x14ac:dyDescent="0.4">
      <c r="A816">
        <v>814</v>
      </c>
      <c r="B816">
        <v>4</v>
      </c>
      <c r="C816">
        <v>2</v>
      </c>
      <c r="D816">
        <v>31.274999999999999</v>
      </c>
      <c r="E816">
        <v>6</v>
      </c>
      <c r="F816">
        <v>1</v>
      </c>
      <c r="G816">
        <v>0</v>
      </c>
      <c r="H816">
        <v>0</v>
      </c>
      <c r="I816">
        <v>1</v>
      </c>
      <c r="J816">
        <v>1</v>
      </c>
      <c r="K816">
        <v>0</v>
      </c>
      <c r="L816">
        <v>0</v>
      </c>
      <c r="M816">
        <v>1</v>
      </c>
      <c r="N816">
        <v>0</v>
      </c>
      <c r="O816" s="14">
        <f t="shared" si="37"/>
        <v>0</v>
      </c>
      <c r="P816">
        <f t="shared" si="36"/>
        <v>0.46209293034926113</v>
      </c>
      <c r="Q816">
        <f t="shared" si="38"/>
        <v>-0.62006946673160557</v>
      </c>
    </row>
    <row r="817" spans="1:17" x14ac:dyDescent="0.4">
      <c r="A817">
        <v>815</v>
      </c>
      <c r="B817">
        <v>0</v>
      </c>
      <c r="C817">
        <v>0</v>
      </c>
      <c r="D817">
        <v>8.0500000000000007</v>
      </c>
      <c r="E817">
        <v>30.5</v>
      </c>
      <c r="F817">
        <v>0</v>
      </c>
      <c r="G817">
        <v>0</v>
      </c>
      <c r="H817">
        <v>0</v>
      </c>
      <c r="I817">
        <v>1</v>
      </c>
      <c r="J817">
        <v>1</v>
      </c>
      <c r="K817">
        <v>0</v>
      </c>
      <c r="L817">
        <v>0</v>
      </c>
      <c r="M817">
        <v>1</v>
      </c>
      <c r="N817">
        <v>0</v>
      </c>
      <c r="O817" s="14">
        <f t="shared" si="37"/>
        <v>0</v>
      </c>
      <c r="P817">
        <f t="shared" si="36"/>
        <v>8.3533479579210271E-2</v>
      </c>
      <c r="Q817">
        <f t="shared" si="38"/>
        <v>-8.7229742188713072E-2</v>
      </c>
    </row>
    <row r="818" spans="1:17" x14ac:dyDescent="0.4">
      <c r="A818">
        <v>816</v>
      </c>
      <c r="B818">
        <v>0</v>
      </c>
      <c r="C818">
        <v>0</v>
      </c>
      <c r="D818">
        <v>0</v>
      </c>
      <c r="E818">
        <v>28</v>
      </c>
      <c r="F818">
        <v>0</v>
      </c>
      <c r="G818">
        <v>1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1</v>
      </c>
      <c r="N818">
        <v>0</v>
      </c>
      <c r="O818" s="14">
        <f t="shared" si="37"/>
        <v>0</v>
      </c>
      <c r="P818">
        <f t="shared" si="36"/>
        <v>0.45806665159749288</v>
      </c>
      <c r="Q818">
        <f t="shared" si="38"/>
        <v>-0.6126122585314514</v>
      </c>
    </row>
    <row r="819" spans="1:17" x14ac:dyDescent="0.4">
      <c r="A819">
        <v>817</v>
      </c>
      <c r="B819">
        <v>0</v>
      </c>
      <c r="C819">
        <v>0</v>
      </c>
      <c r="D819">
        <v>7.9249999999999998</v>
      </c>
      <c r="E819">
        <v>23</v>
      </c>
      <c r="F819">
        <v>1</v>
      </c>
      <c r="G819">
        <v>0</v>
      </c>
      <c r="H819">
        <v>0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 s="14">
        <f t="shared" si="37"/>
        <v>1</v>
      </c>
      <c r="P819">
        <f t="shared" si="36"/>
        <v>0.64861956305839086</v>
      </c>
      <c r="Q819">
        <f t="shared" si="38"/>
        <v>-1.0458857765443539</v>
      </c>
    </row>
    <row r="820" spans="1:17" x14ac:dyDescent="0.4">
      <c r="A820">
        <v>818</v>
      </c>
      <c r="B820">
        <v>1</v>
      </c>
      <c r="C820">
        <v>1</v>
      </c>
      <c r="D820">
        <v>37.004199999999997</v>
      </c>
      <c r="E820">
        <v>31</v>
      </c>
      <c r="F820">
        <v>0</v>
      </c>
      <c r="G820">
        <v>0</v>
      </c>
      <c r="H820">
        <v>1</v>
      </c>
      <c r="I820">
        <v>0</v>
      </c>
      <c r="J820">
        <v>0</v>
      </c>
      <c r="K820">
        <v>0</v>
      </c>
      <c r="L820">
        <v>1</v>
      </c>
      <c r="M820">
        <v>1</v>
      </c>
      <c r="N820">
        <v>0</v>
      </c>
      <c r="O820" s="14">
        <f t="shared" si="37"/>
        <v>0</v>
      </c>
      <c r="P820">
        <f t="shared" si="36"/>
        <v>0.25019499100819553</v>
      </c>
      <c r="Q820">
        <f t="shared" si="38"/>
        <v>-0.2879420942654502</v>
      </c>
    </row>
    <row r="821" spans="1:17" x14ac:dyDescent="0.4">
      <c r="A821">
        <v>819</v>
      </c>
      <c r="B821">
        <v>0</v>
      </c>
      <c r="C821">
        <v>0</v>
      </c>
      <c r="D821">
        <v>6.45</v>
      </c>
      <c r="E821">
        <v>43</v>
      </c>
      <c r="F821">
        <v>0</v>
      </c>
      <c r="G821">
        <v>0</v>
      </c>
      <c r="H821">
        <v>0</v>
      </c>
      <c r="I821">
        <v>1</v>
      </c>
      <c r="J821">
        <v>1</v>
      </c>
      <c r="K821">
        <v>0</v>
      </c>
      <c r="L821">
        <v>0</v>
      </c>
      <c r="M821">
        <v>1</v>
      </c>
      <c r="N821">
        <v>0</v>
      </c>
      <c r="O821" s="14">
        <f t="shared" si="37"/>
        <v>0</v>
      </c>
      <c r="P821">
        <f t="shared" si="36"/>
        <v>5.3121529792915782E-2</v>
      </c>
      <c r="Q821">
        <f t="shared" si="38"/>
        <v>-5.4584525385947338E-2</v>
      </c>
    </row>
    <row r="822" spans="1:17" x14ac:dyDescent="0.4">
      <c r="A822">
        <v>820</v>
      </c>
      <c r="B822">
        <v>3</v>
      </c>
      <c r="C822">
        <v>2</v>
      </c>
      <c r="D822">
        <v>27.9</v>
      </c>
      <c r="E822">
        <v>10</v>
      </c>
      <c r="F822">
        <v>0</v>
      </c>
      <c r="G822">
        <v>0</v>
      </c>
      <c r="H822">
        <v>0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 s="14">
        <f t="shared" si="37"/>
        <v>0</v>
      </c>
      <c r="P822">
        <f t="shared" si="36"/>
        <v>6.2292816499978823E-2</v>
      </c>
      <c r="Q822">
        <f t="shared" si="38"/>
        <v>-6.4317549820175221E-2</v>
      </c>
    </row>
    <row r="823" spans="1:17" x14ac:dyDescent="0.4">
      <c r="A823">
        <v>821</v>
      </c>
      <c r="B823">
        <v>1</v>
      </c>
      <c r="C823">
        <v>1</v>
      </c>
      <c r="D823">
        <v>93.5</v>
      </c>
      <c r="E823">
        <v>52</v>
      </c>
      <c r="F823">
        <v>1</v>
      </c>
      <c r="G823">
        <v>1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1</v>
      </c>
      <c r="N823">
        <v>1</v>
      </c>
      <c r="O823" s="14">
        <f t="shared" si="37"/>
        <v>1</v>
      </c>
      <c r="P823">
        <f t="shared" si="36"/>
        <v>0.80693848159681203</v>
      </c>
      <c r="Q823">
        <f t="shared" si="38"/>
        <v>-0.21450784460080202</v>
      </c>
    </row>
    <row r="824" spans="1:17" x14ac:dyDescent="0.4">
      <c r="A824">
        <v>822</v>
      </c>
      <c r="B824">
        <v>0</v>
      </c>
      <c r="C824">
        <v>0</v>
      </c>
      <c r="D824">
        <v>8.6624999999999996</v>
      </c>
      <c r="E824">
        <v>27</v>
      </c>
      <c r="F824">
        <v>0</v>
      </c>
      <c r="G824">
        <v>0</v>
      </c>
      <c r="H824">
        <v>0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1</v>
      </c>
      <c r="O824" s="14">
        <f t="shared" si="37"/>
        <v>0</v>
      </c>
      <c r="P824">
        <f t="shared" si="36"/>
        <v>9.4575416652991823E-2</v>
      </c>
      <c r="Q824">
        <f t="shared" si="38"/>
        <v>-2.3583577029428322</v>
      </c>
    </row>
    <row r="825" spans="1:17" x14ac:dyDescent="0.4">
      <c r="A825">
        <v>823</v>
      </c>
      <c r="B825">
        <v>0</v>
      </c>
      <c r="C825">
        <v>0</v>
      </c>
      <c r="D825">
        <v>0</v>
      </c>
      <c r="E825">
        <v>38</v>
      </c>
      <c r="F825">
        <v>0</v>
      </c>
      <c r="G825">
        <v>1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1</v>
      </c>
      <c r="N825">
        <v>0</v>
      </c>
      <c r="O825" s="14">
        <f t="shared" si="37"/>
        <v>0</v>
      </c>
      <c r="P825">
        <f t="shared" si="36"/>
        <v>0.36507983607416011</v>
      </c>
      <c r="Q825">
        <f t="shared" si="38"/>
        <v>-0.45425601409467364</v>
      </c>
    </row>
    <row r="826" spans="1:17" x14ac:dyDescent="0.4">
      <c r="A826">
        <v>824</v>
      </c>
      <c r="B826">
        <v>0</v>
      </c>
      <c r="C826">
        <v>1</v>
      </c>
      <c r="D826">
        <v>12.475</v>
      </c>
      <c r="E826">
        <v>27</v>
      </c>
      <c r="F826">
        <v>1</v>
      </c>
      <c r="G826">
        <v>0</v>
      </c>
      <c r="H826">
        <v>0</v>
      </c>
      <c r="I826">
        <v>1</v>
      </c>
      <c r="J826">
        <v>1</v>
      </c>
      <c r="K826">
        <v>0</v>
      </c>
      <c r="L826">
        <v>0</v>
      </c>
      <c r="M826">
        <v>1</v>
      </c>
      <c r="N826">
        <v>1</v>
      </c>
      <c r="O826" s="14">
        <f t="shared" si="37"/>
        <v>1</v>
      </c>
      <c r="P826">
        <f t="shared" si="36"/>
        <v>0.59294547413229903</v>
      </c>
      <c r="Q826">
        <f t="shared" si="38"/>
        <v>-0.52265283339867674</v>
      </c>
    </row>
    <row r="827" spans="1:17" x14ac:dyDescent="0.4">
      <c r="A827">
        <v>825</v>
      </c>
      <c r="B827">
        <v>4</v>
      </c>
      <c r="C827">
        <v>1</v>
      </c>
      <c r="D827">
        <v>39.6875</v>
      </c>
      <c r="E827">
        <v>2</v>
      </c>
      <c r="F827">
        <v>0</v>
      </c>
      <c r="G827">
        <v>0</v>
      </c>
      <c r="H827">
        <v>0</v>
      </c>
      <c r="I827">
        <v>1</v>
      </c>
      <c r="J827">
        <v>1</v>
      </c>
      <c r="K827">
        <v>0</v>
      </c>
      <c r="L827">
        <v>0</v>
      </c>
      <c r="M827">
        <v>1</v>
      </c>
      <c r="N827">
        <v>0</v>
      </c>
      <c r="O827" s="14">
        <f t="shared" si="37"/>
        <v>0</v>
      </c>
      <c r="P827">
        <f t="shared" si="36"/>
        <v>6.8856434918267442E-2</v>
      </c>
      <c r="Q827">
        <f t="shared" si="38"/>
        <v>-7.1341808349939792E-2</v>
      </c>
    </row>
    <row r="828" spans="1:17" x14ac:dyDescent="0.4">
      <c r="A828">
        <v>826</v>
      </c>
      <c r="B828">
        <v>0</v>
      </c>
      <c r="C828">
        <v>0</v>
      </c>
      <c r="D828">
        <v>6.95</v>
      </c>
      <c r="E828">
        <v>28</v>
      </c>
      <c r="F828">
        <v>0</v>
      </c>
      <c r="G828">
        <v>0</v>
      </c>
      <c r="H828">
        <v>0</v>
      </c>
      <c r="I828">
        <v>1</v>
      </c>
      <c r="J828">
        <v>0</v>
      </c>
      <c r="K828">
        <v>1</v>
      </c>
      <c r="L828">
        <v>0</v>
      </c>
      <c r="M828">
        <v>1</v>
      </c>
      <c r="N828">
        <v>0</v>
      </c>
      <c r="O828" s="14">
        <f t="shared" si="37"/>
        <v>0</v>
      </c>
      <c r="P828">
        <f t="shared" si="36"/>
        <v>0.12749377878633419</v>
      </c>
      <c r="Q828">
        <f t="shared" si="38"/>
        <v>-0.13638549460012642</v>
      </c>
    </row>
    <row r="829" spans="1:17" x14ac:dyDescent="0.4">
      <c r="A829">
        <v>827</v>
      </c>
      <c r="B829">
        <v>0</v>
      </c>
      <c r="C829">
        <v>0</v>
      </c>
      <c r="D829">
        <v>56.495800000000003</v>
      </c>
      <c r="E829">
        <v>28</v>
      </c>
      <c r="F829">
        <v>0</v>
      </c>
      <c r="G829">
        <v>0</v>
      </c>
      <c r="H829">
        <v>0</v>
      </c>
      <c r="I829">
        <v>1</v>
      </c>
      <c r="J829">
        <v>1</v>
      </c>
      <c r="K829">
        <v>0</v>
      </c>
      <c r="L829">
        <v>0</v>
      </c>
      <c r="M829">
        <v>1</v>
      </c>
      <c r="N829">
        <v>0</v>
      </c>
      <c r="O829" s="14">
        <f t="shared" si="37"/>
        <v>0</v>
      </c>
      <c r="P829">
        <f t="shared" si="36"/>
        <v>0.10104495854089617</v>
      </c>
      <c r="Q829">
        <f t="shared" si="38"/>
        <v>-0.10652225526147417</v>
      </c>
    </row>
    <row r="830" spans="1:17" x14ac:dyDescent="0.4">
      <c r="A830">
        <v>828</v>
      </c>
      <c r="B830">
        <v>0</v>
      </c>
      <c r="C830">
        <v>2</v>
      </c>
      <c r="D830">
        <v>37.004199999999997</v>
      </c>
      <c r="E830">
        <v>1</v>
      </c>
      <c r="F830">
        <v>0</v>
      </c>
      <c r="G830">
        <v>0</v>
      </c>
      <c r="H830">
        <v>1</v>
      </c>
      <c r="I830">
        <v>0</v>
      </c>
      <c r="J830">
        <v>0</v>
      </c>
      <c r="K830">
        <v>0</v>
      </c>
      <c r="L830">
        <v>1</v>
      </c>
      <c r="M830">
        <v>1</v>
      </c>
      <c r="N830">
        <v>1</v>
      </c>
      <c r="O830" s="14">
        <f t="shared" si="37"/>
        <v>1</v>
      </c>
      <c r="P830">
        <f t="shared" si="36"/>
        <v>0.57120292546339613</v>
      </c>
      <c r="Q830">
        <f t="shared" si="38"/>
        <v>-0.5600107463602908</v>
      </c>
    </row>
    <row r="831" spans="1:17" x14ac:dyDescent="0.4">
      <c r="A831">
        <v>829</v>
      </c>
      <c r="B831">
        <v>0</v>
      </c>
      <c r="C831">
        <v>0</v>
      </c>
      <c r="D831">
        <v>7.75</v>
      </c>
      <c r="E831">
        <v>28</v>
      </c>
      <c r="F831">
        <v>0</v>
      </c>
      <c r="G831">
        <v>0</v>
      </c>
      <c r="H831">
        <v>0</v>
      </c>
      <c r="I831">
        <v>1</v>
      </c>
      <c r="J831">
        <v>0</v>
      </c>
      <c r="K831">
        <v>1</v>
      </c>
      <c r="L831">
        <v>0</v>
      </c>
      <c r="M831">
        <v>1</v>
      </c>
      <c r="N831">
        <v>1</v>
      </c>
      <c r="O831" s="14">
        <f t="shared" si="37"/>
        <v>0</v>
      </c>
      <c r="P831">
        <f t="shared" si="36"/>
        <v>0.12770204164315915</v>
      </c>
      <c r="Q831">
        <f t="shared" si="38"/>
        <v>-2.0580555282628397</v>
      </c>
    </row>
    <row r="832" spans="1:17" x14ac:dyDescent="0.4">
      <c r="A832">
        <v>830</v>
      </c>
      <c r="B832">
        <v>0</v>
      </c>
      <c r="C832">
        <v>0</v>
      </c>
      <c r="D832">
        <v>80</v>
      </c>
      <c r="E832">
        <v>62</v>
      </c>
      <c r="F832">
        <v>1</v>
      </c>
      <c r="G832">
        <v>1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1</v>
      </c>
      <c r="N832">
        <v>1</v>
      </c>
      <c r="O832" s="14">
        <f t="shared" si="37"/>
        <v>1</v>
      </c>
      <c r="P832">
        <f t="shared" si="36"/>
        <v>0.8066989256626057</v>
      </c>
      <c r="Q832">
        <f t="shared" si="38"/>
        <v>-0.21480475880827951</v>
      </c>
    </row>
    <row r="833" spans="1:17" x14ac:dyDescent="0.4">
      <c r="A833">
        <v>831</v>
      </c>
      <c r="B833">
        <v>1</v>
      </c>
      <c r="C833">
        <v>0</v>
      </c>
      <c r="D833">
        <v>14.4542</v>
      </c>
      <c r="E833">
        <v>15</v>
      </c>
      <c r="F833">
        <v>1</v>
      </c>
      <c r="G833">
        <v>0</v>
      </c>
      <c r="H833">
        <v>0</v>
      </c>
      <c r="I833">
        <v>1</v>
      </c>
      <c r="J833">
        <v>0</v>
      </c>
      <c r="K833">
        <v>0</v>
      </c>
      <c r="L833">
        <v>1</v>
      </c>
      <c r="M833">
        <v>1</v>
      </c>
      <c r="N833">
        <v>1</v>
      </c>
      <c r="O833" s="14">
        <f t="shared" si="37"/>
        <v>1</v>
      </c>
      <c r="P833">
        <f t="shared" si="36"/>
        <v>0.74065182610355906</v>
      </c>
      <c r="Q833">
        <f t="shared" si="38"/>
        <v>-0.30022463441528174</v>
      </c>
    </row>
    <row r="834" spans="1:17" x14ac:dyDescent="0.4">
      <c r="A834">
        <v>832</v>
      </c>
      <c r="B834">
        <v>1</v>
      </c>
      <c r="C834">
        <v>1</v>
      </c>
      <c r="D834">
        <v>18.75</v>
      </c>
      <c r="E834">
        <v>0.83</v>
      </c>
      <c r="F834">
        <v>0</v>
      </c>
      <c r="G834">
        <v>0</v>
      </c>
      <c r="H834">
        <v>1</v>
      </c>
      <c r="I834">
        <v>0</v>
      </c>
      <c r="J834">
        <v>1</v>
      </c>
      <c r="K834">
        <v>0</v>
      </c>
      <c r="L834">
        <v>0</v>
      </c>
      <c r="M834">
        <v>1</v>
      </c>
      <c r="N834">
        <v>1</v>
      </c>
      <c r="O834" s="14">
        <f t="shared" si="37"/>
        <v>0</v>
      </c>
      <c r="P834">
        <f t="shared" si="36"/>
        <v>0.39824414912338196</v>
      </c>
      <c r="Q834">
        <f t="shared" si="38"/>
        <v>-0.92069002176661174</v>
      </c>
    </row>
    <row r="835" spans="1:17" x14ac:dyDescent="0.4">
      <c r="A835">
        <v>833</v>
      </c>
      <c r="B835">
        <v>0</v>
      </c>
      <c r="C835">
        <v>0</v>
      </c>
      <c r="D835">
        <v>7.2291999999999996</v>
      </c>
      <c r="E835">
        <v>28</v>
      </c>
      <c r="F835">
        <v>0</v>
      </c>
      <c r="G835">
        <v>0</v>
      </c>
      <c r="H835">
        <v>0</v>
      </c>
      <c r="I835">
        <v>1</v>
      </c>
      <c r="J835">
        <v>0</v>
      </c>
      <c r="K835">
        <v>0</v>
      </c>
      <c r="L835">
        <v>1</v>
      </c>
      <c r="M835">
        <v>1</v>
      </c>
      <c r="N835">
        <v>0</v>
      </c>
      <c r="O835" s="14">
        <f t="shared" si="37"/>
        <v>0</v>
      </c>
      <c r="P835">
        <f t="shared" ref="P835:P893" si="39">1/(1+EXP(-SUMPRODUCT(B$1:M$1,B835:M835)))</f>
        <v>0.13399992402833119</v>
      </c>
      <c r="Q835">
        <f t="shared" si="38"/>
        <v>-0.14387028269260546</v>
      </c>
    </row>
    <row r="836" spans="1:17" x14ac:dyDescent="0.4">
      <c r="A836">
        <v>834</v>
      </c>
      <c r="B836">
        <v>0</v>
      </c>
      <c r="C836">
        <v>0</v>
      </c>
      <c r="D836">
        <v>7.8541999999999996</v>
      </c>
      <c r="E836">
        <v>23</v>
      </c>
      <c r="F836">
        <v>0</v>
      </c>
      <c r="G836">
        <v>0</v>
      </c>
      <c r="H836">
        <v>0</v>
      </c>
      <c r="I836">
        <v>1</v>
      </c>
      <c r="J836">
        <v>1</v>
      </c>
      <c r="K836">
        <v>0</v>
      </c>
      <c r="L836">
        <v>0</v>
      </c>
      <c r="M836">
        <v>1</v>
      </c>
      <c r="N836">
        <v>0</v>
      </c>
      <c r="O836" s="14">
        <f t="shared" ref="O836:O893" si="40">IF(P836&gt;0.5,1,0)</f>
        <v>0</v>
      </c>
      <c r="P836">
        <f t="shared" si="39"/>
        <v>0.10843815744025925</v>
      </c>
      <c r="Q836">
        <f t="shared" ref="Q836:Q893" si="41">N836*LN(P836)+(1-N836)*LN(1-P836)</f>
        <v>-0.1147804749769136</v>
      </c>
    </row>
    <row r="837" spans="1:17" x14ac:dyDescent="0.4">
      <c r="A837">
        <v>835</v>
      </c>
      <c r="B837">
        <v>0</v>
      </c>
      <c r="C837">
        <v>0</v>
      </c>
      <c r="D837">
        <v>8.3000000000000007</v>
      </c>
      <c r="E837">
        <v>18</v>
      </c>
      <c r="F837">
        <v>0</v>
      </c>
      <c r="G837">
        <v>0</v>
      </c>
      <c r="H837">
        <v>0</v>
      </c>
      <c r="I837">
        <v>1</v>
      </c>
      <c r="J837">
        <v>1</v>
      </c>
      <c r="K837">
        <v>0</v>
      </c>
      <c r="L837">
        <v>0</v>
      </c>
      <c r="M837">
        <v>1</v>
      </c>
      <c r="N837">
        <v>0</v>
      </c>
      <c r="O837" s="14">
        <f t="shared" si="40"/>
        <v>0</v>
      </c>
      <c r="P837">
        <f t="shared" si="39"/>
        <v>0.12863020776234882</v>
      </c>
      <c r="Q837">
        <f t="shared" si="41"/>
        <v>-0.1376888316815687</v>
      </c>
    </row>
    <row r="838" spans="1:17" x14ac:dyDescent="0.4">
      <c r="A838">
        <v>836</v>
      </c>
      <c r="B838">
        <v>1</v>
      </c>
      <c r="C838">
        <v>1</v>
      </c>
      <c r="D838">
        <v>83.158299999999997</v>
      </c>
      <c r="E838">
        <v>39</v>
      </c>
      <c r="F838">
        <v>1</v>
      </c>
      <c r="G838">
        <v>1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1</v>
      </c>
      <c r="N838">
        <v>1</v>
      </c>
      <c r="O838" s="14">
        <f t="shared" si="40"/>
        <v>1</v>
      </c>
      <c r="P838">
        <f t="shared" si="39"/>
        <v>0.9122740412626944</v>
      </c>
      <c r="Q838">
        <f t="shared" si="41"/>
        <v>-9.1814850203359652E-2</v>
      </c>
    </row>
    <row r="839" spans="1:17" x14ac:dyDescent="0.4">
      <c r="A839">
        <v>837</v>
      </c>
      <c r="B839">
        <v>0</v>
      </c>
      <c r="C839">
        <v>0</v>
      </c>
      <c r="D839">
        <v>8.6624999999999996</v>
      </c>
      <c r="E839">
        <v>21</v>
      </c>
      <c r="F839">
        <v>0</v>
      </c>
      <c r="G839">
        <v>0</v>
      </c>
      <c r="H839">
        <v>0</v>
      </c>
      <c r="I839">
        <v>1</v>
      </c>
      <c r="J839">
        <v>1</v>
      </c>
      <c r="K839">
        <v>0</v>
      </c>
      <c r="L839">
        <v>0</v>
      </c>
      <c r="M839">
        <v>1</v>
      </c>
      <c r="N839">
        <v>0</v>
      </c>
      <c r="O839" s="14">
        <f t="shared" si="40"/>
        <v>0</v>
      </c>
      <c r="P839">
        <f t="shared" si="39"/>
        <v>0.11630936312723526</v>
      </c>
      <c r="Q839">
        <f t="shared" si="41"/>
        <v>-0.12364823588291354</v>
      </c>
    </row>
    <row r="840" spans="1:17" x14ac:dyDescent="0.4">
      <c r="A840">
        <v>838</v>
      </c>
      <c r="B840">
        <v>0</v>
      </c>
      <c r="C840">
        <v>0</v>
      </c>
      <c r="D840">
        <v>8.0500000000000007</v>
      </c>
      <c r="E840">
        <v>28</v>
      </c>
      <c r="F840">
        <v>0</v>
      </c>
      <c r="G840">
        <v>0</v>
      </c>
      <c r="H840">
        <v>0</v>
      </c>
      <c r="I840">
        <v>1</v>
      </c>
      <c r="J840">
        <v>1</v>
      </c>
      <c r="K840">
        <v>0</v>
      </c>
      <c r="L840">
        <v>0</v>
      </c>
      <c r="M840">
        <v>1</v>
      </c>
      <c r="N840">
        <v>0</v>
      </c>
      <c r="O840" s="14">
        <f t="shared" si="40"/>
        <v>0</v>
      </c>
      <c r="P840">
        <f t="shared" si="39"/>
        <v>9.1208772698105012E-2</v>
      </c>
      <c r="Q840">
        <f t="shared" si="41"/>
        <v>-9.5639884118734919E-2</v>
      </c>
    </row>
    <row r="841" spans="1:17" x14ac:dyDescent="0.4">
      <c r="A841">
        <v>839</v>
      </c>
      <c r="B841">
        <v>0</v>
      </c>
      <c r="C841">
        <v>0</v>
      </c>
      <c r="D841">
        <v>56.495800000000003</v>
      </c>
      <c r="E841">
        <v>32</v>
      </c>
      <c r="F841">
        <v>0</v>
      </c>
      <c r="G841">
        <v>0</v>
      </c>
      <c r="H841">
        <v>0</v>
      </c>
      <c r="I841">
        <v>1</v>
      </c>
      <c r="J841">
        <v>1</v>
      </c>
      <c r="K841">
        <v>0</v>
      </c>
      <c r="L841">
        <v>0</v>
      </c>
      <c r="M841">
        <v>1</v>
      </c>
      <c r="N841">
        <v>1</v>
      </c>
      <c r="O841" s="14">
        <f t="shared" si="40"/>
        <v>0</v>
      </c>
      <c r="P841">
        <f t="shared" si="39"/>
        <v>8.7882395625793627E-2</v>
      </c>
      <c r="Q841">
        <f t="shared" si="41"/>
        <v>-2.4317557716439069</v>
      </c>
    </row>
    <row r="842" spans="1:17" x14ac:dyDescent="0.4">
      <c r="A842">
        <v>840</v>
      </c>
      <c r="B842">
        <v>0</v>
      </c>
      <c r="C842">
        <v>0</v>
      </c>
      <c r="D842">
        <v>29.7</v>
      </c>
      <c r="E842">
        <v>28</v>
      </c>
      <c r="F842">
        <v>0</v>
      </c>
      <c r="G842">
        <v>1</v>
      </c>
      <c r="H842">
        <v>0</v>
      </c>
      <c r="I842">
        <v>0</v>
      </c>
      <c r="J842">
        <v>0</v>
      </c>
      <c r="K842">
        <v>0</v>
      </c>
      <c r="L842">
        <v>1</v>
      </c>
      <c r="M842">
        <v>1</v>
      </c>
      <c r="N842">
        <v>1</v>
      </c>
      <c r="O842" s="14">
        <f t="shared" si="40"/>
        <v>1</v>
      </c>
      <c r="P842">
        <f t="shared" si="39"/>
        <v>0.58325916870874595</v>
      </c>
      <c r="Q842">
        <f t="shared" si="41"/>
        <v>-0.53912364817201563</v>
      </c>
    </row>
    <row r="843" spans="1:17" x14ac:dyDescent="0.4">
      <c r="A843">
        <v>841</v>
      </c>
      <c r="B843">
        <v>0</v>
      </c>
      <c r="C843">
        <v>0</v>
      </c>
      <c r="D843">
        <v>7.9249999999999998</v>
      </c>
      <c r="E843">
        <v>20</v>
      </c>
      <c r="F843">
        <v>0</v>
      </c>
      <c r="G843">
        <v>0</v>
      </c>
      <c r="H843">
        <v>0</v>
      </c>
      <c r="I843">
        <v>1</v>
      </c>
      <c r="J843">
        <v>1</v>
      </c>
      <c r="K843">
        <v>0</v>
      </c>
      <c r="L843">
        <v>0</v>
      </c>
      <c r="M843">
        <v>1</v>
      </c>
      <c r="N843">
        <v>0</v>
      </c>
      <c r="O843" s="14">
        <f t="shared" si="40"/>
        <v>0</v>
      </c>
      <c r="P843">
        <f t="shared" si="39"/>
        <v>0.12014553326407001</v>
      </c>
      <c r="Q843">
        <f t="shared" si="41"/>
        <v>-0.12799876389562193</v>
      </c>
    </row>
    <row r="844" spans="1:17" x14ac:dyDescent="0.4">
      <c r="A844">
        <v>842</v>
      </c>
      <c r="B844">
        <v>0</v>
      </c>
      <c r="C844">
        <v>0</v>
      </c>
      <c r="D844">
        <v>10.5</v>
      </c>
      <c r="E844">
        <v>16</v>
      </c>
      <c r="F844">
        <v>0</v>
      </c>
      <c r="G844">
        <v>0</v>
      </c>
      <c r="H844">
        <v>1</v>
      </c>
      <c r="I844">
        <v>0</v>
      </c>
      <c r="J844">
        <v>1</v>
      </c>
      <c r="K844">
        <v>0</v>
      </c>
      <c r="L844">
        <v>0</v>
      </c>
      <c r="M844">
        <v>1</v>
      </c>
      <c r="N844">
        <v>0</v>
      </c>
      <c r="O844" s="14">
        <f t="shared" si="40"/>
        <v>0</v>
      </c>
      <c r="P844">
        <f t="shared" si="39"/>
        <v>0.35406405957978154</v>
      </c>
      <c r="Q844">
        <f t="shared" si="41"/>
        <v>-0.43705494355274804</v>
      </c>
    </row>
    <row r="845" spans="1:17" x14ac:dyDescent="0.4">
      <c r="A845">
        <v>843</v>
      </c>
      <c r="B845">
        <v>0</v>
      </c>
      <c r="C845">
        <v>0</v>
      </c>
      <c r="D845">
        <v>31</v>
      </c>
      <c r="E845">
        <v>30</v>
      </c>
      <c r="F845">
        <v>1</v>
      </c>
      <c r="G845">
        <v>1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1</v>
      </c>
      <c r="O845" s="14">
        <f t="shared" si="40"/>
        <v>1</v>
      </c>
      <c r="P845">
        <f t="shared" si="39"/>
        <v>0.95174337918743013</v>
      </c>
      <c r="Q845">
        <f t="shared" si="41"/>
        <v>-4.9459840205580953E-2</v>
      </c>
    </row>
    <row r="846" spans="1:17" x14ac:dyDescent="0.4">
      <c r="A846">
        <v>844</v>
      </c>
      <c r="B846">
        <v>0</v>
      </c>
      <c r="C846">
        <v>0</v>
      </c>
      <c r="D846">
        <v>6.4375</v>
      </c>
      <c r="E846">
        <v>34.5</v>
      </c>
      <c r="F846">
        <v>0</v>
      </c>
      <c r="G846">
        <v>0</v>
      </c>
      <c r="H846">
        <v>0</v>
      </c>
      <c r="I846">
        <v>1</v>
      </c>
      <c r="J846">
        <v>0</v>
      </c>
      <c r="K846">
        <v>0</v>
      </c>
      <c r="L846">
        <v>1</v>
      </c>
      <c r="M846">
        <v>1</v>
      </c>
      <c r="N846">
        <v>0</v>
      </c>
      <c r="O846" s="14">
        <f t="shared" si="40"/>
        <v>0</v>
      </c>
      <c r="P846">
        <f t="shared" si="39"/>
        <v>0.10732960119007773</v>
      </c>
      <c r="Q846">
        <f t="shared" si="41"/>
        <v>-0.11353786051549886</v>
      </c>
    </row>
    <row r="847" spans="1:17" x14ac:dyDescent="0.4">
      <c r="A847">
        <v>845</v>
      </c>
      <c r="B847">
        <v>0</v>
      </c>
      <c r="C847">
        <v>0</v>
      </c>
      <c r="D847">
        <v>8.6624999999999996</v>
      </c>
      <c r="E847">
        <v>17</v>
      </c>
      <c r="F847">
        <v>0</v>
      </c>
      <c r="G847">
        <v>0</v>
      </c>
      <c r="H847">
        <v>0</v>
      </c>
      <c r="I847">
        <v>1</v>
      </c>
      <c r="J847">
        <v>1</v>
      </c>
      <c r="K847">
        <v>0</v>
      </c>
      <c r="L847">
        <v>0</v>
      </c>
      <c r="M847">
        <v>1</v>
      </c>
      <c r="N847">
        <v>0</v>
      </c>
      <c r="O847" s="14">
        <f t="shared" si="40"/>
        <v>0</v>
      </c>
      <c r="P847">
        <f t="shared" si="39"/>
        <v>0.1331082364451126</v>
      </c>
      <c r="Q847">
        <f t="shared" si="41"/>
        <v>-0.14284115018522167</v>
      </c>
    </row>
    <row r="848" spans="1:17" x14ac:dyDescent="0.4">
      <c r="A848">
        <v>846</v>
      </c>
      <c r="B848">
        <v>0</v>
      </c>
      <c r="C848">
        <v>0</v>
      </c>
      <c r="D848">
        <v>7.55</v>
      </c>
      <c r="E848">
        <v>42</v>
      </c>
      <c r="F848">
        <v>0</v>
      </c>
      <c r="G848">
        <v>0</v>
      </c>
      <c r="H848">
        <v>0</v>
      </c>
      <c r="I848">
        <v>1</v>
      </c>
      <c r="J848">
        <v>1</v>
      </c>
      <c r="K848">
        <v>0</v>
      </c>
      <c r="L848">
        <v>0</v>
      </c>
      <c r="M848">
        <v>1</v>
      </c>
      <c r="N848">
        <v>0</v>
      </c>
      <c r="O848" s="14">
        <f t="shared" si="40"/>
        <v>0</v>
      </c>
      <c r="P848">
        <f t="shared" si="39"/>
        <v>5.5227117678438457E-2</v>
      </c>
      <c r="Q848">
        <f t="shared" si="41"/>
        <v>-5.6810716541419018E-2</v>
      </c>
    </row>
    <row r="849" spans="1:17" x14ac:dyDescent="0.4">
      <c r="A849">
        <v>847</v>
      </c>
      <c r="B849">
        <v>8</v>
      </c>
      <c r="C849">
        <v>2</v>
      </c>
      <c r="D849">
        <v>69.55</v>
      </c>
      <c r="E849">
        <v>28</v>
      </c>
      <c r="F849">
        <v>0</v>
      </c>
      <c r="G849">
        <v>0</v>
      </c>
      <c r="H849">
        <v>0</v>
      </c>
      <c r="I849">
        <v>1</v>
      </c>
      <c r="J849">
        <v>1</v>
      </c>
      <c r="K849">
        <v>0</v>
      </c>
      <c r="L849">
        <v>0</v>
      </c>
      <c r="M849">
        <v>1</v>
      </c>
      <c r="N849">
        <v>0</v>
      </c>
      <c r="O849" s="14">
        <f t="shared" si="40"/>
        <v>0</v>
      </c>
      <c r="P849">
        <f t="shared" si="39"/>
        <v>7.265748081018826E-3</v>
      </c>
      <c r="Q849">
        <f t="shared" si="41"/>
        <v>-7.2922721850061699E-3</v>
      </c>
    </row>
    <row r="850" spans="1:17" x14ac:dyDescent="0.4">
      <c r="A850">
        <v>848</v>
      </c>
      <c r="B850">
        <v>0</v>
      </c>
      <c r="C850">
        <v>0</v>
      </c>
      <c r="D850">
        <v>7.8958000000000004</v>
      </c>
      <c r="E850">
        <v>35</v>
      </c>
      <c r="F850">
        <v>0</v>
      </c>
      <c r="G850">
        <v>0</v>
      </c>
      <c r="H850">
        <v>0</v>
      </c>
      <c r="I850">
        <v>1</v>
      </c>
      <c r="J850">
        <v>0</v>
      </c>
      <c r="K850">
        <v>0</v>
      </c>
      <c r="L850">
        <v>1</v>
      </c>
      <c r="M850">
        <v>1</v>
      </c>
      <c r="N850">
        <v>0</v>
      </c>
      <c r="O850" s="14">
        <f t="shared" si="40"/>
        <v>0</v>
      </c>
      <c r="P850">
        <f t="shared" si="39"/>
        <v>0.10582021828503535</v>
      </c>
      <c r="Q850">
        <f t="shared" si="41"/>
        <v>-0.11184842591096553</v>
      </c>
    </row>
    <row r="851" spans="1:17" x14ac:dyDescent="0.4">
      <c r="A851">
        <v>849</v>
      </c>
      <c r="B851">
        <v>0</v>
      </c>
      <c r="C851">
        <v>1</v>
      </c>
      <c r="D851">
        <v>33</v>
      </c>
      <c r="E851">
        <v>28</v>
      </c>
      <c r="F851">
        <v>0</v>
      </c>
      <c r="G851">
        <v>0</v>
      </c>
      <c r="H851">
        <v>1</v>
      </c>
      <c r="I851">
        <v>0</v>
      </c>
      <c r="J851">
        <v>1</v>
      </c>
      <c r="K851">
        <v>0</v>
      </c>
      <c r="L851">
        <v>0</v>
      </c>
      <c r="M851">
        <v>1</v>
      </c>
      <c r="N851">
        <v>0</v>
      </c>
      <c r="O851" s="14">
        <f t="shared" si="40"/>
        <v>0</v>
      </c>
      <c r="P851">
        <f t="shared" si="39"/>
        <v>0.2489407699279915</v>
      </c>
      <c r="Q851">
        <f t="shared" si="41"/>
        <v>-0.28627076205629182</v>
      </c>
    </row>
    <row r="852" spans="1:17" x14ac:dyDescent="0.4">
      <c r="A852">
        <v>850</v>
      </c>
      <c r="B852">
        <v>1</v>
      </c>
      <c r="C852">
        <v>0</v>
      </c>
      <c r="D852">
        <v>89.104200000000006</v>
      </c>
      <c r="E852">
        <v>28</v>
      </c>
      <c r="F852">
        <v>1</v>
      </c>
      <c r="G852">
        <v>1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1</v>
      </c>
      <c r="N852">
        <v>1</v>
      </c>
      <c r="O852" s="14">
        <f t="shared" si="40"/>
        <v>1</v>
      </c>
      <c r="P852">
        <f t="shared" si="39"/>
        <v>0.94648375669288209</v>
      </c>
      <c r="Q852">
        <f t="shared" si="41"/>
        <v>-5.5001469924411711E-2</v>
      </c>
    </row>
    <row r="853" spans="1:17" x14ac:dyDescent="0.4">
      <c r="A853">
        <v>851</v>
      </c>
      <c r="B853">
        <v>4</v>
      </c>
      <c r="C853">
        <v>2</v>
      </c>
      <c r="D853">
        <v>31.274999999999999</v>
      </c>
      <c r="E853">
        <v>4</v>
      </c>
      <c r="F853">
        <v>0</v>
      </c>
      <c r="G853">
        <v>0</v>
      </c>
      <c r="H853">
        <v>0</v>
      </c>
      <c r="I853">
        <v>1</v>
      </c>
      <c r="J853">
        <v>1</v>
      </c>
      <c r="K853">
        <v>0</v>
      </c>
      <c r="L853">
        <v>0</v>
      </c>
      <c r="M853">
        <v>1</v>
      </c>
      <c r="N853">
        <v>0</v>
      </c>
      <c r="O853" s="14">
        <f t="shared" si="40"/>
        <v>0</v>
      </c>
      <c r="P853">
        <f t="shared" si="39"/>
        <v>5.7623475054550947E-2</v>
      </c>
      <c r="Q853">
        <f t="shared" si="41"/>
        <v>-5.9350376257709475E-2</v>
      </c>
    </row>
    <row r="854" spans="1:17" x14ac:dyDescent="0.4">
      <c r="A854">
        <v>852</v>
      </c>
      <c r="B854">
        <v>0</v>
      </c>
      <c r="C854">
        <v>0</v>
      </c>
      <c r="D854">
        <v>7.7750000000000004</v>
      </c>
      <c r="E854">
        <v>74</v>
      </c>
      <c r="F854">
        <v>0</v>
      </c>
      <c r="G854">
        <v>0</v>
      </c>
      <c r="H854">
        <v>0</v>
      </c>
      <c r="I854">
        <v>1</v>
      </c>
      <c r="J854">
        <v>1</v>
      </c>
      <c r="K854">
        <v>0</v>
      </c>
      <c r="L854">
        <v>0</v>
      </c>
      <c r="M854">
        <v>1</v>
      </c>
      <c r="N854">
        <v>0</v>
      </c>
      <c r="O854" s="14">
        <f t="shared" si="40"/>
        <v>0</v>
      </c>
      <c r="P854">
        <f t="shared" si="39"/>
        <v>1.6761289248692874E-2</v>
      </c>
      <c r="Q854">
        <f t="shared" si="41"/>
        <v>-1.6903349301036881E-2</v>
      </c>
    </row>
    <row r="855" spans="1:17" x14ac:dyDescent="0.4">
      <c r="A855">
        <v>853</v>
      </c>
      <c r="B855">
        <v>1</v>
      </c>
      <c r="C855">
        <v>1</v>
      </c>
      <c r="D855">
        <v>15.245799999999999</v>
      </c>
      <c r="E855">
        <v>9</v>
      </c>
      <c r="F855">
        <v>1</v>
      </c>
      <c r="G855">
        <v>0</v>
      </c>
      <c r="H855">
        <v>0</v>
      </c>
      <c r="I855">
        <v>1</v>
      </c>
      <c r="J855">
        <v>0</v>
      </c>
      <c r="K855">
        <v>0</v>
      </c>
      <c r="L855">
        <v>1</v>
      </c>
      <c r="M855">
        <v>1</v>
      </c>
      <c r="N855">
        <v>0</v>
      </c>
      <c r="O855" s="14">
        <f t="shared" si="40"/>
        <v>1</v>
      </c>
      <c r="P855">
        <f t="shared" si="39"/>
        <v>0.76656270554425165</v>
      </c>
      <c r="Q855">
        <f t="shared" si="41"/>
        <v>-1.4548417841662387</v>
      </c>
    </row>
    <row r="856" spans="1:17" x14ac:dyDescent="0.4">
      <c r="A856">
        <v>854</v>
      </c>
      <c r="B856">
        <v>0</v>
      </c>
      <c r="C856">
        <v>1</v>
      </c>
      <c r="D856">
        <v>39.4</v>
      </c>
      <c r="E856">
        <v>16</v>
      </c>
      <c r="F856">
        <v>1</v>
      </c>
      <c r="G856">
        <v>1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1</v>
      </c>
      <c r="N856">
        <v>1</v>
      </c>
      <c r="O856" s="14">
        <f t="shared" si="40"/>
        <v>1</v>
      </c>
      <c r="P856">
        <f t="shared" si="39"/>
        <v>0.95313856682052556</v>
      </c>
      <c r="Q856">
        <f t="shared" si="41"/>
        <v>-4.799498524645647E-2</v>
      </c>
    </row>
    <row r="857" spans="1:17" x14ac:dyDescent="0.4">
      <c r="A857">
        <v>855</v>
      </c>
      <c r="B857">
        <v>1</v>
      </c>
      <c r="C857">
        <v>0</v>
      </c>
      <c r="D857">
        <v>26</v>
      </c>
      <c r="E857">
        <v>44</v>
      </c>
      <c r="F857">
        <v>1</v>
      </c>
      <c r="G857">
        <v>0</v>
      </c>
      <c r="H857">
        <v>1</v>
      </c>
      <c r="I857">
        <v>0</v>
      </c>
      <c r="J857">
        <v>1</v>
      </c>
      <c r="K857">
        <v>0</v>
      </c>
      <c r="L857">
        <v>0</v>
      </c>
      <c r="M857">
        <v>1</v>
      </c>
      <c r="N857">
        <v>0</v>
      </c>
      <c r="O857" s="14">
        <f t="shared" si="40"/>
        <v>1</v>
      </c>
      <c r="P857">
        <f t="shared" si="39"/>
        <v>0.68004739142487547</v>
      </c>
      <c r="Q857">
        <f t="shared" si="41"/>
        <v>-1.1395823923587223</v>
      </c>
    </row>
    <row r="858" spans="1:17" x14ac:dyDescent="0.4">
      <c r="A858">
        <v>856</v>
      </c>
      <c r="B858">
        <v>0</v>
      </c>
      <c r="C858">
        <v>1</v>
      </c>
      <c r="D858">
        <v>9.35</v>
      </c>
      <c r="E858">
        <v>18</v>
      </c>
      <c r="F858">
        <v>1</v>
      </c>
      <c r="G858">
        <v>0</v>
      </c>
      <c r="H858">
        <v>0</v>
      </c>
      <c r="I858">
        <v>1</v>
      </c>
      <c r="J858">
        <v>1</v>
      </c>
      <c r="K858">
        <v>0</v>
      </c>
      <c r="L858">
        <v>0</v>
      </c>
      <c r="M858">
        <v>1</v>
      </c>
      <c r="N858">
        <v>1</v>
      </c>
      <c r="O858" s="14">
        <f t="shared" si="40"/>
        <v>1</v>
      </c>
      <c r="P858">
        <f t="shared" si="39"/>
        <v>0.67163218417884218</v>
      </c>
      <c r="Q858">
        <f t="shared" si="41"/>
        <v>-0.39804443327888922</v>
      </c>
    </row>
    <row r="859" spans="1:17" x14ac:dyDescent="0.4">
      <c r="A859">
        <v>857</v>
      </c>
      <c r="B859">
        <v>1</v>
      </c>
      <c r="C859">
        <v>1</v>
      </c>
      <c r="D859">
        <v>164.86670000000001</v>
      </c>
      <c r="E859">
        <v>45</v>
      </c>
      <c r="F859">
        <v>1</v>
      </c>
      <c r="G859">
        <v>1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1</v>
      </c>
      <c r="N859">
        <v>1</v>
      </c>
      <c r="O859" s="14">
        <f t="shared" si="40"/>
        <v>1</v>
      </c>
      <c r="P859">
        <f t="shared" si="39"/>
        <v>0.86608958628966715</v>
      </c>
      <c r="Q859">
        <f t="shared" si="41"/>
        <v>-0.14376692739867555</v>
      </c>
    </row>
    <row r="860" spans="1:17" x14ac:dyDescent="0.4">
      <c r="A860">
        <v>858</v>
      </c>
      <c r="B860">
        <v>0</v>
      </c>
      <c r="C860">
        <v>0</v>
      </c>
      <c r="D860">
        <v>26.55</v>
      </c>
      <c r="E860">
        <v>51</v>
      </c>
      <c r="F860">
        <v>0</v>
      </c>
      <c r="G860">
        <v>1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1</v>
      </c>
      <c r="N860">
        <v>1</v>
      </c>
      <c r="O860" s="14">
        <f t="shared" si="40"/>
        <v>0</v>
      </c>
      <c r="P860">
        <f t="shared" si="39"/>
        <v>0.27049276941671063</v>
      </c>
      <c r="Q860">
        <f t="shared" si="41"/>
        <v>-1.3075099114901643</v>
      </c>
    </row>
    <row r="861" spans="1:17" x14ac:dyDescent="0.4">
      <c r="A861">
        <v>859</v>
      </c>
      <c r="B861">
        <v>0</v>
      </c>
      <c r="C861">
        <v>3</v>
      </c>
      <c r="D861">
        <v>19.258299999999998</v>
      </c>
      <c r="E861">
        <v>24</v>
      </c>
      <c r="F861">
        <v>1</v>
      </c>
      <c r="G861">
        <v>0</v>
      </c>
      <c r="H861">
        <v>0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1</v>
      </c>
      <c r="O861" s="14">
        <f t="shared" si="40"/>
        <v>1</v>
      </c>
      <c r="P861">
        <f t="shared" si="39"/>
        <v>0.68042220383729646</v>
      </c>
      <c r="Q861">
        <f t="shared" si="41"/>
        <v>-0.38504178548716489</v>
      </c>
    </row>
    <row r="862" spans="1:17" x14ac:dyDescent="0.4">
      <c r="A862">
        <v>860</v>
      </c>
      <c r="B862">
        <v>0</v>
      </c>
      <c r="C862">
        <v>0</v>
      </c>
      <c r="D862">
        <v>7.2291999999999996</v>
      </c>
      <c r="E862">
        <v>28</v>
      </c>
      <c r="F862">
        <v>0</v>
      </c>
      <c r="G862">
        <v>0</v>
      </c>
      <c r="H862">
        <v>0</v>
      </c>
      <c r="I862">
        <v>1</v>
      </c>
      <c r="J862">
        <v>0</v>
      </c>
      <c r="K862">
        <v>0</v>
      </c>
      <c r="L862">
        <v>1</v>
      </c>
      <c r="M862">
        <v>1</v>
      </c>
      <c r="N862">
        <v>0</v>
      </c>
      <c r="O862" s="14">
        <f t="shared" si="40"/>
        <v>0</v>
      </c>
      <c r="P862">
        <f t="shared" si="39"/>
        <v>0.13399992402833119</v>
      </c>
      <c r="Q862">
        <f t="shared" si="41"/>
        <v>-0.14387028269260546</v>
      </c>
    </row>
    <row r="863" spans="1:17" x14ac:dyDescent="0.4">
      <c r="A863">
        <v>861</v>
      </c>
      <c r="B863">
        <v>2</v>
      </c>
      <c r="C863">
        <v>0</v>
      </c>
      <c r="D863">
        <v>14.1083</v>
      </c>
      <c r="E863">
        <v>41</v>
      </c>
      <c r="F863">
        <v>0</v>
      </c>
      <c r="G863">
        <v>0</v>
      </c>
      <c r="H863">
        <v>0</v>
      </c>
      <c r="I863">
        <v>1</v>
      </c>
      <c r="J863">
        <v>1</v>
      </c>
      <c r="K863">
        <v>0</v>
      </c>
      <c r="L863">
        <v>0</v>
      </c>
      <c r="M863">
        <v>1</v>
      </c>
      <c r="N863">
        <v>0</v>
      </c>
      <c r="O863" s="14">
        <f t="shared" si="40"/>
        <v>0</v>
      </c>
      <c r="P863">
        <f t="shared" si="39"/>
        <v>3.1386565204024552E-2</v>
      </c>
      <c r="Q863">
        <f t="shared" si="41"/>
        <v>-3.1889678785046525E-2</v>
      </c>
    </row>
    <row r="864" spans="1:17" x14ac:dyDescent="0.4">
      <c r="A864">
        <v>862</v>
      </c>
      <c r="B864">
        <v>1</v>
      </c>
      <c r="C864">
        <v>0</v>
      </c>
      <c r="D864">
        <v>11.5</v>
      </c>
      <c r="E864">
        <v>21</v>
      </c>
      <c r="F864">
        <v>0</v>
      </c>
      <c r="G864">
        <v>0</v>
      </c>
      <c r="H864">
        <v>1</v>
      </c>
      <c r="I864">
        <v>0</v>
      </c>
      <c r="J864">
        <v>1</v>
      </c>
      <c r="K864">
        <v>0</v>
      </c>
      <c r="L864">
        <v>0</v>
      </c>
      <c r="M864">
        <v>1</v>
      </c>
      <c r="N864">
        <v>0</v>
      </c>
      <c r="O864" s="14">
        <f t="shared" si="40"/>
        <v>0</v>
      </c>
      <c r="P864">
        <f t="shared" si="39"/>
        <v>0.24723005690818742</v>
      </c>
      <c r="Q864">
        <f t="shared" si="41"/>
        <v>-0.2839956183255285</v>
      </c>
    </row>
    <row r="865" spans="1:17" x14ac:dyDescent="0.4">
      <c r="A865">
        <v>863</v>
      </c>
      <c r="B865">
        <v>0</v>
      </c>
      <c r="C865">
        <v>0</v>
      </c>
      <c r="D865">
        <v>25.929200000000002</v>
      </c>
      <c r="E865">
        <v>48</v>
      </c>
      <c r="F865">
        <v>1</v>
      </c>
      <c r="G865">
        <v>1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1</v>
      </c>
      <c r="N865">
        <v>1</v>
      </c>
      <c r="O865" s="14">
        <f t="shared" si="40"/>
        <v>1</v>
      </c>
      <c r="P865">
        <f t="shared" si="39"/>
        <v>0.86313862776594119</v>
      </c>
      <c r="Q865">
        <f t="shared" si="41"/>
        <v>-0.14717996607609379</v>
      </c>
    </row>
    <row r="866" spans="1:17" x14ac:dyDescent="0.4">
      <c r="A866">
        <v>864</v>
      </c>
      <c r="B866">
        <v>8</v>
      </c>
      <c r="C866">
        <v>2</v>
      </c>
      <c r="D866">
        <v>69.55</v>
      </c>
      <c r="E866">
        <v>28</v>
      </c>
      <c r="F866">
        <v>1</v>
      </c>
      <c r="G866">
        <v>0</v>
      </c>
      <c r="H866">
        <v>0</v>
      </c>
      <c r="I866">
        <v>1</v>
      </c>
      <c r="J866">
        <v>1</v>
      </c>
      <c r="K866">
        <v>0</v>
      </c>
      <c r="L866">
        <v>0</v>
      </c>
      <c r="M866">
        <v>1</v>
      </c>
      <c r="N866">
        <v>0</v>
      </c>
      <c r="O866" s="14">
        <f t="shared" si="40"/>
        <v>0</v>
      </c>
      <c r="P866">
        <f t="shared" si="39"/>
        <v>9.9958507010454611E-2</v>
      </c>
      <c r="Q866">
        <f t="shared" si="41"/>
        <v>-0.10531441339883467</v>
      </c>
    </row>
    <row r="867" spans="1:17" x14ac:dyDescent="0.4">
      <c r="A867">
        <v>865</v>
      </c>
      <c r="B867">
        <v>0</v>
      </c>
      <c r="C867">
        <v>0</v>
      </c>
      <c r="D867">
        <v>13</v>
      </c>
      <c r="E867">
        <v>24</v>
      </c>
      <c r="F867">
        <v>0</v>
      </c>
      <c r="G867">
        <v>0</v>
      </c>
      <c r="H867">
        <v>1</v>
      </c>
      <c r="I867">
        <v>0</v>
      </c>
      <c r="J867">
        <v>1</v>
      </c>
      <c r="K867">
        <v>0</v>
      </c>
      <c r="L867">
        <v>0</v>
      </c>
      <c r="M867">
        <v>1</v>
      </c>
      <c r="N867">
        <v>0</v>
      </c>
      <c r="O867" s="14">
        <f t="shared" si="40"/>
        <v>0</v>
      </c>
      <c r="P867">
        <f t="shared" si="39"/>
        <v>0.28831540082201207</v>
      </c>
      <c r="Q867">
        <f t="shared" si="41"/>
        <v>-0.34012044439680411</v>
      </c>
    </row>
    <row r="868" spans="1:17" x14ac:dyDescent="0.4">
      <c r="A868">
        <v>866</v>
      </c>
      <c r="B868">
        <v>0</v>
      </c>
      <c r="C868">
        <v>0</v>
      </c>
      <c r="D868">
        <v>13</v>
      </c>
      <c r="E868">
        <v>42</v>
      </c>
      <c r="F868">
        <v>1</v>
      </c>
      <c r="G868">
        <v>0</v>
      </c>
      <c r="H868">
        <v>1</v>
      </c>
      <c r="I868">
        <v>0</v>
      </c>
      <c r="J868">
        <v>1</v>
      </c>
      <c r="K868">
        <v>0</v>
      </c>
      <c r="L868">
        <v>0</v>
      </c>
      <c r="M868">
        <v>1</v>
      </c>
      <c r="N868">
        <v>1</v>
      </c>
      <c r="O868" s="14">
        <f t="shared" si="40"/>
        <v>1</v>
      </c>
      <c r="P868">
        <f t="shared" si="39"/>
        <v>0.7544646397238054</v>
      </c>
      <c r="Q868">
        <f t="shared" si="41"/>
        <v>-0.28174686771235807</v>
      </c>
    </row>
    <row r="869" spans="1:17" x14ac:dyDescent="0.4">
      <c r="A869">
        <v>867</v>
      </c>
      <c r="B869">
        <v>1</v>
      </c>
      <c r="C869">
        <v>0</v>
      </c>
      <c r="D869">
        <v>13.8583</v>
      </c>
      <c r="E869">
        <v>27</v>
      </c>
      <c r="F869">
        <v>1</v>
      </c>
      <c r="G869">
        <v>0</v>
      </c>
      <c r="H869">
        <v>1</v>
      </c>
      <c r="I869">
        <v>0</v>
      </c>
      <c r="J869">
        <v>0</v>
      </c>
      <c r="K869">
        <v>0</v>
      </c>
      <c r="L869">
        <v>1</v>
      </c>
      <c r="M869">
        <v>1</v>
      </c>
      <c r="N869">
        <v>1</v>
      </c>
      <c r="O869" s="14">
        <f t="shared" si="40"/>
        <v>1</v>
      </c>
      <c r="P869">
        <f t="shared" si="39"/>
        <v>0.86000916044397491</v>
      </c>
      <c r="Q869">
        <f t="shared" si="41"/>
        <v>-0.15081223811227176</v>
      </c>
    </row>
    <row r="870" spans="1:17" x14ac:dyDescent="0.4">
      <c r="A870">
        <v>868</v>
      </c>
      <c r="B870">
        <v>0</v>
      </c>
      <c r="C870">
        <v>0</v>
      </c>
      <c r="D870">
        <v>50.495800000000003</v>
      </c>
      <c r="E870">
        <v>31</v>
      </c>
      <c r="F870">
        <v>0</v>
      </c>
      <c r="G870">
        <v>1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1</v>
      </c>
      <c r="N870">
        <v>0</v>
      </c>
      <c r="O870" s="14">
        <f t="shared" si="40"/>
        <v>0</v>
      </c>
      <c r="P870">
        <f t="shared" si="39"/>
        <v>0.45869093690014295</v>
      </c>
      <c r="Q870">
        <f t="shared" si="41"/>
        <v>-0.61376488210884605</v>
      </c>
    </row>
    <row r="871" spans="1:17" x14ac:dyDescent="0.4">
      <c r="A871">
        <v>869</v>
      </c>
      <c r="B871">
        <v>0</v>
      </c>
      <c r="C871">
        <v>0</v>
      </c>
      <c r="D871">
        <v>9.5</v>
      </c>
      <c r="E871">
        <v>28</v>
      </c>
      <c r="F871">
        <v>0</v>
      </c>
      <c r="G871">
        <v>0</v>
      </c>
      <c r="H871">
        <v>0</v>
      </c>
      <c r="I871">
        <v>1</v>
      </c>
      <c r="J871">
        <v>1</v>
      </c>
      <c r="K871">
        <v>0</v>
      </c>
      <c r="L871">
        <v>0</v>
      </c>
      <c r="M871">
        <v>1</v>
      </c>
      <c r="N871">
        <v>0</v>
      </c>
      <c r="O871" s="14">
        <f t="shared" si="40"/>
        <v>0</v>
      </c>
      <c r="P871">
        <f t="shared" si="39"/>
        <v>9.1490242901906826E-2</v>
      </c>
      <c r="Q871">
        <f t="shared" si="41"/>
        <v>-9.5949651414817164E-2</v>
      </c>
    </row>
    <row r="872" spans="1:17" x14ac:dyDescent="0.4">
      <c r="A872">
        <v>870</v>
      </c>
      <c r="B872">
        <v>1</v>
      </c>
      <c r="C872">
        <v>1</v>
      </c>
      <c r="D872">
        <v>11.1333</v>
      </c>
      <c r="E872">
        <v>4</v>
      </c>
      <c r="F872">
        <v>0</v>
      </c>
      <c r="G872">
        <v>0</v>
      </c>
      <c r="H872">
        <v>0</v>
      </c>
      <c r="I872">
        <v>1</v>
      </c>
      <c r="J872">
        <v>1</v>
      </c>
      <c r="K872">
        <v>0</v>
      </c>
      <c r="L872">
        <v>0</v>
      </c>
      <c r="M872">
        <v>1</v>
      </c>
      <c r="N872">
        <v>1</v>
      </c>
      <c r="O872" s="14">
        <f t="shared" si="40"/>
        <v>0</v>
      </c>
      <c r="P872">
        <f t="shared" si="39"/>
        <v>0.14400317584983013</v>
      </c>
      <c r="Q872">
        <f t="shared" si="41"/>
        <v>-1.9379199251366244</v>
      </c>
    </row>
    <row r="873" spans="1:17" x14ac:dyDescent="0.4">
      <c r="A873">
        <v>871</v>
      </c>
      <c r="B873">
        <v>0</v>
      </c>
      <c r="C873">
        <v>0</v>
      </c>
      <c r="D873">
        <v>7.8958000000000004</v>
      </c>
      <c r="E873">
        <v>26</v>
      </c>
      <c r="F873">
        <v>0</v>
      </c>
      <c r="G873">
        <v>0</v>
      </c>
      <c r="H873">
        <v>0</v>
      </c>
      <c r="I873">
        <v>1</v>
      </c>
      <c r="J873">
        <v>1</v>
      </c>
      <c r="K873">
        <v>0</v>
      </c>
      <c r="L873">
        <v>0</v>
      </c>
      <c r="M873">
        <v>1</v>
      </c>
      <c r="N873">
        <v>0</v>
      </c>
      <c r="O873" s="14">
        <f t="shared" si="40"/>
        <v>0</v>
      </c>
      <c r="P873">
        <f t="shared" si="39"/>
        <v>9.7768036873388073E-2</v>
      </c>
      <c r="Q873">
        <f t="shared" si="41"/>
        <v>-0.10288362665201051</v>
      </c>
    </row>
    <row r="874" spans="1:17" x14ac:dyDescent="0.4">
      <c r="A874">
        <v>872</v>
      </c>
      <c r="B874">
        <v>1</v>
      </c>
      <c r="C874">
        <v>1</v>
      </c>
      <c r="D874">
        <v>52.554200000000002</v>
      </c>
      <c r="E874">
        <v>47</v>
      </c>
      <c r="F874">
        <v>1</v>
      </c>
      <c r="G874">
        <v>1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1</v>
      </c>
      <c r="N874">
        <v>1</v>
      </c>
      <c r="O874" s="14">
        <f t="shared" si="40"/>
        <v>1</v>
      </c>
      <c r="P874">
        <f t="shared" si="39"/>
        <v>0.82158291550938389</v>
      </c>
      <c r="Q874">
        <f t="shared" si="41"/>
        <v>-0.1965224147546526</v>
      </c>
    </row>
    <row r="875" spans="1:17" x14ac:dyDescent="0.4">
      <c r="A875">
        <v>873</v>
      </c>
      <c r="B875">
        <v>0</v>
      </c>
      <c r="C875">
        <v>0</v>
      </c>
      <c r="D875">
        <v>5</v>
      </c>
      <c r="E875">
        <v>33</v>
      </c>
      <c r="F875">
        <v>0</v>
      </c>
      <c r="G875">
        <v>1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1</v>
      </c>
      <c r="N875">
        <v>0</v>
      </c>
      <c r="O875" s="14">
        <f t="shared" si="40"/>
        <v>0</v>
      </c>
      <c r="P875">
        <f t="shared" si="39"/>
        <v>0.41360975440664505</v>
      </c>
      <c r="Q875">
        <f t="shared" si="41"/>
        <v>-0.53376976293864353</v>
      </c>
    </row>
    <row r="876" spans="1:17" x14ac:dyDescent="0.4">
      <c r="A876">
        <v>874</v>
      </c>
      <c r="B876">
        <v>0</v>
      </c>
      <c r="C876">
        <v>0</v>
      </c>
      <c r="D876">
        <v>9</v>
      </c>
      <c r="E876">
        <v>47</v>
      </c>
      <c r="F876">
        <v>0</v>
      </c>
      <c r="G876">
        <v>0</v>
      </c>
      <c r="H876">
        <v>0</v>
      </c>
      <c r="I876">
        <v>1</v>
      </c>
      <c r="J876">
        <v>1</v>
      </c>
      <c r="K876">
        <v>0</v>
      </c>
      <c r="L876">
        <v>0</v>
      </c>
      <c r="M876">
        <v>1</v>
      </c>
      <c r="N876">
        <v>0</v>
      </c>
      <c r="O876" s="14">
        <f t="shared" si="40"/>
        <v>0</v>
      </c>
      <c r="P876">
        <f t="shared" si="39"/>
        <v>4.6144830948177375E-2</v>
      </c>
      <c r="Q876">
        <f t="shared" si="41"/>
        <v>-4.7243433469912041E-2</v>
      </c>
    </row>
    <row r="877" spans="1:17" x14ac:dyDescent="0.4">
      <c r="A877">
        <v>875</v>
      </c>
      <c r="B877">
        <v>1</v>
      </c>
      <c r="C877">
        <v>0</v>
      </c>
      <c r="D877">
        <v>24</v>
      </c>
      <c r="E877">
        <v>28</v>
      </c>
      <c r="F877">
        <v>1</v>
      </c>
      <c r="G877">
        <v>0</v>
      </c>
      <c r="H877">
        <v>1</v>
      </c>
      <c r="I877">
        <v>0</v>
      </c>
      <c r="J877">
        <v>0</v>
      </c>
      <c r="K877">
        <v>0</v>
      </c>
      <c r="L877">
        <v>1</v>
      </c>
      <c r="M877">
        <v>1</v>
      </c>
      <c r="N877">
        <v>1</v>
      </c>
      <c r="O877" s="14">
        <f t="shared" si="40"/>
        <v>1</v>
      </c>
      <c r="P877">
        <f t="shared" si="39"/>
        <v>0.8582168775468223</v>
      </c>
      <c r="Q877">
        <f t="shared" si="41"/>
        <v>-0.15289844040179762</v>
      </c>
    </row>
    <row r="878" spans="1:17" x14ac:dyDescent="0.4">
      <c r="A878">
        <v>876</v>
      </c>
      <c r="B878">
        <v>0</v>
      </c>
      <c r="C878">
        <v>0</v>
      </c>
      <c r="D878">
        <v>7.2249999999999996</v>
      </c>
      <c r="E878">
        <v>15</v>
      </c>
      <c r="F878">
        <v>1</v>
      </c>
      <c r="G878">
        <v>0</v>
      </c>
      <c r="H878">
        <v>0</v>
      </c>
      <c r="I878">
        <v>1</v>
      </c>
      <c r="J878">
        <v>0</v>
      </c>
      <c r="K878">
        <v>0</v>
      </c>
      <c r="L878">
        <v>1</v>
      </c>
      <c r="M878">
        <v>1</v>
      </c>
      <c r="N878">
        <v>1</v>
      </c>
      <c r="O878" s="14">
        <f t="shared" si="40"/>
        <v>1</v>
      </c>
      <c r="P878">
        <f t="shared" si="39"/>
        <v>0.79484507830184148</v>
      </c>
      <c r="Q878">
        <f t="shared" si="41"/>
        <v>-0.22960805337801921</v>
      </c>
    </row>
    <row r="879" spans="1:17" x14ac:dyDescent="0.4">
      <c r="A879">
        <v>877</v>
      </c>
      <c r="B879">
        <v>0</v>
      </c>
      <c r="C879">
        <v>0</v>
      </c>
      <c r="D879">
        <v>9.8458000000000006</v>
      </c>
      <c r="E879">
        <v>20</v>
      </c>
      <c r="F879">
        <v>0</v>
      </c>
      <c r="G879">
        <v>0</v>
      </c>
      <c r="H879">
        <v>0</v>
      </c>
      <c r="I879">
        <v>1</v>
      </c>
      <c r="J879">
        <v>1</v>
      </c>
      <c r="K879">
        <v>0</v>
      </c>
      <c r="L879">
        <v>0</v>
      </c>
      <c r="M879">
        <v>1</v>
      </c>
      <c r="N879">
        <v>0</v>
      </c>
      <c r="O879" s="14">
        <f t="shared" si="40"/>
        <v>0</v>
      </c>
      <c r="P879">
        <f t="shared" si="39"/>
        <v>0.12062120048815608</v>
      </c>
      <c r="Q879">
        <f t="shared" si="41"/>
        <v>-0.12853953042704636</v>
      </c>
    </row>
    <row r="880" spans="1:17" x14ac:dyDescent="0.4">
      <c r="A880">
        <v>878</v>
      </c>
      <c r="B880">
        <v>0</v>
      </c>
      <c r="C880">
        <v>0</v>
      </c>
      <c r="D880">
        <v>7.8958000000000004</v>
      </c>
      <c r="E880">
        <v>19</v>
      </c>
      <c r="F880">
        <v>0</v>
      </c>
      <c r="G880">
        <v>0</v>
      </c>
      <c r="H880">
        <v>0</v>
      </c>
      <c r="I880">
        <v>1</v>
      </c>
      <c r="J880">
        <v>1</v>
      </c>
      <c r="K880">
        <v>0</v>
      </c>
      <c r="L880">
        <v>0</v>
      </c>
      <c r="M880">
        <v>1</v>
      </c>
      <c r="N880">
        <v>0</v>
      </c>
      <c r="O880" s="14">
        <f t="shared" si="40"/>
        <v>0</v>
      </c>
      <c r="P880">
        <f t="shared" si="39"/>
        <v>0.12427061783070333</v>
      </c>
      <c r="Q880">
        <f t="shared" si="41"/>
        <v>-0.13269816023701078</v>
      </c>
    </row>
    <row r="881" spans="1:17" x14ac:dyDescent="0.4">
      <c r="A881">
        <v>879</v>
      </c>
      <c r="B881">
        <v>0</v>
      </c>
      <c r="C881">
        <v>0</v>
      </c>
      <c r="D881">
        <v>7.8958000000000004</v>
      </c>
      <c r="E881">
        <v>28</v>
      </c>
      <c r="F881">
        <v>0</v>
      </c>
      <c r="G881">
        <v>0</v>
      </c>
      <c r="H881">
        <v>0</v>
      </c>
      <c r="I881">
        <v>1</v>
      </c>
      <c r="J881">
        <v>1</v>
      </c>
      <c r="K881">
        <v>0</v>
      </c>
      <c r="L881">
        <v>0</v>
      </c>
      <c r="M881">
        <v>1</v>
      </c>
      <c r="N881">
        <v>0</v>
      </c>
      <c r="O881" s="14">
        <f t="shared" si="40"/>
        <v>0</v>
      </c>
      <c r="P881">
        <f t="shared" si="39"/>
        <v>9.117888566880443E-2</v>
      </c>
      <c r="Q881">
        <f t="shared" si="41"/>
        <v>-9.5606998086197895E-2</v>
      </c>
    </row>
    <row r="882" spans="1:17" x14ac:dyDescent="0.4">
      <c r="A882">
        <v>880</v>
      </c>
      <c r="B882">
        <v>0</v>
      </c>
      <c r="C882">
        <v>1</v>
      </c>
      <c r="D882">
        <v>83.158299999999997</v>
      </c>
      <c r="E882">
        <v>56</v>
      </c>
      <c r="F882">
        <v>1</v>
      </c>
      <c r="G882">
        <v>1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1</v>
      </c>
      <c r="O882" s="14">
        <f t="shared" si="40"/>
        <v>1</v>
      </c>
      <c r="P882">
        <f t="shared" si="39"/>
        <v>0.88170941224543131</v>
      </c>
      <c r="Q882">
        <f t="shared" si="41"/>
        <v>-0.12589274183506327</v>
      </c>
    </row>
    <row r="883" spans="1:17" x14ac:dyDescent="0.4">
      <c r="A883">
        <v>881</v>
      </c>
      <c r="B883">
        <v>0</v>
      </c>
      <c r="C883">
        <v>1</v>
      </c>
      <c r="D883">
        <v>26</v>
      </c>
      <c r="E883">
        <v>25</v>
      </c>
      <c r="F883">
        <v>1</v>
      </c>
      <c r="G883">
        <v>0</v>
      </c>
      <c r="H883">
        <v>1</v>
      </c>
      <c r="I883">
        <v>0</v>
      </c>
      <c r="J883">
        <v>1</v>
      </c>
      <c r="K883">
        <v>0</v>
      </c>
      <c r="L883">
        <v>0</v>
      </c>
      <c r="M883">
        <v>1</v>
      </c>
      <c r="N883">
        <v>1</v>
      </c>
      <c r="O883" s="14">
        <f t="shared" si="40"/>
        <v>1</v>
      </c>
      <c r="P883">
        <f t="shared" si="39"/>
        <v>0.84742454975341219</v>
      </c>
      <c r="Q883">
        <f t="shared" si="41"/>
        <v>-0.16555347053028766</v>
      </c>
    </row>
    <row r="884" spans="1:17" x14ac:dyDescent="0.4">
      <c r="A884">
        <v>882</v>
      </c>
      <c r="B884">
        <v>0</v>
      </c>
      <c r="C884">
        <v>0</v>
      </c>
      <c r="D884">
        <v>7.8958000000000004</v>
      </c>
      <c r="E884">
        <v>33</v>
      </c>
      <c r="F884">
        <v>0</v>
      </c>
      <c r="G884">
        <v>0</v>
      </c>
      <c r="H884">
        <v>0</v>
      </c>
      <c r="I884">
        <v>1</v>
      </c>
      <c r="J884">
        <v>1</v>
      </c>
      <c r="K884">
        <v>0</v>
      </c>
      <c r="L884">
        <v>0</v>
      </c>
      <c r="M884">
        <v>1</v>
      </c>
      <c r="N884">
        <v>0</v>
      </c>
      <c r="O884" s="14">
        <f t="shared" si="40"/>
        <v>0</v>
      </c>
      <c r="P884">
        <f t="shared" si="39"/>
        <v>7.6424277963018553E-2</v>
      </c>
      <c r="Q884">
        <f t="shared" si="41"/>
        <v>-7.950248807835826E-2</v>
      </c>
    </row>
    <row r="885" spans="1:17" x14ac:dyDescent="0.4">
      <c r="A885">
        <v>883</v>
      </c>
      <c r="B885">
        <v>0</v>
      </c>
      <c r="C885">
        <v>0</v>
      </c>
      <c r="D885">
        <v>10.5167</v>
      </c>
      <c r="E885">
        <v>22</v>
      </c>
      <c r="F885">
        <v>1</v>
      </c>
      <c r="G885">
        <v>0</v>
      </c>
      <c r="H885">
        <v>0</v>
      </c>
      <c r="I885">
        <v>1</v>
      </c>
      <c r="J885">
        <v>1</v>
      </c>
      <c r="K885">
        <v>0</v>
      </c>
      <c r="L885">
        <v>0</v>
      </c>
      <c r="M885">
        <v>1</v>
      </c>
      <c r="N885">
        <v>0</v>
      </c>
      <c r="O885" s="14">
        <f t="shared" si="40"/>
        <v>1</v>
      </c>
      <c r="P885">
        <f t="shared" si="39"/>
        <v>0.65871282133199216</v>
      </c>
      <c r="Q885">
        <f t="shared" si="41"/>
        <v>-1.0750309899397432</v>
      </c>
    </row>
    <row r="886" spans="1:17" x14ac:dyDescent="0.4">
      <c r="A886">
        <v>884</v>
      </c>
      <c r="B886">
        <v>0</v>
      </c>
      <c r="C886">
        <v>0</v>
      </c>
      <c r="D886">
        <v>10.5</v>
      </c>
      <c r="E886">
        <v>28</v>
      </c>
      <c r="F886">
        <v>0</v>
      </c>
      <c r="G886">
        <v>0</v>
      </c>
      <c r="H886">
        <v>1</v>
      </c>
      <c r="I886">
        <v>0</v>
      </c>
      <c r="J886">
        <v>1</v>
      </c>
      <c r="K886">
        <v>0</v>
      </c>
      <c r="L886">
        <v>0</v>
      </c>
      <c r="M886">
        <v>1</v>
      </c>
      <c r="N886">
        <v>0</v>
      </c>
      <c r="O886" s="14">
        <f t="shared" si="40"/>
        <v>0</v>
      </c>
      <c r="P886">
        <f t="shared" si="39"/>
        <v>0.25663576123061915</v>
      </c>
      <c r="Q886">
        <f t="shared" si="41"/>
        <v>-0.29656912724057943</v>
      </c>
    </row>
    <row r="887" spans="1:17" x14ac:dyDescent="0.4">
      <c r="A887">
        <v>885</v>
      </c>
      <c r="B887">
        <v>0</v>
      </c>
      <c r="C887">
        <v>0</v>
      </c>
      <c r="D887">
        <v>7.05</v>
      </c>
      <c r="E887">
        <v>25</v>
      </c>
      <c r="F887">
        <v>0</v>
      </c>
      <c r="G887">
        <v>0</v>
      </c>
      <c r="H887">
        <v>0</v>
      </c>
      <c r="I887">
        <v>1</v>
      </c>
      <c r="J887">
        <v>1</v>
      </c>
      <c r="K887">
        <v>0</v>
      </c>
      <c r="L887">
        <v>0</v>
      </c>
      <c r="M887">
        <v>1</v>
      </c>
      <c r="N887">
        <v>0</v>
      </c>
      <c r="O887" s="14">
        <f t="shared" si="40"/>
        <v>0</v>
      </c>
      <c r="P887">
        <f t="shared" si="39"/>
        <v>0.10103959909942387</v>
      </c>
      <c r="Q887">
        <f t="shared" si="41"/>
        <v>-0.10651629342217291</v>
      </c>
    </row>
    <row r="888" spans="1:17" x14ac:dyDescent="0.4">
      <c r="A888">
        <v>886</v>
      </c>
      <c r="B888">
        <v>0</v>
      </c>
      <c r="C888">
        <v>5</v>
      </c>
      <c r="D888">
        <v>29.125</v>
      </c>
      <c r="E888">
        <v>39</v>
      </c>
      <c r="F888">
        <v>1</v>
      </c>
      <c r="G888">
        <v>0</v>
      </c>
      <c r="H888">
        <v>0</v>
      </c>
      <c r="I888">
        <v>1</v>
      </c>
      <c r="J888">
        <v>0</v>
      </c>
      <c r="K888">
        <v>1</v>
      </c>
      <c r="L888">
        <v>0</v>
      </c>
      <c r="M888">
        <v>1</v>
      </c>
      <c r="N888">
        <v>0</v>
      </c>
      <c r="O888" s="14">
        <f t="shared" si="40"/>
        <v>0</v>
      </c>
      <c r="P888">
        <f t="shared" si="39"/>
        <v>0.48939677725117614</v>
      </c>
      <c r="Q888">
        <f t="shared" si="41"/>
        <v>-0.67216246250484879</v>
      </c>
    </row>
    <row r="889" spans="1:17" x14ac:dyDescent="0.4">
      <c r="A889">
        <v>887</v>
      </c>
      <c r="B889">
        <v>0</v>
      </c>
      <c r="C889">
        <v>0</v>
      </c>
      <c r="D889">
        <v>13</v>
      </c>
      <c r="E889">
        <v>27</v>
      </c>
      <c r="F889">
        <v>0</v>
      </c>
      <c r="G889">
        <v>0</v>
      </c>
      <c r="H889">
        <v>1</v>
      </c>
      <c r="I889">
        <v>0</v>
      </c>
      <c r="J889">
        <v>1</v>
      </c>
      <c r="K889">
        <v>0</v>
      </c>
      <c r="L889">
        <v>0</v>
      </c>
      <c r="M889">
        <v>1</v>
      </c>
      <c r="N889">
        <v>0</v>
      </c>
      <c r="O889" s="14">
        <f t="shared" si="40"/>
        <v>0</v>
      </c>
      <c r="P889">
        <f t="shared" si="39"/>
        <v>0.26519177993240789</v>
      </c>
      <c r="Q889">
        <f t="shared" si="41"/>
        <v>-0.30814573889427721</v>
      </c>
    </row>
    <row r="890" spans="1:17" x14ac:dyDescent="0.4">
      <c r="A890">
        <v>888</v>
      </c>
      <c r="B890">
        <v>0</v>
      </c>
      <c r="C890">
        <v>0</v>
      </c>
      <c r="D890">
        <v>30</v>
      </c>
      <c r="E890">
        <v>19</v>
      </c>
      <c r="F890">
        <v>1</v>
      </c>
      <c r="G890">
        <v>1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1</v>
      </c>
      <c r="N890">
        <v>1</v>
      </c>
      <c r="O890" s="14">
        <f t="shared" si="40"/>
        <v>1</v>
      </c>
      <c r="P890">
        <f t="shared" si="39"/>
        <v>0.95112437590242416</v>
      </c>
      <c r="Q890">
        <f t="shared" si="41"/>
        <v>-5.0110440653441397E-2</v>
      </c>
    </row>
    <row r="891" spans="1:17" x14ac:dyDescent="0.4">
      <c r="A891">
        <v>889</v>
      </c>
      <c r="B891">
        <v>1</v>
      </c>
      <c r="C891">
        <v>2</v>
      </c>
      <c r="D891">
        <v>23.45</v>
      </c>
      <c r="E891">
        <v>28</v>
      </c>
      <c r="F891">
        <v>1</v>
      </c>
      <c r="G891">
        <v>0</v>
      </c>
      <c r="H891">
        <v>0</v>
      </c>
      <c r="I891">
        <v>1</v>
      </c>
      <c r="J891">
        <v>1</v>
      </c>
      <c r="K891">
        <v>0</v>
      </c>
      <c r="L891">
        <v>0</v>
      </c>
      <c r="M891">
        <v>1</v>
      </c>
      <c r="N891">
        <v>0</v>
      </c>
      <c r="O891" s="14">
        <f t="shared" si="40"/>
        <v>0</v>
      </c>
      <c r="P891">
        <f t="shared" si="39"/>
        <v>0.48700464055129855</v>
      </c>
      <c r="Q891">
        <f t="shared" si="41"/>
        <v>-0.66748847976124603</v>
      </c>
    </row>
    <row r="892" spans="1:17" x14ac:dyDescent="0.4">
      <c r="A892">
        <v>890</v>
      </c>
      <c r="B892">
        <v>0</v>
      </c>
      <c r="C892">
        <v>0</v>
      </c>
      <c r="D892">
        <v>30</v>
      </c>
      <c r="E892">
        <v>26</v>
      </c>
      <c r="F892">
        <v>0</v>
      </c>
      <c r="G892">
        <v>1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1</v>
      </c>
      <c r="N892">
        <v>1</v>
      </c>
      <c r="O892" s="14">
        <f t="shared" si="40"/>
        <v>1</v>
      </c>
      <c r="P892">
        <f t="shared" si="39"/>
        <v>0.60202737028859266</v>
      </c>
      <c r="Q892">
        <f t="shared" si="41"/>
        <v>-0.50745236911117597</v>
      </c>
    </row>
    <row r="893" spans="1:17" x14ac:dyDescent="0.4">
      <c r="A893">
        <v>891</v>
      </c>
      <c r="B893">
        <v>0</v>
      </c>
      <c r="C893">
        <v>0</v>
      </c>
      <c r="D893">
        <v>7.75</v>
      </c>
      <c r="E893">
        <v>32</v>
      </c>
      <c r="F893">
        <v>0</v>
      </c>
      <c r="G893">
        <v>0</v>
      </c>
      <c r="H893">
        <v>0</v>
      </c>
      <c r="I893">
        <v>1</v>
      </c>
      <c r="J893">
        <v>0</v>
      </c>
      <c r="K893">
        <v>1</v>
      </c>
      <c r="L893">
        <v>0</v>
      </c>
      <c r="M893">
        <v>1</v>
      </c>
      <c r="N893">
        <v>0</v>
      </c>
      <c r="O893" s="14">
        <f t="shared" si="40"/>
        <v>0</v>
      </c>
      <c r="P893">
        <f t="shared" si="39"/>
        <v>0.11149770083387855</v>
      </c>
      <c r="Q893">
        <f t="shared" si="41"/>
        <v>-0.11821804369677635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Reset">
                <anchor moveWithCells="1" sizeWithCells="1">
                  <from>
                    <xdr:col>19</xdr:col>
                    <xdr:colOff>123825</xdr:colOff>
                    <xdr:row>0</xdr:row>
                    <xdr:rowOff>57150</xdr:rowOff>
                  </from>
                  <to>
                    <xdr:col>20</xdr:col>
                    <xdr:colOff>590550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E4854-5B3F-467C-AF8D-3AB413088278}">
  <sheetPr codeName="Sheet4"/>
  <dimension ref="A1:O42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8.75" x14ac:dyDescent="0.4"/>
  <cols>
    <col min="1" max="1" width="13.375" bestFit="1" customWidth="1"/>
    <col min="2" max="13" width="13" customWidth="1"/>
    <col min="14" max="14" width="14.875" bestFit="1" customWidth="1"/>
    <col min="15" max="15" width="14.25" bestFit="1" customWidth="1"/>
  </cols>
  <sheetData>
    <row r="1" spans="1:15" x14ac:dyDescent="0.4">
      <c r="A1" s="7" t="s">
        <v>2481</v>
      </c>
      <c r="B1" cm="1">
        <f t="array" ref="B1:M1">'訓練データ(加工後&amp;ロジスティック回帰)'!B1:M1</f>
        <v>-0.32192906098434693</v>
      </c>
      <c r="C1">
        <v>-9.3360369317280076E-2</v>
      </c>
      <c r="D1">
        <v>2.3386307727432947E-3</v>
      </c>
      <c r="E1">
        <v>-3.8525488683320556E-2</v>
      </c>
      <c r="F1">
        <v>2.7196060489317997</v>
      </c>
      <c r="G1">
        <v>1.0548834682600896</v>
      </c>
      <c r="H1">
        <v>0.13492782096374903</v>
      </c>
      <c r="I1">
        <v>-1.0947785005854065</v>
      </c>
      <c r="J1">
        <v>-0.23934348891318019</v>
      </c>
      <c r="K1">
        <v>0.13889110067424754</v>
      </c>
      <c r="L1">
        <v>0.19549460647762498</v>
      </c>
      <c r="M1">
        <v>9.5045384366907987E-2</v>
      </c>
    </row>
    <row r="2" spans="1:15" x14ac:dyDescent="0.4">
      <c r="A2" s="1" t="s">
        <v>0</v>
      </c>
      <c r="B2" s="1" t="s">
        <v>6</v>
      </c>
      <c r="C2" s="1" t="s">
        <v>7</v>
      </c>
      <c r="D2" s="6" t="s">
        <v>1740</v>
      </c>
      <c r="E2" s="6" t="s">
        <v>1738</v>
      </c>
      <c r="F2" s="8" t="s">
        <v>2471</v>
      </c>
      <c r="G2" s="8" t="s">
        <v>2458</v>
      </c>
      <c r="H2" s="8" t="s">
        <v>2460</v>
      </c>
      <c r="I2" s="8" t="s">
        <v>2461</v>
      </c>
      <c r="J2" s="8" t="s">
        <v>2452</v>
      </c>
      <c r="K2" s="8" t="s">
        <v>2454</v>
      </c>
      <c r="L2" s="8" t="s">
        <v>2456</v>
      </c>
      <c r="M2" s="11" t="s">
        <v>2475</v>
      </c>
      <c r="N2" s="10" t="s">
        <v>2478</v>
      </c>
      <c r="O2" s="7" t="s">
        <v>2509</v>
      </c>
    </row>
    <row r="3" spans="1:15" x14ac:dyDescent="0.4">
      <c r="A3">
        <v>892</v>
      </c>
      <c r="B3">
        <v>0</v>
      </c>
      <c r="C3">
        <v>0</v>
      </c>
      <c r="D3">
        <v>7.8292000000000002</v>
      </c>
      <c r="E3">
        <v>34.5</v>
      </c>
      <c r="F3">
        <v>0</v>
      </c>
      <c r="G3">
        <v>0</v>
      </c>
      <c r="H3">
        <v>0</v>
      </c>
      <c r="I3">
        <v>1</v>
      </c>
      <c r="J3">
        <v>0</v>
      </c>
      <c r="K3">
        <v>1</v>
      </c>
      <c r="L3">
        <v>0</v>
      </c>
      <c r="M3">
        <v>1</v>
      </c>
      <c r="N3" s="14">
        <f>IF(O3&gt;0.5,1,0)</f>
        <v>0</v>
      </c>
      <c r="O3">
        <f>1/(1+EXP(-SUMPRODUCT(_xlfn.ANCHORARRAY(B$1),$B3:$M3)))</f>
        <v>0.10232429253589755</v>
      </c>
    </row>
    <row r="4" spans="1:15" x14ac:dyDescent="0.4">
      <c r="A4">
        <v>893</v>
      </c>
      <c r="B4">
        <v>1</v>
      </c>
      <c r="C4">
        <v>0</v>
      </c>
      <c r="D4">
        <v>7</v>
      </c>
      <c r="E4">
        <v>47</v>
      </c>
      <c r="F4">
        <v>1</v>
      </c>
      <c r="G4">
        <v>0</v>
      </c>
      <c r="H4">
        <v>0</v>
      </c>
      <c r="I4">
        <v>1</v>
      </c>
      <c r="J4">
        <v>1</v>
      </c>
      <c r="K4">
        <v>0</v>
      </c>
      <c r="L4">
        <v>0</v>
      </c>
      <c r="M4">
        <v>1</v>
      </c>
      <c r="N4" s="14">
        <f t="shared" ref="N4:N67" si="0">IF(O4&gt;0.5,1,0)</f>
        <v>0</v>
      </c>
      <c r="O4">
        <f t="shared" ref="O4:O67" si="1">1/(1+EXP(-SUMPRODUCT(_xlfn.ANCHORARRAY(B$1),$B4:$M4)))</f>
        <v>0.34621305610275827</v>
      </c>
    </row>
    <row r="5" spans="1:15" x14ac:dyDescent="0.4">
      <c r="A5">
        <v>894</v>
      </c>
      <c r="B5">
        <v>0</v>
      </c>
      <c r="C5">
        <v>0</v>
      </c>
      <c r="D5">
        <v>9.6875</v>
      </c>
      <c r="E5">
        <v>62</v>
      </c>
      <c r="F5">
        <v>0</v>
      </c>
      <c r="G5">
        <v>0</v>
      </c>
      <c r="H5">
        <v>1</v>
      </c>
      <c r="I5">
        <v>0</v>
      </c>
      <c r="J5">
        <v>0</v>
      </c>
      <c r="K5">
        <v>1</v>
      </c>
      <c r="L5">
        <v>0</v>
      </c>
      <c r="M5">
        <v>1</v>
      </c>
      <c r="N5" s="14">
        <f t="shared" si="0"/>
        <v>0</v>
      </c>
      <c r="O5">
        <f t="shared" si="1"/>
        <v>0.11951189558491916</v>
      </c>
    </row>
    <row r="6" spans="1:15" x14ac:dyDescent="0.4">
      <c r="A6">
        <v>895</v>
      </c>
      <c r="B6">
        <v>0</v>
      </c>
      <c r="C6">
        <v>0</v>
      </c>
      <c r="D6">
        <v>8.6624999999999996</v>
      </c>
      <c r="E6">
        <v>27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1</v>
      </c>
      <c r="N6" s="14">
        <f t="shared" si="0"/>
        <v>0</v>
      </c>
      <c r="O6">
        <f t="shared" si="1"/>
        <v>9.4575416652991823E-2</v>
      </c>
    </row>
    <row r="7" spans="1:15" x14ac:dyDescent="0.4">
      <c r="A7">
        <v>896</v>
      </c>
      <c r="B7">
        <v>1</v>
      </c>
      <c r="C7">
        <v>1</v>
      </c>
      <c r="D7">
        <v>12.2875</v>
      </c>
      <c r="E7">
        <v>22</v>
      </c>
      <c r="F7">
        <v>1</v>
      </c>
      <c r="G7">
        <v>0</v>
      </c>
      <c r="H7">
        <v>0</v>
      </c>
      <c r="I7">
        <v>1</v>
      </c>
      <c r="J7">
        <v>1</v>
      </c>
      <c r="K7">
        <v>0</v>
      </c>
      <c r="L7">
        <v>0</v>
      </c>
      <c r="M7">
        <v>1</v>
      </c>
      <c r="N7" s="14">
        <f t="shared" si="0"/>
        <v>1</v>
      </c>
      <c r="O7">
        <f t="shared" si="1"/>
        <v>0.56129396072824733</v>
      </c>
    </row>
    <row r="8" spans="1:15" x14ac:dyDescent="0.4">
      <c r="A8">
        <v>897</v>
      </c>
      <c r="B8">
        <v>0</v>
      </c>
      <c r="C8">
        <v>0</v>
      </c>
      <c r="D8">
        <v>9.2249999999999996</v>
      </c>
      <c r="E8">
        <v>14</v>
      </c>
      <c r="F8">
        <v>0</v>
      </c>
      <c r="G8">
        <v>0</v>
      </c>
      <c r="H8">
        <v>0</v>
      </c>
      <c r="I8">
        <v>1</v>
      </c>
      <c r="J8">
        <v>1</v>
      </c>
      <c r="K8">
        <v>0</v>
      </c>
      <c r="L8">
        <v>0</v>
      </c>
      <c r="M8">
        <v>1</v>
      </c>
      <c r="N8" s="14">
        <f t="shared" si="0"/>
        <v>0</v>
      </c>
      <c r="O8">
        <f t="shared" si="1"/>
        <v>0.14718409193241891</v>
      </c>
    </row>
    <row r="9" spans="1:15" x14ac:dyDescent="0.4">
      <c r="A9">
        <v>898</v>
      </c>
      <c r="B9">
        <v>0</v>
      </c>
      <c r="C9">
        <v>0</v>
      </c>
      <c r="D9">
        <v>7.6292</v>
      </c>
      <c r="E9">
        <v>30</v>
      </c>
      <c r="F9">
        <v>1</v>
      </c>
      <c r="G9">
        <v>0</v>
      </c>
      <c r="H9">
        <v>0</v>
      </c>
      <c r="I9">
        <v>1</v>
      </c>
      <c r="J9">
        <v>0</v>
      </c>
      <c r="K9">
        <v>1</v>
      </c>
      <c r="L9">
        <v>0</v>
      </c>
      <c r="M9">
        <v>1</v>
      </c>
      <c r="N9" s="14">
        <f t="shared" si="0"/>
        <v>1</v>
      </c>
      <c r="O9">
        <f t="shared" si="1"/>
        <v>0.67279224019903816</v>
      </c>
    </row>
    <row r="10" spans="1:15" x14ac:dyDescent="0.4">
      <c r="A10">
        <v>899</v>
      </c>
      <c r="B10">
        <v>1</v>
      </c>
      <c r="C10">
        <v>1</v>
      </c>
      <c r="D10">
        <v>29</v>
      </c>
      <c r="E10">
        <v>26</v>
      </c>
      <c r="F10">
        <v>0</v>
      </c>
      <c r="G10">
        <v>0</v>
      </c>
      <c r="H10">
        <v>1</v>
      </c>
      <c r="I10">
        <v>0</v>
      </c>
      <c r="J10">
        <v>1</v>
      </c>
      <c r="K10">
        <v>0</v>
      </c>
      <c r="L10">
        <v>0</v>
      </c>
      <c r="M10">
        <v>1</v>
      </c>
      <c r="N10" s="14">
        <f t="shared" si="0"/>
        <v>0</v>
      </c>
      <c r="O10">
        <f t="shared" si="1"/>
        <v>0.20448385370378902</v>
      </c>
    </row>
    <row r="11" spans="1:15" x14ac:dyDescent="0.4">
      <c r="A11">
        <v>900</v>
      </c>
      <c r="B11">
        <v>0</v>
      </c>
      <c r="C11">
        <v>0</v>
      </c>
      <c r="D11">
        <v>7.2291999999999996</v>
      </c>
      <c r="E11">
        <v>18</v>
      </c>
      <c r="F11">
        <v>1</v>
      </c>
      <c r="G11">
        <v>0</v>
      </c>
      <c r="H11">
        <v>0</v>
      </c>
      <c r="I11">
        <v>1</v>
      </c>
      <c r="J11">
        <v>0</v>
      </c>
      <c r="K11">
        <v>0</v>
      </c>
      <c r="L11">
        <v>1</v>
      </c>
      <c r="M11">
        <v>1</v>
      </c>
      <c r="N11" s="14">
        <f t="shared" si="0"/>
        <v>1</v>
      </c>
      <c r="O11">
        <f t="shared" si="1"/>
        <v>0.77535771055567282</v>
      </c>
    </row>
    <row r="12" spans="1:15" x14ac:dyDescent="0.4">
      <c r="A12">
        <v>901</v>
      </c>
      <c r="B12">
        <v>2</v>
      </c>
      <c r="C12">
        <v>0</v>
      </c>
      <c r="D12">
        <v>24.15</v>
      </c>
      <c r="E12">
        <v>21</v>
      </c>
      <c r="F12">
        <v>0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 s="14">
        <f t="shared" si="0"/>
        <v>0</v>
      </c>
      <c r="O12">
        <f t="shared" si="1"/>
        <v>6.6888848921415431E-2</v>
      </c>
    </row>
    <row r="13" spans="1:15" x14ac:dyDescent="0.4">
      <c r="A13">
        <v>902</v>
      </c>
      <c r="B13">
        <v>0</v>
      </c>
      <c r="C13">
        <v>0</v>
      </c>
      <c r="D13">
        <v>7.8958000000000004</v>
      </c>
      <c r="E13">
        <v>28</v>
      </c>
      <c r="F13">
        <v>0</v>
      </c>
      <c r="G13">
        <v>0</v>
      </c>
      <c r="H13">
        <v>0</v>
      </c>
      <c r="I13">
        <v>1</v>
      </c>
      <c r="J13">
        <v>1</v>
      </c>
      <c r="K13">
        <v>0</v>
      </c>
      <c r="L13">
        <v>0</v>
      </c>
      <c r="M13">
        <v>1</v>
      </c>
      <c r="N13" s="14">
        <f t="shared" si="0"/>
        <v>0</v>
      </c>
      <c r="O13">
        <f t="shared" si="1"/>
        <v>9.117888566880443E-2</v>
      </c>
    </row>
    <row r="14" spans="1:15" x14ac:dyDescent="0.4">
      <c r="A14">
        <v>903</v>
      </c>
      <c r="B14">
        <v>0</v>
      </c>
      <c r="C14">
        <v>0</v>
      </c>
      <c r="D14">
        <v>26</v>
      </c>
      <c r="E14">
        <v>46</v>
      </c>
      <c r="F14">
        <v>0</v>
      </c>
      <c r="G14">
        <v>1</v>
      </c>
      <c r="H14">
        <v>0</v>
      </c>
      <c r="I14">
        <v>0</v>
      </c>
      <c r="J14">
        <v>1</v>
      </c>
      <c r="K14">
        <v>0</v>
      </c>
      <c r="L14">
        <v>0</v>
      </c>
      <c r="M14">
        <v>1</v>
      </c>
      <c r="N14" s="14">
        <f t="shared" si="0"/>
        <v>0</v>
      </c>
      <c r="O14">
        <f t="shared" si="1"/>
        <v>0.30985811331110863</v>
      </c>
    </row>
    <row r="15" spans="1:15" x14ac:dyDescent="0.4">
      <c r="A15">
        <v>904</v>
      </c>
      <c r="B15">
        <v>1</v>
      </c>
      <c r="C15">
        <v>0</v>
      </c>
      <c r="D15">
        <v>82.2667</v>
      </c>
      <c r="E15">
        <v>23</v>
      </c>
      <c r="F15">
        <v>1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1</v>
      </c>
      <c r="N15" s="14">
        <f t="shared" si="0"/>
        <v>1</v>
      </c>
      <c r="O15">
        <f t="shared" si="1"/>
        <v>0.93179325803222912</v>
      </c>
    </row>
    <row r="16" spans="1:15" x14ac:dyDescent="0.4">
      <c r="A16">
        <v>905</v>
      </c>
      <c r="B16">
        <v>1</v>
      </c>
      <c r="C16">
        <v>0</v>
      </c>
      <c r="D16">
        <v>26</v>
      </c>
      <c r="E16">
        <v>63</v>
      </c>
      <c r="F16">
        <v>0</v>
      </c>
      <c r="G16">
        <v>0</v>
      </c>
      <c r="H16">
        <v>1</v>
      </c>
      <c r="I16">
        <v>0</v>
      </c>
      <c r="J16">
        <v>1</v>
      </c>
      <c r="K16">
        <v>0</v>
      </c>
      <c r="L16">
        <v>0</v>
      </c>
      <c r="M16">
        <v>1</v>
      </c>
      <c r="N16" s="14">
        <f t="shared" si="0"/>
        <v>0</v>
      </c>
      <c r="O16">
        <f t="shared" si="1"/>
        <v>6.3115079937129948E-2</v>
      </c>
    </row>
    <row r="17" spans="1:15" x14ac:dyDescent="0.4">
      <c r="A17">
        <v>906</v>
      </c>
      <c r="B17">
        <v>1</v>
      </c>
      <c r="C17">
        <v>0</v>
      </c>
      <c r="D17">
        <v>61.174999999999997</v>
      </c>
      <c r="E17">
        <v>47</v>
      </c>
      <c r="F17">
        <v>1</v>
      </c>
      <c r="G17">
        <v>1</v>
      </c>
      <c r="H17">
        <v>0</v>
      </c>
      <c r="I17">
        <v>0</v>
      </c>
      <c r="J17">
        <v>1</v>
      </c>
      <c r="K17">
        <v>0</v>
      </c>
      <c r="L17">
        <v>0</v>
      </c>
      <c r="M17">
        <v>1</v>
      </c>
      <c r="N17" s="14">
        <f t="shared" si="0"/>
        <v>1</v>
      </c>
      <c r="O17">
        <f t="shared" si="1"/>
        <v>0.83762065986264889</v>
      </c>
    </row>
    <row r="18" spans="1:15" x14ac:dyDescent="0.4">
      <c r="A18">
        <v>907</v>
      </c>
      <c r="B18">
        <v>1</v>
      </c>
      <c r="C18">
        <v>0</v>
      </c>
      <c r="D18">
        <v>27.720800000000001</v>
      </c>
      <c r="E18">
        <v>24</v>
      </c>
      <c r="F18">
        <v>1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1</v>
      </c>
      <c r="N18" s="14">
        <f t="shared" si="0"/>
        <v>1</v>
      </c>
      <c r="O18">
        <f t="shared" si="1"/>
        <v>0.8768963146289509</v>
      </c>
    </row>
    <row r="19" spans="1:15" x14ac:dyDescent="0.4">
      <c r="A19">
        <v>908</v>
      </c>
      <c r="B19">
        <v>0</v>
      </c>
      <c r="C19">
        <v>0</v>
      </c>
      <c r="D19">
        <v>12.35</v>
      </c>
      <c r="E19">
        <v>35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1</v>
      </c>
      <c r="N19" s="14">
        <f t="shared" si="0"/>
        <v>0</v>
      </c>
      <c r="O19">
        <f t="shared" si="1"/>
        <v>0.27875498345114796</v>
      </c>
    </row>
    <row r="20" spans="1:15" x14ac:dyDescent="0.4">
      <c r="A20">
        <v>909</v>
      </c>
      <c r="B20">
        <v>0</v>
      </c>
      <c r="C20">
        <v>0</v>
      </c>
      <c r="D20">
        <v>7.2249999999999996</v>
      </c>
      <c r="E20">
        <v>21</v>
      </c>
      <c r="F20">
        <v>0</v>
      </c>
      <c r="G20">
        <v>0</v>
      </c>
      <c r="H20">
        <v>0</v>
      </c>
      <c r="I20">
        <v>1</v>
      </c>
      <c r="J20">
        <v>0</v>
      </c>
      <c r="K20">
        <v>0</v>
      </c>
      <c r="L20">
        <v>1</v>
      </c>
      <c r="M20">
        <v>1</v>
      </c>
      <c r="N20" s="14">
        <f t="shared" si="0"/>
        <v>0</v>
      </c>
      <c r="O20">
        <f t="shared" si="1"/>
        <v>0.16848856528688955</v>
      </c>
    </row>
    <row r="21" spans="1:15" x14ac:dyDescent="0.4">
      <c r="A21">
        <v>910</v>
      </c>
      <c r="B21">
        <v>1</v>
      </c>
      <c r="C21">
        <v>0</v>
      </c>
      <c r="D21">
        <v>7.9249999999999998</v>
      </c>
      <c r="E21">
        <v>27</v>
      </c>
      <c r="F21">
        <v>1</v>
      </c>
      <c r="G21">
        <v>0</v>
      </c>
      <c r="H21">
        <v>0</v>
      </c>
      <c r="I21">
        <v>1</v>
      </c>
      <c r="J21">
        <v>1</v>
      </c>
      <c r="K21">
        <v>0</v>
      </c>
      <c r="L21">
        <v>0</v>
      </c>
      <c r="M21">
        <v>1</v>
      </c>
      <c r="N21" s="14">
        <f t="shared" si="0"/>
        <v>1</v>
      </c>
      <c r="O21">
        <f t="shared" si="1"/>
        <v>0.53418305312364078</v>
      </c>
    </row>
    <row r="22" spans="1:15" x14ac:dyDescent="0.4">
      <c r="A22">
        <v>911</v>
      </c>
      <c r="B22">
        <v>0</v>
      </c>
      <c r="C22">
        <v>0</v>
      </c>
      <c r="D22">
        <v>7.2249999999999996</v>
      </c>
      <c r="E22">
        <v>45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1</v>
      </c>
      <c r="N22" s="14">
        <f t="shared" si="0"/>
        <v>1</v>
      </c>
      <c r="O22">
        <f t="shared" si="1"/>
        <v>0.54949169691492328</v>
      </c>
    </row>
    <row r="23" spans="1:15" x14ac:dyDescent="0.4">
      <c r="A23">
        <v>912</v>
      </c>
      <c r="B23">
        <v>1</v>
      </c>
      <c r="C23">
        <v>0</v>
      </c>
      <c r="D23">
        <v>59.4</v>
      </c>
      <c r="E23">
        <v>55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1</v>
      </c>
      <c r="N23" s="14">
        <f t="shared" si="0"/>
        <v>0</v>
      </c>
      <c r="O23">
        <f t="shared" si="1"/>
        <v>0.27758094163128333</v>
      </c>
    </row>
    <row r="24" spans="1:15" x14ac:dyDescent="0.4">
      <c r="A24">
        <v>913</v>
      </c>
      <c r="B24">
        <v>0</v>
      </c>
      <c r="C24">
        <v>1</v>
      </c>
      <c r="D24">
        <v>3.1707999999999998</v>
      </c>
      <c r="E24">
        <v>9</v>
      </c>
      <c r="F24">
        <v>0</v>
      </c>
      <c r="G24">
        <v>0</v>
      </c>
      <c r="H24">
        <v>0</v>
      </c>
      <c r="I24">
        <v>1</v>
      </c>
      <c r="J24">
        <v>1</v>
      </c>
      <c r="K24">
        <v>0</v>
      </c>
      <c r="L24">
        <v>0</v>
      </c>
      <c r="M24">
        <v>1</v>
      </c>
      <c r="N24" s="14">
        <f t="shared" si="0"/>
        <v>0</v>
      </c>
      <c r="O24">
        <f t="shared" si="1"/>
        <v>0.15819085908417213</v>
      </c>
    </row>
    <row r="25" spans="1:15" x14ac:dyDescent="0.4">
      <c r="A25">
        <v>914</v>
      </c>
      <c r="B25">
        <v>0</v>
      </c>
      <c r="C25">
        <v>0</v>
      </c>
      <c r="D25">
        <v>31.683299999999999</v>
      </c>
      <c r="E25">
        <v>28</v>
      </c>
      <c r="F25">
        <v>1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1</v>
      </c>
      <c r="N25" s="14">
        <f t="shared" si="0"/>
        <v>1</v>
      </c>
      <c r="O25">
        <f t="shared" si="1"/>
        <v>0.93248940681780457</v>
      </c>
    </row>
    <row r="26" spans="1:15" x14ac:dyDescent="0.4">
      <c r="A26">
        <v>915</v>
      </c>
      <c r="B26">
        <v>0</v>
      </c>
      <c r="C26">
        <v>1</v>
      </c>
      <c r="D26">
        <v>61.379199999999997</v>
      </c>
      <c r="E26">
        <v>21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1</v>
      </c>
      <c r="N26" s="14">
        <f t="shared" si="0"/>
        <v>1</v>
      </c>
      <c r="O26">
        <f t="shared" si="1"/>
        <v>0.64257801371038659</v>
      </c>
    </row>
    <row r="27" spans="1:15" x14ac:dyDescent="0.4">
      <c r="A27">
        <v>916</v>
      </c>
      <c r="B27">
        <v>1</v>
      </c>
      <c r="C27">
        <v>3</v>
      </c>
      <c r="D27">
        <v>262.375</v>
      </c>
      <c r="E27">
        <v>48</v>
      </c>
      <c r="F27">
        <v>1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 s="14">
        <f t="shared" si="0"/>
        <v>1</v>
      </c>
      <c r="O27">
        <f t="shared" si="1"/>
        <v>0.90268268224714932</v>
      </c>
    </row>
    <row r="28" spans="1:15" x14ac:dyDescent="0.4">
      <c r="A28">
        <v>917</v>
      </c>
      <c r="B28">
        <v>1</v>
      </c>
      <c r="C28">
        <v>0</v>
      </c>
      <c r="D28">
        <v>14.5</v>
      </c>
      <c r="E28">
        <v>50</v>
      </c>
      <c r="F28">
        <v>0</v>
      </c>
      <c r="G28">
        <v>0</v>
      </c>
      <c r="H28">
        <v>0</v>
      </c>
      <c r="I28">
        <v>1</v>
      </c>
      <c r="J28">
        <v>1</v>
      </c>
      <c r="K28">
        <v>0</v>
      </c>
      <c r="L28">
        <v>0</v>
      </c>
      <c r="M28">
        <v>1</v>
      </c>
      <c r="N28" s="14">
        <f t="shared" si="0"/>
        <v>0</v>
      </c>
      <c r="O28">
        <f t="shared" si="1"/>
        <v>3.0668518888227105E-2</v>
      </c>
    </row>
    <row r="29" spans="1:15" x14ac:dyDescent="0.4">
      <c r="A29">
        <v>918</v>
      </c>
      <c r="B29">
        <v>0</v>
      </c>
      <c r="C29">
        <v>1</v>
      </c>
      <c r="D29">
        <v>61.979199999999999</v>
      </c>
      <c r="E29">
        <v>22</v>
      </c>
      <c r="F29">
        <v>1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1</v>
      </c>
      <c r="N29" s="14">
        <f t="shared" si="0"/>
        <v>1</v>
      </c>
      <c r="O29">
        <f t="shared" si="1"/>
        <v>0.96335181779958123</v>
      </c>
    </row>
    <row r="30" spans="1:15" x14ac:dyDescent="0.4">
      <c r="A30">
        <v>919</v>
      </c>
      <c r="B30">
        <v>0</v>
      </c>
      <c r="C30">
        <v>0</v>
      </c>
      <c r="D30">
        <v>7.2249999999999996</v>
      </c>
      <c r="E30">
        <v>22.5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1</v>
      </c>
      <c r="M30">
        <v>1</v>
      </c>
      <c r="N30" s="14">
        <f t="shared" si="0"/>
        <v>0</v>
      </c>
      <c r="O30">
        <f t="shared" si="1"/>
        <v>0.16054677855259961</v>
      </c>
    </row>
    <row r="31" spans="1:15" x14ac:dyDescent="0.4">
      <c r="A31">
        <v>920</v>
      </c>
      <c r="B31">
        <v>0</v>
      </c>
      <c r="C31">
        <v>0</v>
      </c>
      <c r="D31">
        <v>30.5</v>
      </c>
      <c r="E31">
        <v>41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1</v>
      </c>
      <c r="N31" s="14">
        <f t="shared" si="0"/>
        <v>0</v>
      </c>
      <c r="O31">
        <f t="shared" si="1"/>
        <v>0.35488577116986131</v>
      </c>
    </row>
    <row r="32" spans="1:15" x14ac:dyDescent="0.4">
      <c r="A32">
        <v>921</v>
      </c>
      <c r="B32">
        <v>2</v>
      </c>
      <c r="C32">
        <v>0</v>
      </c>
      <c r="D32">
        <v>21.679200000000002</v>
      </c>
      <c r="E32">
        <v>28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1</v>
      </c>
      <c r="M32">
        <v>1</v>
      </c>
      <c r="N32" s="14">
        <f t="shared" si="0"/>
        <v>0</v>
      </c>
      <c r="O32">
        <f t="shared" si="1"/>
        <v>7.75499723647287E-2</v>
      </c>
    </row>
    <row r="33" spans="1:15" x14ac:dyDescent="0.4">
      <c r="A33">
        <v>922</v>
      </c>
      <c r="B33">
        <v>1</v>
      </c>
      <c r="C33">
        <v>0</v>
      </c>
      <c r="D33">
        <v>26</v>
      </c>
      <c r="E33">
        <v>50</v>
      </c>
      <c r="F33">
        <v>0</v>
      </c>
      <c r="G33">
        <v>0</v>
      </c>
      <c r="H33">
        <v>1</v>
      </c>
      <c r="I33">
        <v>0</v>
      </c>
      <c r="J33">
        <v>1</v>
      </c>
      <c r="K33">
        <v>0</v>
      </c>
      <c r="L33">
        <v>0</v>
      </c>
      <c r="M33">
        <v>1</v>
      </c>
      <c r="N33" s="14">
        <f t="shared" si="0"/>
        <v>0</v>
      </c>
      <c r="O33">
        <f t="shared" si="1"/>
        <v>0.10004097534257972</v>
      </c>
    </row>
    <row r="34" spans="1:15" x14ac:dyDescent="0.4">
      <c r="A34">
        <v>923</v>
      </c>
      <c r="B34">
        <v>2</v>
      </c>
      <c r="C34">
        <v>0</v>
      </c>
      <c r="D34">
        <v>31.5</v>
      </c>
      <c r="E34">
        <v>24</v>
      </c>
      <c r="F34">
        <v>0</v>
      </c>
      <c r="G34">
        <v>0</v>
      </c>
      <c r="H34">
        <v>1</v>
      </c>
      <c r="I34">
        <v>0</v>
      </c>
      <c r="J34">
        <v>1</v>
      </c>
      <c r="K34">
        <v>0</v>
      </c>
      <c r="L34">
        <v>0</v>
      </c>
      <c r="M34">
        <v>1</v>
      </c>
      <c r="N34" s="14">
        <f t="shared" si="0"/>
        <v>0</v>
      </c>
      <c r="O34">
        <f t="shared" si="1"/>
        <v>0.1818039209226365</v>
      </c>
    </row>
    <row r="35" spans="1:15" x14ac:dyDescent="0.4">
      <c r="A35">
        <v>924</v>
      </c>
      <c r="B35">
        <v>1</v>
      </c>
      <c r="C35">
        <v>2</v>
      </c>
      <c r="D35">
        <v>20.574999999999999</v>
      </c>
      <c r="E35">
        <v>33</v>
      </c>
      <c r="F35">
        <v>1</v>
      </c>
      <c r="G35">
        <v>0</v>
      </c>
      <c r="H35">
        <v>0</v>
      </c>
      <c r="I35">
        <v>1</v>
      </c>
      <c r="J35">
        <v>1</v>
      </c>
      <c r="K35">
        <v>0</v>
      </c>
      <c r="L35">
        <v>0</v>
      </c>
      <c r="M35">
        <v>1</v>
      </c>
      <c r="N35" s="14">
        <f t="shared" si="0"/>
        <v>0</v>
      </c>
      <c r="O35">
        <f t="shared" si="1"/>
        <v>0.43749268464597152</v>
      </c>
    </row>
    <row r="36" spans="1:15" x14ac:dyDescent="0.4">
      <c r="A36">
        <v>925</v>
      </c>
      <c r="B36">
        <v>1</v>
      </c>
      <c r="C36">
        <v>2</v>
      </c>
      <c r="D36">
        <v>23.45</v>
      </c>
      <c r="E36">
        <v>28</v>
      </c>
      <c r="F36">
        <v>1</v>
      </c>
      <c r="G36">
        <v>0</v>
      </c>
      <c r="H36">
        <v>0</v>
      </c>
      <c r="I36">
        <v>1</v>
      </c>
      <c r="J36">
        <v>1</v>
      </c>
      <c r="K36">
        <v>0</v>
      </c>
      <c r="L36">
        <v>0</v>
      </c>
      <c r="M36">
        <v>1</v>
      </c>
      <c r="N36" s="14">
        <f t="shared" si="0"/>
        <v>0</v>
      </c>
      <c r="O36">
        <f t="shared" si="1"/>
        <v>0.48700464055129855</v>
      </c>
    </row>
    <row r="37" spans="1:15" x14ac:dyDescent="0.4">
      <c r="A37">
        <v>926</v>
      </c>
      <c r="B37">
        <v>1</v>
      </c>
      <c r="C37">
        <v>0</v>
      </c>
      <c r="D37">
        <v>57.75</v>
      </c>
      <c r="E37">
        <v>30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 s="14">
        <f t="shared" si="0"/>
        <v>1</v>
      </c>
      <c r="O37">
        <f t="shared" si="1"/>
        <v>0.50069641573630141</v>
      </c>
    </row>
    <row r="38" spans="1:15" x14ac:dyDescent="0.4">
      <c r="A38">
        <v>927</v>
      </c>
      <c r="B38">
        <v>0</v>
      </c>
      <c r="C38">
        <v>0</v>
      </c>
      <c r="D38">
        <v>7.2291999999999996</v>
      </c>
      <c r="E38">
        <v>18.5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1</v>
      </c>
      <c r="M38">
        <v>1</v>
      </c>
      <c r="N38" s="14">
        <f t="shared" si="0"/>
        <v>0</v>
      </c>
      <c r="O38">
        <f t="shared" si="1"/>
        <v>0.18241752659046423</v>
      </c>
    </row>
    <row r="39" spans="1:15" x14ac:dyDescent="0.4">
      <c r="A39">
        <v>928</v>
      </c>
      <c r="B39">
        <v>0</v>
      </c>
      <c r="C39">
        <v>0</v>
      </c>
      <c r="D39">
        <v>8.0500000000000007</v>
      </c>
      <c r="E39">
        <v>28</v>
      </c>
      <c r="F39">
        <v>1</v>
      </c>
      <c r="G39">
        <v>0</v>
      </c>
      <c r="H39">
        <v>0</v>
      </c>
      <c r="I39">
        <v>1</v>
      </c>
      <c r="J39">
        <v>1</v>
      </c>
      <c r="K39">
        <v>0</v>
      </c>
      <c r="L39">
        <v>0</v>
      </c>
      <c r="M39">
        <v>1</v>
      </c>
      <c r="N39" s="14">
        <f t="shared" si="0"/>
        <v>1</v>
      </c>
      <c r="O39">
        <f t="shared" si="1"/>
        <v>0.60363680202197822</v>
      </c>
    </row>
    <row r="40" spans="1:15" x14ac:dyDescent="0.4">
      <c r="A40">
        <v>929</v>
      </c>
      <c r="B40">
        <v>0</v>
      </c>
      <c r="C40">
        <v>0</v>
      </c>
      <c r="D40">
        <v>8.6624999999999996</v>
      </c>
      <c r="E40">
        <v>21</v>
      </c>
      <c r="F40">
        <v>1</v>
      </c>
      <c r="G40">
        <v>0</v>
      </c>
      <c r="H40">
        <v>0</v>
      </c>
      <c r="I40">
        <v>1</v>
      </c>
      <c r="J40">
        <v>1</v>
      </c>
      <c r="K40">
        <v>0</v>
      </c>
      <c r="L40">
        <v>0</v>
      </c>
      <c r="M40">
        <v>1</v>
      </c>
      <c r="N40" s="14">
        <f t="shared" si="0"/>
        <v>1</v>
      </c>
      <c r="O40">
        <f t="shared" si="1"/>
        <v>0.66635668132309256</v>
      </c>
    </row>
    <row r="41" spans="1:15" x14ac:dyDescent="0.4">
      <c r="A41">
        <v>930</v>
      </c>
      <c r="B41">
        <v>0</v>
      </c>
      <c r="C41">
        <v>0</v>
      </c>
      <c r="D41">
        <v>9.5</v>
      </c>
      <c r="E41">
        <v>25</v>
      </c>
      <c r="F41">
        <v>0</v>
      </c>
      <c r="G41">
        <v>0</v>
      </c>
      <c r="H41">
        <v>0</v>
      </c>
      <c r="I41">
        <v>1</v>
      </c>
      <c r="J41">
        <v>1</v>
      </c>
      <c r="K41">
        <v>0</v>
      </c>
      <c r="L41">
        <v>0</v>
      </c>
      <c r="M41">
        <v>1</v>
      </c>
      <c r="N41" s="14">
        <f t="shared" si="0"/>
        <v>0</v>
      </c>
      <c r="O41">
        <f t="shared" si="1"/>
        <v>0.10156121716032215</v>
      </c>
    </row>
    <row r="42" spans="1:15" x14ac:dyDescent="0.4">
      <c r="A42">
        <v>931</v>
      </c>
      <c r="B42">
        <v>0</v>
      </c>
      <c r="C42">
        <v>0</v>
      </c>
      <c r="D42">
        <v>56.495800000000003</v>
      </c>
      <c r="E42">
        <v>28</v>
      </c>
      <c r="F42">
        <v>0</v>
      </c>
      <c r="G42">
        <v>0</v>
      </c>
      <c r="H42">
        <v>0</v>
      </c>
      <c r="I42">
        <v>1</v>
      </c>
      <c r="J42">
        <v>1</v>
      </c>
      <c r="K42">
        <v>0</v>
      </c>
      <c r="L42">
        <v>0</v>
      </c>
      <c r="M42">
        <v>1</v>
      </c>
      <c r="N42" s="14">
        <f t="shared" si="0"/>
        <v>0</v>
      </c>
      <c r="O42">
        <f t="shared" si="1"/>
        <v>0.10104495854089617</v>
      </c>
    </row>
    <row r="43" spans="1:15" x14ac:dyDescent="0.4">
      <c r="A43">
        <v>932</v>
      </c>
      <c r="B43">
        <v>0</v>
      </c>
      <c r="C43">
        <v>1</v>
      </c>
      <c r="D43">
        <v>13.416700000000001</v>
      </c>
      <c r="E43">
        <v>39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1</v>
      </c>
      <c r="M43">
        <v>1</v>
      </c>
      <c r="N43" s="14">
        <f t="shared" si="0"/>
        <v>0</v>
      </c>
      <c r="O43">
        <f t="shared" si="1"/>
        <v>8.5589558937679E-2</v>
      </c>
    </row>
    <row r="44" spans="1:15" x14ac:dyDescent="0.4">
      <c r="A44">
        <v>933</v>
      </c>
      <c r="B44">
        <v>0</v>
      </c>
      <c r="C44">
        <v>0</v>
      </c>
      <c r="D44">
        <v>26.55</v>
      </c>
      <c r="E44">
        <v>28</v>
      </c>
      <c r="F44">
        <v>0</v>
      </c>
      <c r="G44">
        <v>1</v>
      </c>
      <c r="H44">
        <v>0</v>
      </c>
      <c r="I44">
        <v>0</v>
      </c>
      <c r="J44">
        <v>1</v>
      </c>
      <c r="K44">
        <v>0</v>
      </c>
      <c r="L44">
        <v>0</v>
      </c>
      <c r="M44">
        <v>1</v>
      </c>
      <c r="N44" s="14">
        <f t="shared" si="0"/>
        <v>0</v>
      </c>
      <c r="O44">
        <f t="shared" si="1"/>
        <v>0.47351539329993997</v>
      </c>
    </row>
    <row r="45" spans="1:15" x14ac:dyDescent="0.4">
      <c r="A45">
        <v>934</v>
      </c>
      <c r="B45">
        <v>0</v>
      </c>
      <c r="C45">
        <v>0</v>
      </c>
      <c r="D45">
        <v>7.85</v>
      </c>
      <c r="E45">
        <v>41</v>
      </c>
      <c r="F45">
        <v>0</v>
      </c>
      <c r="G45">
        <v>0</v>
      </c>
      <c r="H45">
        <v>0</v>
      </c>
      <c r="I45">
        <v>1</v>
      </c>
      <c r="J45">
        <v>1</v>
      </c>
      <c r="K45">
        <v>0</v>
      </c>
      <c r="L45">
        <v>0</v>
      </c>
      <c r="M45">
        <v>1</v>
      </c>
      <c r="N45" s="14">
        <f t="shared" si="0"/>
        <v>0</v>
      </c>
      <c r="O45">
        <f t="shared" si="1"/>
        <v>5.7309944481833956E-2</v>
      </c>
    </row>
    <row r="46" spans="1:15" x14ac:dyDescent="0.4">
      <c r="A46">
        <v>935</v>
      </c>
      <c r="B46">
        <v>0</v>
      </c>
      <c r="C46">
        <v>0</v>
      </c>
      <c r="D46">
        <v>13</v>
      </c>
      <c r="E46">
        <v>30</v>
      </c>
      <c r="F46">
        <v>1</v>
      </c>
      <c r="G46">
        <v>0</v>
      </c>
      <c r="H46">
        <v>1</v>
      </c>
      <c r="I46">
        <v>0</v>
      </c>
      <c r="J46">
        <v>1</v>
      </c>
      <c r="K46">
        <v>0</v>
      </c>
      <c r="L46">
        <v>0</v>
      </c>
      <c r="M46">
        <v>1</v>
      </c>
      <c r="N46" s="14">
        <f t="shared" si="0"/>
        <v>1</v>
      </c>
      <c r="O46">
        <f t="shared" si="1"/>
        <v>0.82989358993649609</v>
      </c>
    </row>
    <row r="47" spans="1:15" x14ac:dyDescent="0.4">
      <c r="A47">
        <v>936</v>
      </c>
      <c r="B47">
        <v>1</v>
      </c>
      <c r="C47">
        <v>0</v>
      </c>
      <c r="D47">
        <v>52.554200000000002</v>
      </c>
      <c r="E47">
        <v>45</v>
      </c>
      <c r="F47">
        <v>1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1</v>
      </c>
      <c r="N47" s="14">
        <f t="shared" si="0"/>
        <v>1</v>
      </c>
      <c r="O47">
        <f t="shared" si="1"/>
        <v>0.84521058515790692</v>
      </c>
    </row>
    <row r="48" spans="1:15" x14ac:dyDescent="0.4">
      <c r="A48">
        <v>937</v>
      </c>
      <c r="B48">
        <v>0</v>
      </c>
      <c r="C48">
        <v>0</v>
      </c>
      <c r="D48">
        <v>7.9249999999999998</v>
      </c>
      <c r="E48">
        <v>25</v>
      </c>
      <c r="F48">
        <v>0</v>
      </c>
      <c r="G48">
        <v>0</v>
      </c>
      <c r="H48">
        <v>0</v>
      </c>
      <c r="I48">
        <v>1</v>
      </c>
      <c r="J48">
        <v>1</v>
      </c>
      <c r="K48">
        <v>0</v>
      </c>
      <c r="L48">
        <v>0</v>
      </c>
      <c r="M48">
        <v>1</v>
      </c>
      <c r="N48" s="14">
        <f t="shared" si="0"/>
        <v>0</v>
      </c>
      <c r="O48">
        <f t="shared" si="1"/>
        <v>0.10122561772759162</v>
      </c>
    </row>
    <row r="49" spans="1:15" x14ac:dyDescent="0.4">
      <c r="A49">
        <v>938</v>
      </c>
      <c r="B49">
        <v>0</v>
      </c>
      <c r="C49">
        <v>0</v>
      </c>
      <c r="D49">
        <v>29.7</v>
      </c>
      <c r="E49">
        <v>45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  <c r="N49" s="14">
        <f t="shared" si="0"/>
        <v>0</v>
      </c>
      <c r="O49">
        <f t="shared" si="1"/>
        <v>0.4209764643209033</v>
      </c>
    </row>
    <row r="50" spans="1:15" x14ac:dyDescent="0.4">
      <c r="A50">
        <v>939</v>
      </c>
      <c r="B50">
        <v>0</v>
      </c>
      <c r="C50">
        <v>0</v>
      </c>
      <c r="D50">
        <v>7.75</v>
      </c>
      <c r="E50">
        <v>28</v>
      </c>
      <c r="F50">
        <v>0</v>
      </c>
      <c r="G50">
        <v>0</v>
      </c>
      <c r="H50">
        <v>0</v>
      </c>
      <c r="I50">
        <v>1</v>
      </c>
      <c r="J50">
        <v>0</v>
      </c>
      <c r="K50">
        <v>1</v>
      </c>
      <c r="L50">
        <v>0</v>
      </c>
      <c r="M50">
        <v>1</v>
      </c>
      <c r="N50" s="14">
        <f t="shared" si="0"/>
        <v>0</v>
      </c>
      <c r="O50">
        <f t="shared" si="1"/>
        <v>0.12770204164315915</v>
      </c>
    </row>
    <row r="51" spans="1:15" x14ac:dyDescent="0.4">
      <c r="A51">
        <v>940</v>
      </c>
      <c r="B51">
        <v>0</v>
      </c>
      <c r="C51">
        <v>0</v>
      </c>
      <c r="D51">
        <v>76.291700000000006</v>
      </c>
      <c r="E51">
        <v>60</v>
      </c>
      <c r="F51">
        <v>1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 s="14">
        <f t="shared" si="0"/>
        <v>1</v>
      </c>
      <c r="O51">
        <f t="shared" si="1"/>
        <v>0.87346159516403232</v>
      </c>
    </row>
    <row r="52" spans="1:15" x14ac:dyDescent="0.4">
      <c r="A52">
        <v>941</v>
      </c>
      <c r="B52">
        <v>0</v>
      </c>
      <c r="C52">
        <v>2</v>
      </c>
      <c r="D52">
        <v>15.9</v>
      </c>
      <c r="E52">
        <v>36</v>
      </c>
      <c r="F52">
        <v>1</v>
      </c>
      <c r="G52">
        <v>0</v>
      </c>
      <c r="H52">
        <v>0</v>
      </c>
      <c r="I52">
        <v>1</v>
      </c>
      <c r="J52">
        <v>1</v>
      </c>
      <c r="K52">
        <v>0</v>
      </c>
      <c r="L52">
        <v>0</v>
      </c>
      <c r="M52">
        <v>1</v>
      </c>
      <c r="N52" s="14">
        <f t="shared" si="0"/>
        <v>0</v>
      </c>
      <c r="O52">
        <f t="shared" si="1"/>
        <v>0.48602247824338202</v>
      </c>
    </row>
    <row r="53" spans="1:15" x14ac:dyDescent="0.4">
      <c r="A53">
        <v>942</v>
      </c>
      <c r="B53">
        <v>1</v>
      </c>
      <c r="C53">
        <v>0</v>
      </c>
      <c r="D53">
        <v>60</v>
      </c>
      <c r="E53">
        <v>24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1</v>
      </c>
      <c r="N53" s="14">
        <f t="shared" si="0"/>
        <v>0</v>
      </c>
      <c r="O53">
        <f t="shared" si="1"/>
        <v>0.45124600718333763</v>
      </c>
    </row>
    <row r="54" spans="1:15" x14ac:dyDescent="0.4">
      <c r="A54">
        <v>943</v>
      </c>
      <c r="B54">
        <v>0</v>
      </c>
      <c r="C54">
        <v>0</v>
      </c>
      <c r="D54">
        <v>15.033300000000001</v>
      </c>
      <c r="E54">
        <v>27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1</v>
      </c>
      <c r="M54">
        <v>1</v>
      </c>
      <c r="N54" s="14">
        <f t="shared" si="0"/>
        <v>0</v>
      </c>
      <c r="O54">
        <f t="shared" si="1"/>
        <v>0.35903314328281272</v>
      </c>
    </row>
    <row r="55" spans="1:15" x14ac:dyDescent="0.4">
      <c r="A55">
        <v>944</v>
      </c>
      <c r="B55">
        <v>2</v>
      </c>
      <c r="C55">
        <v>1</v>
      </c>
      <c r="D55">
        <v>23</v>
      </c>
      <c r="E55">
        <v>20</v>
      </c>
      <c r="F55">
        <v>1</v>
      </c>
      <c r="G55">
        <v>0</v>
      </c>
      <c r="H55">
        <v>1</v>
      </c>
      <c r="I55">
        <v>0</v>
      </c>
      <c r="J55">
        <v>1</v>
      </c>
      <c r="K55">
        <v>0</v>
      </c>
      <c r="L55">
        <v>0</v>
      </c>
      <c r="M55">
        <v>1</v>
      </c>
      <c r="N55" s="14">
        <f t="shared" si="0"/>
        <v>1</v>
      </c>
      <c r="O55">
        <f t="shared" si="1"/>
        <v>0.77838782727333633</v>
      </c>
    </row>
    <row r="56" spans="1:15" x14ac:dyDescent="0.4">
      <c r="A56">
        <v>945</v>
      </c>
      <c r="B56">
        <v>3</v>
      </c>
      <c r="C56">
        <v>2</v>
      </c>
      <c r="D56">
        <v>263</v>
      </c>
      <c r="E56">
        <v>28</v>
      </c>
      <c r="F56">
        <v>1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 s="14">
        <f t="shared" si="0"/>
        <v>1</v>
      </c>
      <c r="O56">
        <f t="shared" si="1"/>
        <v>0.88226225490901833</v>
      </c>
    </row>
    <row r="57" spans="1:15" x14ac:dyDescent="0.4">
      <c r="A57">
        <v>946</v>
      </c>
      <c r="B57">
        <v>0</v>
      </c>
      <c r="C57">
        <v>0</v>
      </c>
      <c r="D57">
        <v>15.5792</v>
      </c>
      <c r="E57">
        <v>28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1</v>
      </c>
      <c r="M57">
        <v>1</v>
      </c>
      <c r="N57" s="14">
        <f t="shared" si="0"/>
        <v>0</v>
      </c>
      <c r="O57">
        <f t="shared" si="1"/>
        <v>0.35050688753928938</v>
      </c>
    </row>
    <row r="58" spans="1:15" x14ac:dyDescent="0.4">
      <c r="A58">
        <v>947</v>
      </c>
      <c r="B58">
        <v>4</v>
      </c>
      <c r="C58">
        <v>1</v>
      </c>
      <c r="D58">
        <v>29.125</v>
      </c>
      <c r="E58">
        <v>10</v>
      </c>
      <c r="F58">
        <v>0</v>
      </c>
      <c r="G58">
        <v>0</v>
      </c>
      <c r="H58">
        <v>0</v>
      </c>
      <c r="I58">
        <v>1</v>
      </c>
      <c r="J58">
        <v>0</v>
      </c>
      <c r="K58">
        <v>1</v>
      </c>
      <c r="L58">
        <v>0</v>
      </c>
      <c r="M58">
        <v>1</v>
      </c>
      <c r="N58" s="14">
        <f t="shared" si="0"/>
        <v>0</v>
      </c>
      <c r="O58">
        <f t="shared" si="1"/>
        <v>7.1820119746217423E-2</v>
      </c>
    </row>
    <row r="59" spans="1:15" x14ac:dyDescent="0.4">
      <c r="A59">
        <v>948</v>
      </c>
      <c r="B59">
        <v>0</v>
      </c>
      <c r="C59">
        <v>0</v>
      </c>
      <c r="D59">
        <v>7.8958000000000004</v>
      </c>
      <c r="E59">
        <v>35</v>
      </c>
      <c r="F59">
        <v>0</v>
      </c>
      <c r="G59">
        <v>0</v>
      </c>
      <c r="H59">
        <v>0</v>
      </c>
      <c r="I59">
        <v>1</v>
      </c>
      <c r="J59">
        <v>1</v>
      </c>
      <c r="K59">
        <v>0</v>
      </c>
      <c r="L59">
        <v>0</v>
      </c>
      <c r="M59">
        <v>1</v>
      </c>
      <c r="N59" s="14">
        <f t="shared" si="0"/>
        <v>0</v>
      </c>
      <c r="O59">
        <f t="shared" si="1"/>
        <v>7.1160151016102263E-2</v>
      </c>
    </row>
    <row r="60" spans="1:15" x14ac:dyDescent="0.4">
      <c r="A60">
        <v>949</v>
      </c>
      <c r="B60">
        <v>0</v>
      </c>
      <c r="C60">
        <v>0</v>
      </c>
      <c r="D60">
        <v>7.65</v>
      </c>
      <c r="E60">
        <v>25</v>
      </c>
      <c r="F60">
        <v>0</v>
      </c>
      <c r="G60">
        <v>0</v>
      </c>
      <c r="H60">
        <v>0</v>
      </c>
      <c r="I60">
        <v>1</v>
      </c>
      <c r="J60">
        <v>1</v>
      </c>
      <c r="K60">
        <v>0</v>
      </c>
      <c r="L60">
        <v>0</v>
      </c>
      <c r="M60">
        <v>1</v>
      </c>
      <c r="N60" s="14">
        <f t="shared" si="0"/>
        <v>0</v>
      </c>
      <c r="O60">
        <f t="shared" si="1"/>
        <v>0.10116712200711021</v>
      </c>
    </row>
    <row r="61" spans="1:15" x14ac:dyDescent="0.4">
      <c r="A61">
        <v>950</v>
      </c>
      <c r="B61">
        <v>1</v>
      </c>
      <c r="C61">
        <v>0</v>
      </c>
      <c r="D61">
        <v>16.100000000000001</v>
      </c>
      <c r="E61">
        <v>28</v>
      </c>
      <c r="F61">
        <v>0</v>
      </c>
      <c r="G61">
        <v>0</v>
      </c>
      <c r="H61">
        <v>0</v>
      </c>
      <c r="I61">
        <v>1</v>
      </c>
      <c r="J61">
        <v>1</v>
      </c>
      <c r="K61">
        <v>0</v>
      </c>
      <c r="L61">
        <v>0</v>
      </c>
      <c r="M61">
        <v>1</v>
      </c>
      <c r="N61" s="14">
        <f t="shared" si="0"/>
        <v>0</v>
      </c>
      <c r="O61">
        <f t="shared" si="1"/>
        <v>6.9005484855186677E-2</v>
      </c>
    </row>
    <row r="62" spans="1:15" x14ac:dyDescent="0.4">
      <c r="A62">
        <v>951</v>
      </c>
      <c r="B62">
        <v>0</v>
      </c>
      <c r="C62">
        <v>0</v>
      </c>
      <c r="D62">
        <v>262.375</v>
      </c>
      <c r="E62">
        <v>36</v>
      </c>
      <c r="F62">
        <v>1</v>
      </c>
      <c r="G62">
        <v>1</v>
      </c>
      <c r="H62">
        <v>0</v>
      </c>
      <c r="I62">
        <v>0</v>
      </c>
      <c r="J62">
        <v>0</v>
      </c>
      <c r="K62">
        <v>0</v>
      </c>
      <c r="L62">
        <v>1</v>
      </c>
      <c r="M62">
        <v>1</v>
      </c>
      <c r="N62" s="14">
        <f t="shared" si="0"/>
        <v>1</v>
      </c>
      <c r="O62">
        <f t="shared" si="1"/>
        <v>0.96414332312186046</v>
      </c>
    </row>
    <row r="63" spans="1:15" x14ac:dyDescent="0.4">
      <c r="A63">
        <v>952</v>
      </c>
      <c r="B63">
        <v>0</v>
      </c>
      <c r="C63">
        <v>0</v>
      </c>
      <c r="D63">
        <v>7.8958000000000004</v>
      </c>
      <c r="E63">
        <v>17</v>
      </c>
      <c r="F63">
        <v>0</v>
      </c>
      <c r="G63">
        <v>0</v>
      </c>
      <c r="H63">
        <v>0</v>
      </c>
      <c r="I63">
        <v>1</v>
      </c>
      <c r="J63">
        <v>1</v>
      </c>
      <c r="K63">
        <v>0</v>
      </c>
      <c r="L63">
        <v>0</v>
      </c>
      <c r="M63">
        <v>1</v>
      </c>
      <c r="N63" s="14">
        <f t="shared" si="0"/>
        <v>0</v>
      </c>
      <c r="O63">
        <f t="shared" si="1"/>
        <v>0.1329014742150473</v>
      </c>
    </row>
    <row r="64" spans="1:15" x14ac:dyDescent="0.4">
      <c r="A64">
        <v>953</v>
      </c>
      <c r="B64">
        <v>0</v>
      </c>
      <c r="C64">
        <v>0</v>
      </c>
      <c r="D64">
        <v>13.5</v>
      </c>
      <c r="E64">
        <v>32</v>
      </c>
      <c r="F64">
        <v>0</v>
      </c>
      <c r="G64">
        <v>0</v>
      </c>
      <c r="H64">
        <v>1</v>
      </c>
      <c r="I64">
        <v>0</v>
      </c>
      <c r="J64">
        <v>1</v>
      </c>
      <c r="K64">
        <v>0</v>
      </c>
      <c r="L64">
        <v>0</v>
      </c>
      <c r="M64">
        <v>1</v>
      </c>
      <c r="N64" s="14">
        <f t="shared" si="0"/>
        <v>0</v>
      </c>
      <c r="O64">
        <f t="shared" si="1"/>
        <v>0.22959235694242472</v>
      </c>
    </row>
    <row r="65" spans="1:15" x14ac:dyDescent="0.4">
      <c r="A65">
        <v>954</v>
      </c>
      <c r="B65">
        <v>0</v>
      </c>
      <c r="C65">
        <v>0</v>
      </c>
      <c r="D65">
        <v>7.75</v>
      </c>
      <c r="E65">
        <v>18</v>
      </c>
      <c r="F65">
        <v>0</v>
      </c>
      <c r="G65">
        <v>0</v>
      </c>
      <c r="H65">
        <v>0</v>
      </c>
      <c r="I65">
        <v>1</v>
      </c>
      <c r="J65">
        <v>1</v>
      </c>
      <c r="K65">
        <v>0</v>
      </c>
      <c r="L65">
        <v>0</v>
      </c>
      <c r="M65">
        <v>1</v>
      </c>
      <c r="N65" s="14">
        <f t="shared" si="0"/>
        <v>0</v>
      </c>
      <c r="O65">
        <f t="shared" si="1"/>
        <v>0.12848610830026042</v>
      </c>
    </row>
    <row r="66" spans="1:15" x14ac:dyDescent="0.4">
      <c r="A66">
        <v>955</v>
      </c>
      <c r="B66">
        <v>0</v>
      </c>
      <c r="C66">
        <v>0</v>
      </c>
      <c r="D66">
        <v>7.7249999999999996</v>
      </c>
      <c r="E66">
        <v>22</v>
      </c>
      <c r="F66">
        <v>1</v>
      </c>
      <c r="G66">
        <v>0</v>
      </c>
      <c r="H66">
        <v>0</v>
      </c>
      <c r="I66">
        <v>1</v>
      </c>
      <c r="J66">
        <v>0</v>
      </c>
      <c r="K66">
        <v>1</v>
      </c>
      <c r="L66">
        <v>0</v>
      </c>
      <c r="M66">
        <v>1</v>
      </c>
      <c r="N66" s="14">
        <f t="shared" si="0"/>
        <v>1</v>
      </c>
      <c r="O66">
        <f t="shared" si="1"/>
        <v>0.73677419146590906</v>
      </c>
    </row>
    <row r="67" spans="1:15" x14ac:dyDescent="0.4">
      <c r="A67">
        <v>956</v>
      </c>
      <c r="B67">
        <v>2</v>
      </c>
      <c r="C67">
        <v>2</v>
      </c>
      <c r="D67">
        <v>262.375</v>
      </c>
      <c r="E67">
        <v>13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1</v>
      </c>
      <c r="N67" s="14">
        <f t="shared" si="0"/>
        <v>1</v>
      </c>
      <c r="O67">
        <f t="shared" si="1"/>
        <v>0.65194767877696458</v>
      </c>
    </row>
    <row r="68" spans="1:15" x14ac:dyDescent="0.4">
      <c r="A68">
        <v>957</v>
      </c>
      <c r="B68">
        <v>0</v>
      </c>
      <c r="C68">
        <v>0</v>
      </c>
      <c r="D68">
        <v>21</v>
      </c>
      <c r="E68">
        <v>28</v>
      </c>
      <c r="F68">
        <v>1</v>
      </c>
      <c r="G68">
        <v>0</v>
      </c>
      <c r="H68">
        <v>1</v>
      </c>
      <c r="I68">
        <v>0</v>
      </c>
      <c r="J68">
        <v>1</v>
      </c>
      <c r="K68">
        <v>0</v>
      </c>
      <c r="L68">
        <v>0</v>
      </c>
      <c r="M68">
        <v>1</v>
      </c>
      <c r="N68" s="14">
        <f t="shared" ref="N68:N131" si="2">IF(O68&gt;0.5,1,0)</f>
        <v>1</v>
      </c>
      <c r="O68">
        <f t="shared" ref="O68:O131" si="3">1/(1+EXP(-SUMPRODUCT(_xlfn.ANCHORARRAY(B$1),$B68:$M68)))</f>
        <v>0.84298837602788057</v>
      </c>
    </row>
    <row r="69" spans="1:15" x14ac:dyDescent="0.4">
      <c r="A69">
        <v>958</v>
      </c>
      <c r="B69">
        <v>0</v>
      </c>
      <c r="C69">
        <v>0</v>
      </c>
      <c r="D69">
        <v>7.8792</v>
      </c>
      <c r="E69">
        <v>18</v>
      </c>
      <c r="F69">
        <v>1</v>
      </c>
      <c r="G69">
        <v>0</v>
      </c>
      <c r="H69">
        <v>0</v>
      </c>
      <c r="I69">
        <v>1</v>
      </c>
      <c r="J69">
        <v>0</v>
      </c>
      <c r="K69">
        <v>1</v>
      </c>
      <c r="L69">
        <v>0</v>
      </c>
      <c r="M69">
        <v>1</v>
      </c>
      <c r="N69" s="14">
        <f t="shared" si="2"/>
        <v>1</v>
      </c>
      <c r="O69">
        <f t="shared" si="3"/>
        <v>0.76561812360017578</v>
      </c>
    </row>
    <row r="70" spans="1:15" x14ac:dyDescent="0.4">
      <c r="A70">
        <v>959</v>
      </c>
      <c r="B70">
        <v>0</v>
      </c>
      <c r="C70">
        <v>0</v>
      </c>
      <c r="D70">
        <v>42.4</v>
      </c>
      <c r="E70">
        <v>47</v>
      </c>
      <c r="F70">
        <v>0</v>
      </c>
      <c r="G70">
        <v>1</v>
      </c>
      <c r="H70">
        <v>0</v>
      </c>
      <c r="I70">
        <v>0</v>
      </c>
      <c r="J70">
        <v>1</v>
      </c>
      <c r="K70">
        <v>0</v>
      </c>
      <c r="L70">
        <v>0</v>
      </c>
      <c r="M70">
        <v>1</v>
      </c>
      <c r="N70" s="14">
        <f t="shared" si="2"/>
        <v>0</v>
      </c>
      <c r="O70">
        <f t="shared" si="3"/>
        <v>0.30982134496364166</v>
      </c>
    </row>
    <row r="71" spans="1:15" x14ac:dyDescent="0.4">
      <c r="A71">
        <v>960</v>
      </c>
      <c r="B71">
        <v>0</v>
      </c>
      <c r="C71">
        <v>0</v>
      </c>
      <c r="D71">
        <v>28.537500000000001</v>
      </c>
      <c r="E71">
        <v>31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1</v>
      </c>
      <c r="N71" s="14">
        <f t="shared" si="2"/>
        <v>1</v>
      </c>
      <c r="O71">
        <f t="shared" si="3"/>
        <v>0.55425355609665472</v>
      </c>
    </row>
    <row r="72" spans="1:15" x14ac:dyDescent="0.4">
      <c r="A72">
        <v>961</v>
      </c>
      <c r="B72">
        <v>1</v>
      </c>
      <c r="C72">
        <v>4</v>
      </c>
      <c r="D72">
        <v>263</v>
      </c>
      <c r="E72">
        <v>60</v>
      </c>
      <c r="F72">
        <v>1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1</v>
      </c>
      <c r="N72" s="14">
        <f t="shared" si="2"/>
        <v>1</v>
      </c>
      <c r="O72">
        <f t="shared" si="3"/>
        <v>0.7752769293403301</v>
      </c>
    </row>
    <row r="73" spans="1:15" x14ac:dyDescent="0.4">
      <c r="A73">
        <v>962</v>
      </c>
      <c r="B73">
        <v>0</v>
      </c>
      <c r="C73">
        <v>0</v>
      </c>
      <c r="D73">
        <v>7.75</v>
      </c>
      <c r="E73">
        <v>24</v>
      </c>
      <c r="F73">
        <v>1</v>
      </c>
      <c r="G73">
        <v>0</v>
      </c>
      <c r="H73">
        <v>0</v>
      </c>
      <c r="I73">
        <v>1</v>
      </c>
      <c r="J73">
        <v>0</v>
      </c>
      <c r="K73">
        <v>1</v>
      </c>
      <c r="L73">
        <v>0</v>
      </c>
      <c r="M73">
        <v>1</v>
      </c>
      <c r="N73" s="14">
        <f t="shared" si="2"/>
        <v>1</v>
      </c>
      <c r="O73">
        <f t="shared" si="3"/>
        <v>0.72157280889794073</v>
      </c>
    </row>
    <row r="74" spans="1:15" x14ac:dyDescent="0.4">
      <c r="A74">
        <v>963</v>
      </c>
      <c r="B74">
        <v>0</v>
      </c>
      <c r="C74">
        <v>0</v>
      </c>
      <c r="D74">
        <v>7.8958000000000004</v>
      </c>
      <c r="E74">
        <v>21</v>
      </c>
      <c r="F74">
        <v>0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</v>
      </c>
      <c r="N74" s="14">
        <f t="shared" si="2"/>
        <v>0</v>
      </c>
      <c r="O74">
        <f t="shared" si="3"/>
        <v>0.11612519975443472</v>
      </c>
    </row>
    <row r="75" spans="1:15" x14ac:dyDescent="0.4">
      <c r="A75">
        <v>964</v>
      </c>
      <c r="B75">
        <v>0</v>
      </c>
      <c r="C75">
        <v>0</v>
      </c>
      <c r="D75">
        <v>7.9249999999999998</v>
      </c>
      <c r="E75">
        <v>29</v>
      </c>
      <c r="F75">
        <v>1</v>
      </c>
      <c r="G75">
        <v>0</v>
      </c>
      <c r="H75">
        <v>0</v>
      </c>
      <c r="I75">
        <v>1</v>
      </c>
      <c r="J75">
        <v>1</v>
      </c>
      <c r="K75">
        <v>0</v>
      </c>
      <c r="L75">
        <v>0</v>
      </c>
      <c r="M75">
        <v>1</v>
      </c>
      <c r="N75" s="14">
        <f t="shared" si="2"/>
        <v>1</v>
      </c>
      <c r="O75">
        <f t="shared" si="3"/>
        <v>0.59431293503845117</v>
      </c>
    </row>
    <row r="76" spans="1:15" x14ac:dyDescent="0.4">
      <c r="A76">
        <v>965</v>
      </c>
      <c r="B76">
        <v>0</v>
      </c>
      <c r="C76">
        <v>0</v>
      </c>
      <c r="D76">
        <v>27.720800000000001</v>
      </c>
      <c r="E76">
        <v>28.5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 s="14">
        <f t="shared" si="2"/>
        <v>1</v>
      </c>
      <c r="O76">
        <f t="shared" si="3"/>
        <v>0.57744064787904748</v>
      </c>
    </row>
    <row r="77" spans="1:15" x14ac:dyDescent="0.4">
      <c r="A77">
        <v>966</v>
      </c>
      <c r="B77">
        <v>0</v>
      </c>
      <c r="C77">
        <v>0</v>
      </c>
      <c r="D77">
        <v>211.5</v>
      </c>
      <c r="E77">
        <v>35</v>
      </c>
      <c r="F77">
        <v>1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 s="14">
        <f t="shared" si="2"/>
        <v>1</v>
      </c>
      <c r="O77">
        <f t="shared" si="3"/>
        <v>0.96125573762228134</v>
      </c>
    </row>
    <row r="78" spans="1:15" x14ac:dyDescent="0.4">
      <c r="A78">
        <v>967</v>
      </c>
      <c r="B78">
        <v>0</v>
      </c>
      <c r="C78">
        <v>0</v>
      </c>
      <c r="D78">
        <v>211.5</v>
      </c>
      <c r="E78">
        <v>32.5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 s="14">
        <f t="shared" si="2"/>
        <v>1</v>
      </c>
      <c r="O78">
        <f t="shared" si="3"/>
        <v>0.64289819751918198</v>
      </c>
    </row>
    <row r="79" spans="1:15" x14ac:dyDescent="0.4">
      <c r="A79">
        <v>968</v>
      </c>
      <c r="B79">
        <v>0</v>
      </c>
      <c r="C79">
        <v>0</v>
      </c>
      <c r="D79">
        <v>8.0500000000000007</v>
      </c>
      <c r="E79">
        <v>28</v>
      </c>
      <c r="F79">
        <v>0</v>
      </c>
      <c r="G79">
        <v>0</v>
      </c>
      <c r="H79">
        <v>0</v>
      </c>
      <c r="I79">
        <v>1</v>
      </c>
      <c r="J79">
        <v>1</v>
      </c>
      <c r="K79">
        <v>0</v>
      </c>
      <c r="L79">
        <v>0</v>
      </c>
      <c r="M79">
        <v>1</v>
      </c>
      <c r="N79" s="14">
        <f t="shared" si="2"/>
        <v>0</v>
      </c>
      <c r="O79">
        <f t="shared" si="3"/>
        <v>9.1208772698105012E-2</v>
      </c>
    </row>
    <row r="80" spans="1:15" x14ac:dyDescent="0.4">
      <c r="A80">
        <v>969</v>
      </c>
      <c r="B80">
        <v>2</v>
      </c>
      <c r="C80">
        <v>0</v>
      </c>
      <c r="D80">
        <v>25.7</v>
      </c>
      <c r="E80">
        <v>55</v>
      </c>
      <c r="F80">
        <v>1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1</v>
      </c>
      <c r="N80" s="14">
        <f t="shared" si="2"/>
        <v>1</v>
      </c>
      <c r="O80">
        <f t="shared" si="3"/>
        <v>0.71657476533582709</v>
      </c>
    </row>
    <row r="81" spans="1:15" x14ac:dyDescent="0.4">
      <c r="A81">
        <v>970</v>
      </c>
      <c r="B81">
        <v>0</v>
      </c>
      <c r="C81">
        <v>0</v>
      </c>
      <c r="D81">
        <v>13</v>
      </c>
      <c r="E81">
        <v>30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>
        <v>0</v>
      </c>
      <c r="M81">
        <v>1</v>
      </c>
      <c r="N81" s="14">
        <f t="shared" si="2"/>
        <v>0</v>
      </c>
      <c r="O81">
        <f t="shared" si="3"/>
        <v>0.24328874764912325</v>
      </c>
    </row>
    <row r="82" spans="1:15" x14ac:dyDescent="0.4">
      <c r="A82">
        <v>971</v>
      </c>
      <c r="B82">
        <v>0</v>
      </c>
      <c r="C82">
        <v>0</v>
      </c>
      <c r="D82">
        <v>7.75</v>
      </c>
      <c r="E82">
        <v>24</v>
      </c>
      <c r="F82">
        <v>1</v>
      </c>
      <c r="G82">
        <v>0</v>
      </c>
      <c r="H82">
        <v>0</v>
      </c>
      <c r="I82">
        <v>1</v>
      </c>
      <c r="J82">
        <v>0</v>
      </c>
      <c r="K82">
        <v>1</v>
      </c>
      <c r="L82">
        <v>0</v>
      </c>
      <c r="M82">
        <v>1</v>
      </c>
      <c r="N82" s="14">
        <f t="shared" si="2"/>
        <v>1</v>
      </c>
      <c r="O82">
        <f t="shared" si="3"/>
        <v>0.72157280889794073</v>
      </c>
    </row>
    <row r="83" spans="1:15" x14ac:dyDescent="0.4">
      <c r="A83">
        <v>972</v>
      </c>
      <c r="B83">
        <v>1</v>
      </c>
      <c r="C83">
        <v>1</v>
      </c>
      <c r="D83">
        <v>15.245799999999999</v>
      </c>
      <c r="E83">
        <v>6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1</v>
      </c>
      <c r="M83">
        <v>1</v>
      </c>
      <c r="N83" s="14">
        <f t="shared" si="2"/>
        <v>0</v>
      </c>
      <c r="O83">
        <f t="shared" si="3"/>
        <v>0.19544244389796805</v>
      </c>
    </row>
    <row r="84" spans="1:15" x14ac:dyDescent="0.4">
      <c r="A84">
        <v>973</v>
      </c>
      <c r="B84">
        <v>1</v>
      </c>
      <c r="C84">
        <v>0</v>
      </c>
      <c r="D84">
        <v>221.7792</v>
      </c>
      <c r="E84">
        <v>67</v>
      </c>
      <c r="F84">
        <v>0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1</v>
      </c>
      <c r="N84" s="14">
        <f t="shared" si="2"/>
        <v>0</v>
      </c>
      <c r="O84">
        <f t="shared" si="3"/>
        <v>0.18635180357078795</v>
      </c>
    </row>
    <row r="85" spans="1:15" x14ac:dyDescent="0.4">
      <c r="A85">
        <v>974</v>
      </c>
      <c r="B85">
        <v>0</v>
      </c>
      <c r="C85">
        <v>0</v>
      </c>
      <c r="D85">
        <v>26</v>
      </c>
      <c r="E85">
        <v>49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1</v>
      </c>
      <c r="N85" s="14">
        <f t="shared" si="2"/>
        <v>0</v>
      </c>
      <c r="O85">
        <f t="shared" si="3"/>
        <v>0.28570031657155348</v>
      </c>
    </row>
    <row r="86" spans="1:15" x14ac:dyDescent="0.4">
      <c r="A86">
        <v>975</v>
      </c>
      <c r="B86">
        <v>0</v>
      </c>
      <c r="C86">
        <v>0</v>
      </c>
      <c r="D86">
        <v>7.8958000000000004</v>
      </c>
      <c r="E86">
        <v>28</v>
      </c>
      <c r="F86">
        <v>0</v>
      </c>
      <c r="G86">
        <v>0</v>
      </c>
      <c r="H86">
        <v>0</v>
      </c>
      <c r="I86">
        <v>1</v>
      </c>
      <c r="J86">
        <v>1</v>
      </c>
      <c r="K86">
        <v>0</v>
      </c>
      <c r="L86">
        <v>0</v>
      </c>
      <c r="M86">
        <v>1</v>
      </c>
      <c r="N86" s="14">
        <f t="shared" si="2"/>
        <v>0</v>
      </c>
      <c r="O86">
        <f t="shared" si="3"/>
        <v>9.117888566880443E-2</v>
      </c>
    </row>
    <row r="87" spans="1:15" x14ac:dyDescent="0.4">
      <c r="A87">
        <v>976</v>
      </c>
      <c r="B87">
        <v>0</v>
      </c>
      <c r="C87">
        <v>0</v>
      </c>
      <c r="D87">
        <v>10.708299999999999</v>
      </c>
      <c r="E87">
        <v>28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1</v>
      </c>
      <c r="N87" s="14">
        <f t="shared" si="2"/>
        <v>0</v>
      </c>
      <c r="O87">
        <f t="shared" si="3"/>
        <v>0.33518936114575021</v>
      </c>
    </row>
    <row r="88" spans="1:15" x14ac:dyDescent="0.4">
      <c r="A88">
        <v>977</v>
      </c>
      <c r="B88">
        <v>1</v>
      </c>
      <c r="C88">
        <v>0</v>
      </c>
      <c r="D88">
        <v>14.4542</v>
      </c>
      <c r="E88">
        <v>28</v>
      </c>
      <c r="F88">
        <v>0</v>
      </c>
      <c r="G88">
        <v>0</v>
      </c>
      <c r="H88">
        <v>0</v>
      </c>
      <c r="I88">
        <v>1</v>
      </c>
      <c r="J88">
        <v>0</v>
      </c>
      <c r="K88">
        <v>0</v>
      </c>
      <c r="L88">
        <v>1</v>
      </c>
      <c r="M88">
        <v>1</v>
      </c>
      <c r="N88" s="14">
        <f t="shared" si="2"/>
        <v>0</v>
      </c>
      <c r="O88">
        <f t="shared" si="3"/>
        <v>0.10237790640834928</v>
      </c>
    </row>
    <row r="89" spans="1:15" x14ac:dyDescent="0.4">
      <c r="A89">
        <v>978</v>
      </c>
      <c r="B89">
        <v>0</v>
      </c>
      <c r="C89">
        <v>0</v>
      </c>
      <c r="D89">
        <v>7.8792</v>
      </c>
      <c r="E89">
        <v>27</v>
      </c>
      <c r="F89">
        <v>1</v>
      </c>
      <c r="G89">
        <v>0</v>
      </c>
      <c r="H89">
        <v>0</v>
      </c>
      <c r="I89">
        <v>1</v>
      </c>
      <c r="J89">
        <v>0</v>
      </c>
      <c r="K89">
        <v>1</v>
      </c>
      <c r="L89">
        <v>0</v>
      </c>
      <c r="M89">
        <v>1</v>
      </c>
      <c r="N89" s="14">
        <f t="shared" si="2"/>
        <v>1</v>
      </c>
      <c r="O89">
        <f t="shared" si="3"/>
        <v>0.69783350692715296</v>
      </c>
    </row>
    <row r="90" spans="1:15" x14ac:dyDescent="0.4">
      <c r="A90">
        <v>979</v>
      </c>
      <c r="B90">
        <v>0</v>
      </c>
      <c r="C90">
        <v>0</v>
      </c>
      <c r="D90">
        <v>8.0500000000000007</v>
      </c>
      <c r="E90">
        <v>18</v>
      </c>
      <c r="F90">
        <v>1</v>
      </c>
      <c r="G90">
        <v>0</v>
      </c>
      <c r="H90">
        <v>0</v>
      </c>
      <c r="I90">
        <v>1</v>
      </c>
      <c r="J90">
        <v>1</v>
      </c>
      <c r="K90">
        <v>0</v>
      </c>
      <c r="L90">
        <v>0</v>
      </c>
      <c r="M90">
        <v>1</v>
      </c>
      <c r="N90" s="14">
        <f t="shared" si="2"/>
        <v>1</v>
      </c>
      <c r="O90">
        <f t="shared" si="3"/>
        <v>0.69123441140407649</v>
      </c>
    </row>
    <row r="91" spans="1:15" x14ac:dyDescent="0.4">
      <c r="A91">
        <v>980</v>
      </c>
      <c r="B91">
        <v>0</v>
      </c>
      <c r="C91">
        <v>0</v>
      </c>
      <c r="D91">
        <v>7.75</v>
      </c>
      <c r="E91">
        <v>28</v>
      </c>
      <c r="F91">
        <v>1</v>
      </c>
      <c r="G91">
        <v>0</v>
      </c>
      <c r="H91">
        <v>0</v>
      </c>
      <c r="I91">
        <v>1</v>
      </c>
      <c r="J91">
        <v>0</v>
      </c>
      <c r="K91">
        <v>1</v>
      </c>
      <c r="L91">
        <v>0</v>
      </c>
      <c r="M91">
        <v>1</v>
      </c>
      <c r="N91" s="14">
        <f t="shared" si="2"/>
        <v>1</v>
      </c>
      <c r="O91">
        <f t="shared" si="3"/>
        <v>0.68958390472100084</v>
      </c>
    </row>
    <row r="92" spans="1:15" x14ac:dyDescent="0.4">
      <c r="A92">
        <v>981</v>
      </c>
      <c r="B92">
        <v>1</v>
      </c>
      <c r="C92">
        <v>1</v>
      </c>
      <c r="D92">
        <v>23</v>
      </c>
      <c r="E92">
        <v>2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0</v>
      </c>
      <c r="M92">
        <v>1</v>
      </c>
      <c r="N92" s="14">
        <f t="shared" si="2"/>
        <v>0</v>
      </c>
      <c r="O92">
        <f t="shared" si="3"/>
        <v>0.38985489896347075</v>
      </c>
    </row>
    <row r="93" spans="1:15" x14ac:dyDescent="0.4">
      <c r="A93">
        <v>982</v>
      </c>
      <c r="B93">
        <v>1</v>
      </c>
      <c r="C93">
        <v>0</v>
      </c>
      <c r="D93">
        <v>13.9</v>
      </c>
      <c r="E93">
        <v>22</v>
      </c>
      <c r="F93">
        <v>1</v>
      </c>
      <c r="G93">
        <v>0</v>
      </c>
      <c r="H93">
        <v>0</v>
      </c>
      <c r="I93">
        <v>1</v>
      </c>
      <c r="J93">
        <v>1</v>
      </c>
      <c r="K93">
        <v>0</v>
      </c>
      <c r="L93">
        <v>0</v>
      </c>
      <c r="M93">
        <v>1</v>
      </c>
      <c r="N93" s="14">
        <f t="shared" si="2"/>
        <v>1</v>
      </c>
      <c r="O93">
        <f t="shared" si="3"/>
        <v>0.58505177629789185</v>
      </c>
    </row>
    <row r="94" spans="1:15" x14ac:dyDescent="0.4">
      <c r="A94">
        <v>983</v>
      </c>
      <c r="B94">
        <v>0</v>
      </c>
      <c r="C94">
        <v>0</v>
      </c>
      <c r="D94">
        <v>7.7750000000000004</v>
      </c>
      <c r="E94">
        <v>28</v>
      </c>
      <c r="F94">
        <v>0</v>
      </c>
      <c r="G94">
        <v>0</v>
      </c>
      <c r="H94">
        <v>0</v>
      </c>
      <c r="I94">
        <v>1</v>
      </c>
      <c r="J94">
        <v>1</v>
      </c>
      <c r="K94">
        <v>0</v>
      </c>
      <c r="L94">
        <v>0</v>
      </c>
      <c r="M94">
        <v>1</v>
      </c>
      <c r="N94" s="14">
        <f t="shared" si="2"/>
        <v>0</v>
      </c>
      <c r="O94">
        <f t="shared" si="3"/>
        <v>9.1155478379431165E-2</v>
      </c>
    </row>
    <row r="95" spans="1:15" x14ac:dyDescent="0.4">
      <c r="A95">
        <v>984</v>
      </c>
      <c r="B95">
        <v>1</v>
      </c>
      <c r="C95">
        <v>2</v>
      </c>
      <c r="D95">
        <v>52</v>
      </c>
      <c r="E95">
        <v>27</v>
      </c>
      <c r="F95">
        <v>1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1</v>
      </c>
      <c r="N95" s="14">
        <f t="shared" si="2"/>
        <v>1</v>
      </c>
      <c r="O95">
        <f t="shared" si="3"/>
        <v>0.90051520389263751</v>
      </c>
    </row>
    <row r="96" spans="1:15" x14ac:dyDescent="0.4">
      <c r="A96">
        <v>985</v>
      </c>
      <c r="B96">
        <v>0</v>
      </c>
      <c r="C96">
        <v>0</v>
      </c>
      <c r="D96">
        <v>8.0500000000000007</v>
      </c>
      <c r="E96">
        <v>28</v>
      </c>
      <c r="F96">
        <v>0</v>
      </c>
      <c r="G96">
        <v>0</v>
      </c>
      <c r="H96">
        <v>0</v>
      </c>
      <c r="I96">
        <v>1</v>
      </c>
      <c r="J96">
        <v>1</v>
      </c>
      <c r="K96">
        <v>0</v>
      </c>
      <c r="L96">
        <v>0</v>
      </c>
      <c r="M96">
        <v>1</v>
      </c>
      <c r="N96" s="14">
        <f t="shared" si="2"/>
        <v>0</v>
      </c>
      <c r="O96">
        <f t="shared" si="3"/>
        <v>9.1208772698105012E-2</v>
      </c>
    </row>
    <row r="97" spans="1:15" x14ac:dyDescent="0.4">
      <c r="A97">
        <v>986</v>
      </c>
      <c r="B97">
        <v>0</v>
      </c>
      <c r="C97">
        <v>0</v>
      </c>
      <c r="D97">
        <v>26</v>
      </c>
      <c r="E97">
        <v>25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1</v>
      </c>
      <c r="M97">
        <v>1</v>
      </c>
      <c r="N97" s="14">
        <f t="shared" si="2"/>
        <v>1</v>
      </c>
      <c r="O97">
        <f t="shared" si="3"/>
        <v>0.60899522198618206</v>
      </c>
    </row>
    <row r="98" spans="1:15" x14ac:dyDescent="0.4">
      <c r="A98">
        <v>987</v>
      </c>
      <c r="B98">
        <v>0</v>
      </c>
      <c r="C98">
        <v>0</v>
      </c>
      <c r="D98">
        <v>7.7957999999999998</v>
      </c>
      <c r="E98">
        <v>25</v>
      </c>
      <c r="F98">
        <v>0</v>
      </c>
      <c r="G98">
        <v>0</v>
      </c>
      <c r="H98">
        <v>0</v>
      </c>
      <c r="I98">
        <v>1</v>
      </c>
      <c r="J98">
        <v>1</v>
      </c>
      <c r="K98">
        <v>0</v>
      </c>
      <c r="L98">
        <v>0</v>
      </c>
      <c r="M98">
        <v>1</v>
      </c>
      <c r="N98" s="14">
        <f t="shared" si="2"/>
        <v>0</v>
      </c>
      <c r="O98">
        <f t="shared" si="3"/>
        <v>0.10119813163745882</v>
      </c>
    </row>
    <row r="99" spans="1:15" x14ac:dyDescent="0.4">
      <c r="A99">
        <v>988</v>
      </c>
      <c r="B99">
        <v>1</v>
      </c>
      <c r="C99">
        <v>0</v>
      </c>
      <c r="D99">
        <v>78.849999999999994</v>
      </c>
      <c r="E99">
        <v>76</v>
      </c>
      <c r="F99">
        <v>1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1</v>
      </c>
      <c r="N99" s="14">
        <f t="shared" si="2"/>
        <v>1</v>
      </c>
      <c r="O99">
        <f t="shared" si="3"/>
        <v>0.63754539608285843</v>
      </c>
    </row>
    <row r="100" spans="1:15" x14ac:dyDescent="0.4">
      <c r="A100">
        <v>989</v>
      </c>
      <c r="B100">
        <v>0</v>
      </c>
      <c r="C100">
        <v>0</v>
      </c>
      <c r="D100">
        <v>7.9249999999999998</v>
      </c>
      <c r="E100">
        <v>29</v>
      </c>
      <c r="F100">
        <v>0</v>
      </c>
      <c r="G100">
        <v>0</v>
      </c>
      <c r="H100">
        <v>0</v>
      </c>
      <c r="I100">
        <v>1</v>
      </c>
      <c r="J100">
        <v>1</v>
      </c>
      <c r="K100">
        <v>0</v>
      </c>
      <c r="L100">
        <v>0</v>
      </c>
      <c r="M100">
        <v>1</v>
      </c>
      <c r="N100" s="14">
        <f t="shared" si="2"/>
        <v>0</v>
      </c>
      <c r="O100">
        <f t="shared" si="3"/>
        <v>8.8041826167880158E-2</v>
      </c>
    </row>
    <row r="101" spans="1:15" x14ac:dyDescent="0.4">
      <c r="A101">
        <v>990</v>
      </c>
      <c r="B101">
        <v>0</v>
      </c>
      <c r="C101">
        <v>0</v>
      </c>
      <c r="D101">
        <v>7.8541999999999996</v>
      </c>
      <c r="E101">
        <v>20</v>
      </c>
      <c r="F101">
        <v>1</v>
      </c>
      <c r="G101">
        <v>0</v>
      </c>
      <c r="H101">
        <v>0</v>
      </c>
      <c r="I101">
        <v>1</v>
      </c>
      <c r="J101">
        <v>1</v>
      </c>
      <c r="K101">
        <v>0</v>
      </c>
      <c r="L101">
        <v>0</v>
      </c>
      <c r="M101">
        <v>1</v>
      </c>
      <c r="N101" s="14">
        <f t="shared" si="2"/>
        <v>1</v>
      </c>
      <c r="O101">
        <f t="shared" si="3"/>
        <v>0.67445137442683623</v>
      </c>
    </row>
    <row r="102" spans="1:15" x14ac:dyDescent="0.4">
      <c r="A102">
        <v>991</v>
      </c>
      <c r="B102">
        <v>0</v>
      </c>
      <c r="C102">
        <v>0</v>
      </c>
      <c r="D102">
        <v>8.0500000000000007</v>
      </c>
      <c r="E102">
        <v>33</v>
      </c>
      <c r="F102">
        <v>0</v>
      </c>
      <c r="G102">
        <v>0</v>
      </c>
      <c r="H102">
        <v>0</v>
      </c>
      <c r="I102">
        <v>1</v>
      </c>
      <c r="J102">
        <v>1</v>
      </c>
      <c r="K102">
        <v>0</v>
      </c>
      <c r="L102">
        <v>0</v>
      </c>
      <c r="M102">
        <v>1</v>
      </c>
      <c r="N102" s="14">
        <f t="shared" si="2"/>
        <v>0</v>
      </c>
      <c r="O102">
        <f t="shared" si="3"/>
        <v>7.6449735490683624E-2</v>
      </c>
    </row>
    <row r="103" spans="1:15" x14ac:dyDescent="0.4">
      <c r="A103">
        <v>992</v>
      </c>
      <c r="B103">
        <v>1</v>
      </c>
      <c r="C103">
        <v>0</v>
      </c>
      <c r="D103">
        <v>55.441699999999997</v>
      </c>
      <c r="E103">
        <v>43</v>
      </c>
      <c r="F103">
        <v>1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1</v>
      </c>
      <c r="N103" s="14">
        <f t="shared" si="2"/>
        <v>1</v>
      </c>
      <c r="O103">
        <f t="shared" si="3"/>
        <v>0.90169151320477869</v>
      </c>
    </row>
    <row r="104" spans="1:15" x14ac:dyDescent="0.4">
      <c r="A104">
        <v>993</v>
      </c>
      <c r="B104">
        <v>1</v>
      </c>
      <c r="C104">
        <v>0</v>
      </c>
      <c r="D104">
        <v>26</v>
      </c>
      <c r="E104">
        <v>27</v>
      </c>
      <c r="F104">
        <v>0</v>
      </c>
      <c r="G104">
        <v>0</v>
      </c>
      <c r="H104">
        <v>1</v>
      </c>
      <c r="I104">
        <v>0</v>
      </c>
      <c r="J104">
        <v>1</v>
      </c>
      <c r="K104">
        <v>0</v>
      </c>
      <c r="L104">
        <v>0</v>
      </c>
      <c r="M104">
        <v>1</v>
      </c>
      <c r="N104" s="14">
        <f t="shared" si="2"/>
        <v>0</v>
      </c>
      <c r="O104">
        <f t="shared" si="3"/>
        <v>0.21237255271342012</v>
      </c>
    </row>
    <row r="105" spans="1:15" x14ac:dyDescent="0.4">
      <c r="A105">
        <v>994</v>
      </c>
      <c r="B105">
        <v>0</v>
      </c>
      <c r="C105">
        <v>0</v>
      </c>
      <c r="D105">
        <v>7.75</v>
      </c>
      <c r="E105">
        <v>28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1</v>
      </c>
      <c r="L105">
        <v>0</v>
      </c>
      <c r="M105">
        <v>1</v>
      </c>
      <c r="N105" s="14">
        <f t="shared" si="2"/>
        <v>0</v>
      </c>
      <c r="O105">
        <f t="shared" si="3"/>
        <v>0.12770204164315915</v>
      </c>
    </row>
    <row r="106" spans="1:15" x14ac:dyDescent="0.4">
      <c r="A106">
        <v>995</v>
      </c>
      <c r="B106">
        <v>0</v>
      </c>
      <c r="C106">
        <v>0</v>
      </c>
      <c r="D106">
        <v>7.7750000000000004</v>
      </c>
      <c r="E106">
        <v>26</v>
      </c>
      <c r="F106">
        <v>0</v>
      </c>
      <c r="G106">
        <v>0</v>
      </c>
      <c r="H106">
        <v>0</v>
      </c>
      <c r="I106">
        <v>1</v>
      </c>
      <c r="J106">
        <v>1</v>
      </c>
      <c r="K106">
        <v>0</v>
      </c>
      <c r="L106">
        <v>0</v>
      </c>
      <c r="M106">
        <v>1</v>
      </c>
      <c r="N106" s="14">
        <f t="shared" si="2"/>
        <v>0</v>
      </c>
      <c r="O106">
        <f t="shared" si="3"/>
        <v>9.7743119953979718E-2</v>
      </c>
    </row>
    <row r="107" spans="1:15" x14ac:dyDescent="0.4">
      <c r="A107">
        <v>996</v>
      </c>
      <c r="B107">
        <v>1</v>
      </c>
      <c r="C107">
        <v>1</v>
      </c>
      <c r="D107">
        <v>8.5167000000000002</v>
      </c>
      <c r="E107">
        <v>16</v>
      </c>
      <c r="F107">
        <v>1</v>
      </c>
      <c r="G107">
        <v>0</v>
      </c>
      <c r="H107">
        <v>0</v>
      </c>
      <c r="I107">
        <v>1</v>
      </c>
      <c r="J107">
        <v>0</v>
      </c>
      <c r="K107">
        <v>0</v>
      </c>
      <c r="L107">
        <v>1</v>
      </c>
      <c r="M107">
        <v>1</v>
      </c>
      <c r="N107" s="14">
        <f t="shared" si="2"/>
        <v>1</v>
      </c>
      <c r="O107">
        <f t="shared" si="3"/>
        <v>0.71168621909033769</v>
      </c>
    </row>
    <row r="108" spans="1:15" x14ac:dyDescent="0.4">
      <c r="A108">
        <v>997</v>
      </c>
      <c r="B108">
        <v>0</v>
      </c>
      <c r="C108">
        <v>0</v>
      </c>
      <c r="D108">
        <v>22.524999999999999</v>
      </c>
      <c r="E108">
        <v>28</v>
      </c>
      <c r="F108">
        <v>0</v>
      </c>
      <c r="G108">
        <v>0</v>
      </c>
      <c r="H108">
        <v>0</v>
      </c>
      <c r="I108">
        <v>1</v>
      </c>
      <c r="J108">
        <v>1</v>
      </c>
      <c r="K108">
        <v>0</v>
      </c>
      <c r="L108">
        <v>0</v>
      </c>
      <c r="M108">
        <v>1</v>
      </c>
      <c r="N108" s="14">
        <f t="shared" si="2"/>
        <v>0</v>
      </c>
      <c r="O108">
        <f t="shared" si="3"/>
        <v>9.405382839985367E-2</v>
      </c>
    </row>
    <row r="109" spans="1:15" x14ac:dyDescent="0.4">
      <c r="A109">
        <v>998</v>
      </c>
      <c r="B109">
        <v>0</v>
      </c>
      <c r="C109">
        <v>0</v>
      </c>
      <c r="D109">
        <v>7.8208000000000002</v>
      </c>
      <c r="E109">
        <v>21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1</v>
      </c>
      <c r="L109">
        <v>0</v>
      </c>
      <c r="M109">
        <v>1</v>
      </c>
      <c r="N109" s="14">
        <f t="shared" si="2"/>
        <v>0</v>
      </c>
      <c r="O109">
        <f t="shared" si="3"/>
        <v>0.16089453489376129</v>
      </c>
    </row>
    <row r="110" spans="1:15" x14ac:dyDescent="0.4">
      <c r="A110">
        <v>999</v>
      </c>
      <c r="B110">
        <v>0</v>
      </c>
      <c r="C110">
        <v>0</v>
      </c>
      <c r="D110">
        <v>7.75</v>
      </c>
      <c r="E110">
        <v>28</v>
      </c>
      <c r="F110">
        <v>0</v>
      </c>
      <c r="G110">
        <v>0</v>
      </c>
      <c r="H110">
        <v>0</v>
      </c>
      <c r="I110">
        <v>1</v>
      </c>
      <c r="J110">
        <v>0</v>
      </c>
      <c r="K110">
        <v>1</v>
      </c>
      <c r="L110">
        <v>0</v>
      </c>
      <c r="M110">
        <v>1</v>
      </c>
      <c r="N110" s="14">
        <f t="shared" si="2"/>
        <v>0</v>
      </c>
      <c r="O110">
        <f t="shared" si="3"/>
        <v>0.12770204164315915</v>
      </c>
    </row>
    <row r="111" spans="1:15" x14ac:dyDescent="0.4">
      <c r="A111">
        <v>1000</v>
      </c>
      <c r="B111">
        <v>0</v>
      </c>
      <c r="C111">
        <v>0</v>
      </c>
      <c r="D111">
        <v>8.7125000000000004</v>
      </c>
      <c r="E111">
        <v>28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1</v>
      </c>
      <c r="N111" s="14">
        <f t="shared" si="2"/>
        <v>0</v>
      </c>
      <c r="O111">
        <f t="shared" si="3"/>
        <v>9.1337278680082346E-2</v>
      </c>
    </row>
    <row r="112" spans="1:15" x14ac:dyDescent="0.4">
      <c r="A112">
        <v>1001</v>
      </c>
      <c r="B112">
        <v>0</v>
      </c>
      <c r="C112">
        <v>0</v>
      </c>
      <c r="D112">
        <v>13</v>
      </c>
      <c r="E112">
        <v>18.5</v>
      </c>
      <c r="F112">
        <v>0</v>
      </c>
      <c r="G112">
        <v>0</v>
      </c>
      <c r="H112">
        <v>1</v>
      </c>
      <c r="I112">
        <v>0</v>
      </c>
      <c r="J112">
        <v>1</v>
      </c>
      <c r="K112">
        <v>0</v>
      </c>
      <c r="L112">
        <v>0</v>
      </c>
      <c r="M112">
        <v>1</v>
      </c>
      <c r="N112" s="14">
        <f t="shared" si="2"/>
        <v>0</v>
      </c>
      <c r="O112">
        <f t="shared" si="3"/>
        <v>0.33365731339732324</v>
      </c>
    </row>
    <row r="113" spans="1:15" x14ac:dyDescent="0.4">
      <c r="A113">
        <v>1002</v>
      </c>
      <c r="B113">
        <v>0</v>
      </c>
      <c r="C113">
        <v>0</v>
      </c>
      <c r="D113">
        <v>15.0458</v>
      </c>
      <c r="E113">
        <v>41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1</v>
      </c>
      <c r="M113">
        <v>1</v>
      </c>
      <c r="N113" s="14">
        <f t="shared" si="2"/>
        <v>0</v>
      </c>
      <c r="O113">
        <f t="shared" si="3"/>
        <v>0.24621711394194859</v>
      </c>
    </row>
    <row r="114" spans="1:15" x14ac:dyDescent="0.4">
      <c r="A114">
        <v>1003</v>
      </c>
      <c r="B114">
        <v>0</v>
      </c>
      <c r="C114">
        <v>0</v>
      </c>
      <c r="D114">
        <v>7.7792000000000003</v>
      </c>
      <c r="E114">
        <v>28</v>
      </c>
      <c r="F114">
        <v>1</v>
      </c>
      <c r="G114">
        <v>0</v>
      </c>
      <c r="H114">
        <v>0</v>
      </c>
      <c r="I114">
        <v>1</v>
      </c>
      <c r="J114">
        <v>0</v>
      </c>
      <c r="K114">
        <v>1</v>
      </c>
      <c r="L114">
        <v>0</v>
      </c>
      <c r="M114">
        <v>1</v>
      </c>
      <c r="N114" s="14">
        <f t="shared" si="2"/>
        <v>1</v>
      </c>
      <c r="O114">
        <f t="shared" si="3"/>
        <v>0.68959852212454387</v>
      </c>
    </row>
    <row r="115" spans="1:15" x14ac:dyDescent="0.4">
      <c r="A115">
        <v>1004</v>
      </c>
      <c r="B115">
        <v>0</v>
      </c>
      <c r="C115">
        <v>0</v>
      </c>
      <c r="D115">
        <v>31.679200000000002</v>
      </c>
      <c r="E115">
        <v>36</v>
      </c>
      <c r="F115">
        <v>1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1</v>
      </c>
      <c r="N115" s="14">
        <f t="shared" si="2"/>
        <v>1</v>
      </c>
      <c r="O115">
        <f t="shared" si="3"/>
        <v>0.94003735717463777</v>
      </c>
    </row>
    <row r="116" spans="1:15" x14ac:dyDescent="0.4">
      <c r="A116">
        <v>1005</v>
      </c>
      <c r="B116">
        <v>0</v>
      </c>
      <c r="C116">
        <v>0</v>
      </c>
      <c r="D116">
        <v>7.2832999999999997</v>
      </c>
      <c r="E116">
        <v>18.5</v>
      </c>
      <c r="F116">
        <v>1</v>
      </c>
      <c r="G116">
        <v>0</v>
      </c>
      <c r="H116">
        <v>0</v>
      </c>
      <c r="I116">
        <v>1</v>
      </c>
      <c r="J116">
        <v>0</v>
      </c>
      <c r="K116">
        <v>1</v>
      </c>
      <c r="L116">
        <v>0</v>
      </c>
      <c r="M116">
        <v>1</v>
      </c>
      <c r="N116" s="14">
        <f t="shared" si="2"/>
        <v>1</v>
      </c>
      <c r="O116">
        <f t="shared" si="3"/>
        <v>0.76189108951653084</v>
      </c>
    </row>
    <row r="117" spans="1:15" x14ac:dyDescent="0.4">
      <c r="A117">
        <v>1006</v>
      </c>
      <c r="B117">
        <v>1</v>
      </c>
      <c r="C117">
        <v>0</v>
      </c>
      <c r="D117">
        <v>221.7792</v>
      </c>
      <c r="E117">
        <v>63</v>
      </c>
      <c r="F117">
        <v>1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1</v>
      </c>
      <c r="N117" s="14">
        <f t="shared" si="2"/>
        <v>1</v>
      </c>
      <c r="O117">
        <f t="shared" si="3"/>
        <v>0.80215472485794681</v>
      </c>
    </row>
    <row r="118" spans="1:15" x14ac:dyDescent="0.4">
      <c r="A118">
        <v>1007</v>
      </c>
      <c r="B118">
        <v>1</v>
      </c>
      <c r="C118">
        <v>0</v>
      </c>
      <c r="D118">
        <v>14.4542</v>
      </c>
      <c r="E118">
        <v>18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1</v>
      </c>
      <c r="M118">
        <v>1</v>
      </c>
      <c r="N118" s="14">
        <f t="shared" si="2"/>
        <v>0</v>
      </c>
      <c r="O118">
        <f t="shared" si="3"/>
        <v>0.14358555917471913</v>
      </c>
    </row>
    <row r="119" spans="1:15" x14ac:dyDescent="0.4">
      <c r="A119">
        <v>1008</v>
      </c>
      <c r="B119">
        <v>0</v>
      </c>
      <c r="C119">
        <v>0</v>
      </c>
      <c r="D119">
        <v>6.4375</v>
      </c>
      <c r="E119">
        <v>28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0</v>
      </c>
      <c r="L119">
        <v>1</v>
      </c>
      <c r="M119">
        <v>1</v>
      </c>
      <c r="N119" s="14">
        <f t="shared" si="2"/>
        <v>0</v>
      </c>
      <c r="O119">
        <f t="shared" si="3"/>
        <v>0.13378521492186166</v>
      </c>
    </row>
    <row r="120" spans="1:15" x14ac:dyDescent="0.4">
      <c r="A120">
        <v>1009</v>
      </c>
      <c r="B120">
        <v>1</v>
      </c>
      <c r="C120">
        <v>1</v>
      </c>
      <c r="D120">
        <v>16.7</v>
      </c>
      <c r="E120">
        <v>1</v>
      </c>
      <c r="F120">
        <v>1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1</v>
      </c>
      <c r="N120" s="14">
        <f t="shared" si="2"/>
        <v>1</v>
      </c>
      <c r="O120">
        <f t="shared" si="3"/>
        <v>0.7437915897974231</v>
      </c>
    </row>
    <row r="121" spans="1:15" x14ac:dyDescent="0.4">
      <c r="A121">
        <v>1010</v>
      </c>
      <c r="B121">
        <v>0</v>
      </c>
      <c r="C121">
        <v>0</v>
      </c>
      <c r="D121">
        <v>75.241699999999994</v>
      </c>
      <c r="E121">
        <v>36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1</v>
      </c>
      <c r="N121" s="14">
        <f t="shared" si="2"/>
        <v>1</v>
      </c>
      <c r="O121">
        <f t="shared" si="3"/>
        <v>0.53356654211246168</v>
      </c>
    </row>
    <row r="122" spans="1:15" x14ac:dyDescent="0.4">
      <c r="A122">
        <v>1011</v>
      </c>
      <c r="B122">
        <v>1</v>
      </c>
      <c r="C122">
        <v>0</v>
      </c>
      <c r="D122">
        <v>26</v>
      </c>
      <c r="E122">
        <v>29</v>
      </c>
      <c r="F122">
        <v>1</v>
      </c>
      <c r="G122">
        <v>0</v>
      </c>
      <c r="H122">
        <v>1</v>
      </c>
      <c r="I122">
        <v>0</v>
      </c>
      <c r="J122">
        <v>1</v>
      </c>
      <c r="K122">
        <v>0</v>
      </c>
      <c r="L122">
        <v>0</v>
      </c>
      <c r="M122">
        <v>1</v>
      </c>
      <c r="N122" s="14">
        <f t="shared" si="2"/>
        <v>1</v>
      </c>
      <c r="O122">
        <f t="shared" si="3"/>
        <v>0.79115010581734568</v>
      </c>
    </row>
    <row r="123" spans="1:15" x14ac:dyDescent="0.4">
      <c r="A123">
        <v>1012</v>
      </c>
      <c r="B123">
        <v>0</v>
      </c>
      <c r="C123">
        <v>0</v>
      </c>
      <c r="D123">
        <v>15.75</v>
      </c>
      <c r="E123">
        <v>12</v>
      </c>
      <c r="F123">
        <v>1</v>
      </c>
      <c r="G123">
        <v>0</v>
      </c>
      <c r="H123">
        <v>1</v>
      </c>
      <c r="I123">
        <v>0</v>
      </c>
      <c r="J123">
        <v>1</v>
      </c>
      <c r="K123">
        <v>0</v>
      </c>
      <c r="L123">
        <v>0</v>
      </c>
      <c r="M123">
        <v>1</v>
      </c>
      <c r="N123" s="14">
        <f t="shared" si="2"/>
        <v>1</v>
      </c>
      <c r="O123">
        <f t="shared" si="3"/>
        <v>0.90760725899037487</v>
      </c>
    </row>
    <row r="124" spans="1:15" x14ac:dyDescent="0.4">
      <c r="A124">
        <v>1013</v>
      </c>
      <c r="B124">
        <v>1</v>
      </c>
      <c r="C124">
        <v>0</v>
      </c>
      <c r="D124">
        <v>7.75</v>
      </c>
      <c r="E124">
        <v>28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1</v>
      </c>
      <c r="N124" s="14">
        <f t="shared" si="2"/>
        <v>0</v>
      </c>
      <c r="O124">
        <f t="shared" si="3"/>
        <v>9.5923726409186519E-2</v>
      </c>
    </row>
    <row r="125" spans="1:15" x14ac:dyDescent="0.4">
      <c r="A125">
        <v>1014</v>
      </c>
      <c r="B125">
        <v>1</v>
      </c>
      <c r="C125">
        <v>0</v>
      </c>
      <c r="D125">
        <v>57.75</v>
      </c>
      <c r="E125">
        <v>35</v>
      </c>
      <c r="F125">
        <v>1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 s="14">
        <f t="shared" si="2"/>
        <v>1</v>
      </c>
      <c r="O125">
        <f t="shared" si="3"/>
        <v>0.92620224250004279</v>
      </c>
    </row>
    <row r="126" spans="1:15" x14ac:dyDescent="0.4">
      <c r="A126">
        <v>1015</v>
      </c>
      <c r="B126">
        <v>0</v>
      </c>
      <c r="C126">
        <v>0</v>
      </c>
      <c r="D126">
        <v>7.25</v>
      </c>
      <c r="E126">
        <v>28</v>
      </c>
      <c r="F126">
        <v>0</v>
      </c>
      <c r="G126">
        <v>0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1</v>
      </c>
      <c r="N126" s="14">
        <f t="shared" si="2"/>
        <v>0</v>
      </c>
      <c r="O126">
        <f t="shared" si="3"/>
        <v>9.1053812475040241E-2</v>
      </c>
    </row>
    <row r="127" spans="1:15" x14ac:dyDescent="0.4">
      <c r="A127">
        <v>1016</v>
      </c>
      <c r="B127">
        <v>0</v>
      </c>
      <c r="C127">
        <v>0</v>
      </c>
      <c r="D127">
        <v>7.75</v>
      </c>
      <c r="E127">
        <v>28</v>
      </c>
      <c r="F127">
        <v>0</v>
      </c>
      <c r="G127">
        <v>0</v>
      </c>
      <c r="H127">
        <v>0</v>
      </c>
      <c r="I127">
        <v>1</v>
      </c>
      <c r="J127">
        <v>0</v>
      </c>
      <c r="K127">
        <v>1</v>
      </c>
      <c r="L127">
        <v>0</v>
      </c>
      <c r="M127">
        <v>1</v>
      </c>
      <c r="N127" s="14">
        <f t="shared" si="2"/>
        <v>0</v>
      </c>
      <c r="O127">
        <f t="shared" si="3"/>
        <v>0.12770204164315915</v>
      </c>
    </row>
    <row r="128" spans="1:15" x14ac:dyDescent="0.4">
      <c r="A128">
        <v>1017</v>
      </c>
      <c r="B128">
        <v>0</v>
      </c>
      <c r="C128">
        <v>1</v>
      </c>
      <c r="D128">
        <v>16.100000000000001</v>
      </c>
      <c r="E128">
        <v>17</v>
      </c>
      <c r="F128">
        <v>1</v>
      </c>
      <c r="G128">
        <v>0</v>
      </c>
      <c r="H128">
        <v>0</v>
      </c>
      <c r="I128">
        <v>1</v>
      </c>
      <c r="J128">
        <v>1</v>
      </c>
      <c r="K128">
        <v>0</v>
      </c>
      <c r="L128">
        <v>0</v>
      </c>
      <c r="M128">
        <v>1</v>
      </c>
      <c r="N128" s="14">
        <f t="shared" si="2"/>
        <v>1</v>
      </c>
      <c r="O128">
        <f t="shared" si="3"/>
        <v>0.68349660531628442</v>
      </c>
    </row>
    <row r="129" spans="1:15" x14ac:dyDescent="0.4">
      <c r="A129">
        <v>1018</v>
      </c>
      <c r="B129">
        <v>0</v>
      </c>
      <c r="C129">
        <v>0</v>
      </c>
      <c r="D129">
        <v>7.7957999999999998</v>
      </c>
      <c r="E129">
        <v>22</v>
      </c>
      <c r="F129">
        <v>0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1</v>
      </c>
      <c r="N129" s="14">
        <f t="shared" si="2"/>
        <v>0</v>
      </c>
      <c r="O129">
        <f t="shared" si="3"/>
        <v>0.11220574180772472</v>
      </c>
    </row>
    <row r="130" spans="1:15" x14ac:dyDescent="0.4">
      <c r="A130">
        <v>1019</v>
      </c>
      <c r="B130">
        <v>2</v>
      </c>
      <c r="C130">
        <v>0</v>
      </c>
      <c r="D130">
        <v>23.25</v>
      </c>
      <c r="E130">
        <v>28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1</v>
      </c>
      <c r="L130">
        <v>0</v>
      </c>
      <c r="M130">
        <v>1</v>
      </c>
      <c r="N130" s="14">
        <f t="shared" si="2"/>
        <v>1</v>
      </c>
      <c r="O130">
        <f t="shared" si="3"/>
        <v>0.54749769479330423</v>
      </c>
    </row>
    <row r="131" spans="1:15" x14ac:dyDescent="0.4">
      <c r="A131">
        <v>1020</v>
      </c>
      <c r="B131">
        <v>0</v>
      </c>
      <c r="C131">
        <v>0</v>
      </c>
      <c r="D131">
        <v>13</v>
      </c>
      <c r="E131">
        <v>42</v>
      </c>
      <c r="F131">
        <v>0</v>
      </c>
      <c r="G131">
        <v>0</v>
      </c>
      <c r="H131">
        <v>1</v>
      </c>
      <c r="I131">
        <v>0</v>
      </c>
      <c r="J131">
        <v>1</v>
      </c>
      <c r="K131">
        <v>0</v>
      </c>
      <c r="L131">
        <v>0</v>
      </c>
      <c r="M131">
        <v>1</v>
      </c>
      <c r="N131" s="14">
        <f t="shared" si="2"/>
        <v>0</v>
      </c>
      <c r="O131">
        <f t="shared" si="3"/>
        <v>0.1683959172628289</v>
      </c>
    </row>
    <row r="132" spans="1:15" x14ac:dyDescent="0.4">
      <c r="A132">
        <v>1021</v>
      </c>
      <c r="B132">
        <v>0</v>
      </c>
      <c r="C132">
        <v>0</v>
      </c>
      <c r="D132">
        <v>8.0500000000000007</v>
      </c>
      <c r="E132">
        <v>24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>
        <v>0</v>
      </c>
      <c r="M132">
        <v>1</v>
      </c>
      <c r="N132" s="14">
        <f t="shared" ref="N132:N195" si="4">IF(O132&gt;0.5,1,0)</f>
        <v>0</v>
      </c>
      <c r="O132">
        <f t="shared" ref="O132:O195" si="5">1/(1+EXP(-SUMPRODUCT(_xlfn.ANCHORARRAY(B$1),$B132:$M132)))</f>
        <v>0.10481229340716472</v>
      </c>
    </row>
    <row r="133" spans="1:15" x14ac:dyDescent="0.4">
      <c r="A133">
        <v>1022</v>
      </c>
      <c r="B133">
        <v>0</v>
      </c>
      <c r="C133">
        <v>0</v>
      </c>
      <c r="D133">
        <v>8.0500000000000007</v>
      </c>
      <c r="E133">
        <v>32</v>
      </c>
      <c r="F133">
        <v>0</v>
      </c>
      <c r="G133">
        <v>0</v>
      </c>
      <c r="H133">
        <v>0</v>
      </c>
      <c r="I133">
        <v>1</v>
      </c>
      <c r="J133">
        <v>1</v>
      </c>
      <c r="K133">
        <v>0</v>
      </c>
      <c r="L133">
        <v>0</v>
      </c>
      <c r="M133">
        <v>1</v>
      </c>
      <c r="N133" s="14">
        <f t="shared" si="4"/>
        <v>0</v>
      </c>
      <c r="O133">
        <f t="shared" si="5"/>
        <v>7.9214608093490901E-2</v>
      </c>
    </row>
    <row r="134" spans="1:15" x14ac:dyDescent="0.4">
      <c r="A134">
        <v>1023</v>
      </c>
      <c r="B134">
        <v>0</v>
      </c>
      <c r="C134">
        <v>0</v>
      </c>
      <c r="D134">
        <v>28.5</v>
      </c>
      <c r="E134">
        <v>53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1</v>
      </c>
      <c r="N134" s="14">
        <f t="shared" si="4"/>
        <v>0</v>
      </c>
      <c r="O134">
        <f t="shared" si="5"/>
        <v>0.34756122562416519</v>
      </c>
    </row>
    <row r="135" spans="1:15" x14ac:dyDescent="0.4">
      <c r="A135">
        <v>1024</v>
      </c>
      <c r="B135">
        <v>0</v>
      </c>
      <c r="C135">
        <v>4</v>
      </c>
      <c r="D135">
        <v>25.466699999999999</v>
      </c>
      <c r="E135">
        <v>28</v>
      </c>
      <c r="F135">
        <v>1</v>
      </c>
      <c r="G135">
        <v>0</v>
      </c>
      <c r="H135">
        <v>0</v>
      </c>
      <c r="I135">
        <v>1</v>
      </c>
      <c r="J135">
        <v>1</v>
      </c>
      <c r="K135">
        <v>0</v>
      </c>
      <c r="L135">
        <v>0</v>
      </c>
      <c r="M135">
        <v>1</v>
      </c>
      <c r="N135" s="14">
        <f t="shared" si="4"/>
        <v>1</v>
      </c>
      <c r="O135">
        <f t="shared" si="5"/>
        <v>0.52196871966656322</v>
      </c>
    </row>
    <row r="136" spans="1:15" x14ac:dyDescent="0.4">
      <c r="A136">
        <v>1025</v>
      </c>
      <c r="B136">
        <v>1</v>
      </c>
      <c r="C136">
        <v>0</v>
      </c>
      <c r="D136">
        <v>6.4375</v>
      </c>
      <c r="E136">
        <v>28</v>
      </c>
      <c r="F136">
        <v>0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1</v>
      </c>
      <c r="M136">
        <v>1</v>
      </c>
      <c r="N136" s="14">
        <f t="shared" si="4"/>
        <v>0</v>
      </c>
      <c r="O136">
        <f t="shared" si="5"/>
        <v>0.10066781654286745</v>
      </c>
    </row>
    <row r="137" spans="1:15" x14ac:dyDescent="0.4">
      <c r="A137">
        <v>1026</v>
      </c>
      <c r="B137">
        <v>0</v>
      </c>
      <c r="C137">
        <v>0</v>
      </c>
      <c r="D137">
        <v>7.8958000000000004</v>
      </c>
      <c r="E137">
        <v>43</v>
      </c>
      <c r="F137">
        <v>0</v>
      </c>
      <c r="G137">
        <v>0</v>
      </c>
      <c r="H137">
        <v>0</v>
      </c>
      <c r="I137">
        <v>1</v>
      </c>
      <c r="J137">
        <v>1</v>
      </c>
      <c r="K137">
        <v>0</v>
      </c>
      <c r="L137">
        <v>0</v>
      </c>
      <c r="M137">
        <v>1</v>
      </c>
      <c r="N137" s="14">
        <f t="shared" si="4"/>
        <v>0</v>
      </c>
      <c r="O137">
        <f t="shared" si="5"/>
        <v>5.3291859731045055E-2</v>
      </c>
    </row>
    <row r="138" spans="1:15" x14ac:dyDescent="0.4">
      <c r="A138">
        <v>1027</v>
      </c>
      <c r="B138">
        <v>0</v>
      </c>
      <c r="C138">
        <v>0</v>
      </c>
      <c r="D138">
        <v>7.8541999999999996</v>
      </c>
      <c r="E138">
        <v>24</v>
      </c>
      <c r="F138">
        <v>0</v>
      </c>
      <c r="G138">
        <v>0</v>
      </c>
      <c r="H138">
        <v>0</v>
      </c>
      <c r="I138">
        <v>1</v>
      </c>
      <c r="J138">
        <v>1</v>
      </c>
      <c r="K138">
        <v>0</v>
      </c>
      <c r="L138">
        <v>0</v>
      </c>
      <c r="M138">
        <v>1</v>
      </c>
      <c r="N138" s="14">
        <f t="shared" si="4"/>
        <v>0</v>
      </c>
      <c r="O138">
        <f t="shared" si="5"/>
        <v>0.10476933757949825</v>
      </c>
    </row>
    <row r="139" spans="1:15" x14ac:dyDescent="0.4">
      <c r="A139">
        <v>1028</v>
      </c>
      <c r="B139">
        <v>0</v>
      </c>
      <c r="C139">
        <v>0</v>
      </c>
      <c r="D139">
        <v>7.2249999999999996</v>
      </c>
      <c r="E139">
        <v>26.5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1</v>
      </c>
      <c r="M139">
        <v>1</v>
      </c>
      <c r="N139" s="14">
        <f t="shared" si="4"/>
        <v>0</v>
      </c>
      <c r="O139">
        <f t="shared" si="5"/>
        <v>0.14084766226645951</v>
      </c>
    </row>
    <row r="140" spans="1:15" x14ac:dyDescent="0.4">
      <c r="A140">
        <v>1029</v>
      </c>
      <c r="B140">
        <v>0</v>
      </c>
      <c r="C140">
        <v>0</v>
      </c>
      <c r="D140">
        <v>13</v>
      </c>
      <c r="E140">
        <v>26</v>
      </c>
      <c r="F140">
        <v>0</v>
      </c>
      <c r="G140">
        <v>0</v>
      </c>
      <c r="H140">
        <v>1</v>
      </c>
      <c r="I140">
        <v>0</v>
      </c>
      <c r="J140">
        <v>1</v>
      </c>
      <c r="K140">
        <v>0</v>
      </c>
      <c r="L140">
        <v>0</v>
      </c>
      <c r="M140">
        <v>1</v>
      </c>
      <c r="N140" s="14">
        <f t="shared" si="4"/>
        <v>0</v>
      </c>
      <c r="O140">
        <f t="shared" si="5"/>
        <v>0.27276663920530242</v>
      </c>
    </row>
    <row r="141" spans="1:15" x14ac:dyDescent="0.4">
      <c r="A141">
        <v>1030</v>
      </c>
      <c r="B141">
        <v>0</v>
      </c>
      <c r="C141">
        <v>0</v>
      </c>
      <c r="D141">
        <v>8.0500000000000007</v>
      </c>
      <c r="E141">
        <v>23</v>
      </c>
      <c r="F141">
        <v>1</v>
      </c>
      <c r="G141">
        <v>0</v>
      </c>
      <c r="H141">
        <v>0</v>
      </c>
      <c r="I141">
        <v>1</v>
      </c>
      <c r="J141">
        <v>1</v>
      </c>
      <c r="K141">
        <v>0</v>
      </c>
      <c r="L141">
        <v>0</v>
      </c>
      <c r="M141">
        <v>1</v>
      </c>
      <c r="N141" s="14">
        <f t="shared" si="4"/>
        <v>1</v>
      </c>
      <c r="O141">
        <f t="shared" si="5"/>
        <v>0.64868618548145085</v>
      </c>
    </row>
    <row r="142" spans="1:15" x14ac:dyDescent="0.4">
      <c r="A142">
        <v>1031</v>
      </c>
      <c r="B142">
        <v>1</v>
      </c>
      <c r="C142">
        <v>6</v>
      </c>
      <c r="D142">
        <v>46.9</v>
      </c>
      <c r="E142">
        <v>40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0</v>
      </c>
      <c r="L142">
        <v>0</v>
      </c>
      <c r="M142">
        <v>1</v>
      </c>
      <c r="N142" s="14">
        <f t="shared" si="4"/>
        <v>0</v>
      </c>
      <c r="O142">
        <f t="shared" si="5"/>
        <v>2.7854643660382525E-2</v>
      </c>
    </row>
    <row r="143" spans="1:15" x14ac:dyDescent="0.4">
      <c r="A143">
        <v>1032</v>
      </c>
      <c r="B143">
        <v>5</v>
      </c>
      <c r="C143">
        <v>2</v>
      </c>
      <c r="D143">
        <v>46.9</v>
      </c>
      <c r="E143">
        <v>10</v>
      </c>
      <c r="F143">
        <v>1</v>
      </c>
      <c r="G143">
        <v>0</v>
      </c>
      <c r="H143">
        <v>0</v>
      </c>
      <c r="I143">
        <v>1</v>
      </c>
      <c r="J143">
        <v>1</v>
      </c>
      <c r="K143">
        <v>0</v>
      </c>
      <c r="L143">
        <v>0</v>
      </c>
      <c r="M143">
        <v>1</v>
      </c>
      <c r="N143" s="14">
        <f t="shared" si="4"/>
        <v>0</v>
      </c>
      <c r="O143">
        <f t="shared" si="5"/>
        <v>0.35631146830867311</v>
      </c>
    </row>
    <row r="144" spans="1:15" x14ac:dyDescent="0.4">
      <c r="A144">
        <v>1033</v>
      </c>
      <c r="B144">
        <v>0</v>
      </c>
      <c r="C144">
        <v>0</v>
      </c>
      <c r="D144">
        <v>151.55000000000001</v>
      </c>
      <c r="E144">
        <v>33</v>
      </c>
      <c r="F144">
        <v>1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1</v>
      </c>
      <c r="N144" s="14">
        <f t="shared" si="4"/>
        <v>1</v>
      </c>
      <c r="O144">
        <f t="shared" si="5"/>
        <v>0.93780513719020842</v>
      </c>
    </row>
    <row r="145" spans="1:15" x14ac:dyDescent="0.4">
      <c r="A145">
        <v>1034</v>
      </c>
      <c r="B145">
        <v>1</v>
      </c>
      <c r="C145">
        <v>3</v>
      </c>
      <c r="D145">
        <v>262.375</v>
      </c>
      <c r="E145">
        <v>61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1</v>
      </c>
      <c r="N145" s="14">
        <f t="shared" si="4"/>
        <v>0</v>
      </c>
      <c r="O145">
        <f t="shared" si="5"/>
        <v>0.27031139398831966</v>
      </c>
    </row>
    <row r="146" spans="1:15" x14ac:dyDescent="0.4">
      <c r="A146">
        <v>1035</v>
      </c>
      <c r="B146">
        <v>0</v>
      </c>
      <c r="C146">
        <v>0</v>
      </c>
      <c r="D146">
        <v>26</v>
      </c>
      <c r="E146">
        <v>28</v>
      </c>
      <c r="F146">
        <v>0</v>
      </c>
      <c r="G146">
        <v>0</v>
      </c>
      <c r="H146">
        <v>1</v>
      </c>
      <c r="I146">
        <v>0</v>
      </c>
      <c r="J146">
        <v>1</v>
      </c>
      <c r="K146">
        <v>0</v>
      </c>
      <c r="L146">
        <v>0</v>
      </c>
      <c r="M146">
        <v>1</v>
      </c>
      <c r="N146" s="14">
        <f t="shared" si="4"/>
        <v>0</v>
      </c>
      <c r="O146">
        <f t="shared" si="5"/>
        <v>0.2636118567384963</v>
      </c>
    </row>
    <row r="147" spans="1:15" x14ac:dyDescent="0.4">
      <c r="A147">
        <v>1036</v>
      </c>
      <c r="B147">
        <v>0</v>
      </c>
      <c r="C147">
        <v>0</v>
      </c>
      <c r="D147">
        <v>26.55</v>
      </c>
      <c r="E147">
        <v>42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1</v>
      </c>
      <c r="N147" s="14">
        <f t="shared" si="4"/>
        <v>0</v>
      </c>
      <c r="O147">
        <f t="shared" si="5"/>
        <v>0.34402812225306756</v>
      </c>
    </row>
    <row r="148" spans="1:15" x14ac:dyDescent="0.4">
      <c r="A148">
        <v>1037</v>
      </c>
      <c r="B148">
        <v>3</v>
      </c>
      <c r="C148">
        <v>0</v>
      </c>
      <c r="D148">
        <v>18</v>
      </c>
      <c r="E148">
        <v>31</v>
      </c>
      <c r="F148">
        <v>0</v>
      </c>
      <c r="G148">
        <v>0</v>
      </c>
      <c r="H148">
        <v>0</v>
      </c>
      <c r="I148">
        <v>1</v>
      </c>
      <c r="J148">
        <v>1</v>
      </c>
      <c r="K148">
        <v>0</v>
      </c>
      <c r="L148">
        <v>0</v>
      </c>
      <c r="M148">
        <v>1</v>
      </c>
      <c r="N148" s="14">
        <f t="shared" si="4"/>
        <v>0</v>
      </c>
      <c r="O148">
        <f t="shared" si="5"/>
        <v>3.3664780725185799E-2</v>
      </c>
    </row>
    <row r="149" spans="1:15" x14ac:dyDescent="0.4">
      <c r="A149">
        <v>1038</v>
      </c>
      <c r="B149">
        <v>0</v>
      </c>
      <c r="C149">
        <v>0</v>
      </c>
      <c r="D149">
        <v>51.862499999999997</v>
      </c>
      <c r="E149">
        <v>28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1</v>
      </c>
      <c r="N149" s="14">
        <f t="shared" si="4"/>
        <v>0</v>
      </c>
      <c r="O149">
        <f t="shared" si="5"/>
        <v>0.48829187040089739</v>
      </c>
    </row>
    <row r="150" spans="1:15" x14ac:dyDescent="0.4">
      <c r="A150">
        <v>1039</v>
      </c>
      <c r="B150">
        <v>0</v>
      </c>
      <c r="C150">
        <v>0</v>
      </c>
      <c r="D150">
        <v>8.0500000000000007</v>
      </c>
      <c r="E150">
        <v>22</v>
      </c>
      <c r="F150">
        <v>0</v>
      </c>
      <c r="G150">
        <v>0</v>
      </c>
      <c r="H150">
        <v>0</v>
      </c>
      <c r="I150">
        <v>1</v>
      </c>
      <c r="J150">
        <v>1</v>
      </c>
      <c r="K150">
        <v>0</v>
      </c>
      <c r="L150">
        <v>0</v>
      </c>
      <c r="M150">
        <v>1</v>
      </c>
      <c r="N150" s="14">
        <f t="shared" si="4"/>
        <v>0</v>
      </c>
      <c r="O150">
        <f t="shared" si="5"/>
        <v>0.11226497494541311</v>
      </c>
    </row>
    <row r="151" spans="1:15" x14ac:dyDescent="0.4">
      <c r="A151">
        <v>1040</v>
      </c>
      <c r="B151">
        <v>0</v>
      </c>
      <c r="C151">
        <v>0</v>
      </c>
      <c r="D151">
        <v>26.55</v>
      </c>
      <c r="E151">
        <v>28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1</v>
      </c>
      <c r="N151" s="14">
        <f t="shared" si="4"/>
        <v>0</v>
      </c>
      <c r="O151">
        <f t="shared" si="5"/>
        <v>0.47351539329993997</v>
      </c>
    </row>
    <row r="152" spans="1:15" x14ac:dyDescent="0.4">
      <c r="A152">
        <v>1041</v>
      </c>
      <c r="B152">
        <v>1</v>
      </c>
      <c r="C152">
        <v>1</v>
      </c>
      <c r="D152">
        <v>26</v>
      </c>
      <c r="E152">
        <v>30</v>
      </c>
      <c r="F152">
        <v>0</v>
      </c>
      <c r="G152">
        <v>0</v>
      </c>
      <c r="H152">
        <v>1</v>
      </c>
      <c r="I152">
        <v>0</v>
      </c>
      <c r="J152">
        <v>1</v>
      </c>
      <c r="K152">
        <v>0</v>
      </c>
      <c r="L152">
        <v>0</v>
      </c>
      <c r="M152">
        <v>1</v>
      </c>
      <c r="N152" s="14">
        <f t="shared" si="4"/>
        <v>0</v>
      </c>
      <c r="O152">
        <f t="shared" si="5"/>
        <v>0.17951748694112196</v>
      </c>
    </row>
    <row r="153" spans="1:15" x14ac:dyDescent="0.4">
      <c r="A153">
        <v>1042</v>
      </c>
      <c r="B153">
        <v>0</v>
      </c>
      <c r="C153">
        <v>1</v>
      </c>
      <c r="D153">
        <v>83.158299999999997</v>
      </c>
      <c r="E153">
        <v>23</v>
      </c>
      <c r="F153">
        <v>1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1</v>
      </c>
      <c r="N153" s="14">
        <f t="shared" si="4"/>
        <v>1</v>
      </c>
      <c r="O153">
        <f t="shared" si="5"/>
        <v>0.96373836155913029</v>
      </c>
    </row>
    <row r="154" spans="1:15" x14ac:dyDescent="0.4">
      <c r="A154">
        <v>1043</v>
      </c>
      <c r="B154">
        <v>0</v>
      </c>
      <c r="C154">
        <v>0</v>
      </c>
      <c r="D154">
        <v>7.8958000000000004</v>
      </c>
      <c r="E154">
        <v>28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0</v>
      </c>
      <c r="L154">
        <v>1</v>
      </c>
      <c r="M154">
        <v>1</v>
      </c>
      <c r="N154" s="14">
        <f t="shared" si="4"/>
        <v>0</v>
      </c>
      <c r="O154">
        <f t="shared" si="5"/>
        <v>0.13418093180305438</v>
      </c>
    </row>
    <row r="155" spans="1:15" x14ac:dyDescent="0.4">
      <c r="A155">
        <v>1044</v>
      </c>
      <c r="B155">
        <v>0</v>
      </c>
      <c r="C155">
        <v>0</v>
      </c>
      <c r="D155">
        <v>14.4542</v>
      </c>
      <c r="E155">
        <v>60.5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>
        <v>0</v>
      </c>
      <c r="M155">
        <v>1</v>
      </c>
      <c r="N155" s="14">
        <f t="shared" si="4"/>
        <v>0</v>
      </c>
      <c r="O155">
        <f t="shared" si="5"/>
        <v>2.8303291186849121E-2</v>
      </c>
    </row>
    <row r="156" spans="1:15" x14ac:dyDescent="0.4">
      <c r="A156">
        <v>1045</v>
      </c>
      <c r="B156">
        <v>0</v>
      </c>
      <c r="C156">
        <v>2</v>
      </c>
      <c r="D156">
        <v>12.183299999999999</v>
      </c>
      <c r="E156">
        <v>36</v>
      </c>
      <c r="F156">
        <v>1</v>
      </c>
      <c r="G156">
        <v>0</v>
      </c>
      <c r="H156">
        <v>0</v>
      </c>
      <c r="I156">
        <v>1</v>
      </c>
      <c r="J156">
        <v>1</v>
      </c>
      <c r="K156">
        <v>0</v>
      </c>
      <c r="L156">
        <v>0</v>
      </c>
      <c r="M156">
        <v>1</v>
      </c>
      <c r="N156" s="14">
        <f t="shared" si="4"/>
        <v>0</v>
      </c>
      <c r="O156">
        <f t="shared" si="5"/>
        <v>0.48385145658996237</v>
      </c>
    </row>
    <row r="157" spans="1:15" x14ac:dyDescent="0.4">
      <c r="A157">
        <v>1046</v>
      </c>
      <c r="B157">
        <v>4</v>
      </c>
      <c r="C157">
        <v>2</v>
      </c>
      <c r="D157">
        <v>31.387499999999999</v>
      </c>
      <c r="E157">
        <v>13</v>
      </c>
      <c r="F157">
        <v>0</v>
      </c>
      <c r="G157">
        <v>0</v>
      </c>
      <c r="H157">
        <v>0</v>
      </c>
      <c r="I157">
        <v>1</v>
      </c>
      <c r="J157">
        <v>1</v>
      </c>
      <c r="K157">
        <v>0</v>
      </c>
      <c r="L157">
        <v>0</v>
      </c>
      <c r="M157">
        <v>1</v>
      </c>
      <c r="N157" s="14">
        <f t="shared" si="4"/>
        <v>0</v>
      </c>
      <c r="O157">
        <f t="shared" si="5"/>
        <v>4.1449709051341641E-2</v>
      </c>
    </row>
    <row r="158" spans="1:15" x14ac:dyDescent="0.4">
      <c r="A158">
        <v>1047</v>
      </c>
      <c r="B158">
        <v>0</v>
      </c>
      <c r="C158">
        <v>0</v>
      </c>
      <c r="D158">
        <v>7.55</v>
      </c>
      <c r="E158">
        <v>24</v>
      </c>
      <c r="F158">
        <v>0</v>
      </c>
      <c r="G158">
        <v>0</v>
      </c>
      <c r="H158">
        <v>0</v>
      </c>
      <c r="I158">
        <v>1</v>
      </c>
      <c r="J158">
        <v>1</v>
      </c>
      <c r="K158">
        <v>0</v>
      </c>
      <c r="L158">
        <v>0</v>
      </c>
      <c r="M158">
        <v>1</v>
      </c>
      <c r="N158" s="14">
        <f t="shared" si="4"/>
        <v>0</v>
      </c>
      <c r="O158">
        <f t="shared" si="5"/>
        <v>0.10470263111795</v>
      </c>
    </row>
    <row r="159" spans="1:15" x14ac:dyDescent="0.4">
      <c r="A159">
        <v>1048</v>
      </c>
      <c r="B159">
        <v>0</v>
      </c>
      <c r="C159">
        <v>0</v>
      </c>
      <c r="D159">
        <v>221.7792</v>
      </c>
      <c r="E159">
        <v>29</v>
      </c>
      <c r="F159">
        <v>1</v>
      </c>
      <c r="G159">
        <v>1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1</v>
      </c>
      <c r="N159" s="14">
        <f t="shared" si="4"/>
        <v>1</v>
      </c>
      <c r="O159">
        <f t="shared" si="5"/>
        <v>0.95398198786837107</v>
      </c>
    </row>
    <row r="160" spans="1:15" x14ac:dyDescent="0.4">
      <c r="A160">
        <v>1049</v>
      </c>
      <c r="B160">
        <v>0</v>
      </c>
      <c r="C160">
        <v>0</v>
      </c>
      <c r="D160">
        <v>7.8541999999999996</v>
      </c>
      <c r="E160">
        <v>23</v>
      </c>
      <c r="F160">
        <v>1</v>
      </c>
      <c r="G160">
        <v>0</v>
      </c>
      <c r="H160">
        <v>0</v>
      </c>
      <c r="I160">
        <v>1</v>
      </c>
      <c r="J160">
        <v>1</v>
      </c>
      <c r="K160">
        <v>0</v>
      </c>
      <c r="L160">
        <v>0</v>
      </c>
      <c r="M160">
        <v>1</v>
      </c>
      <c r="N160" s="14">
        <f t="shared" si="4"/>
        <v>1</v>
      </c>
      <c r="O160">
        <f t="shared" si="5"/>
        <v>0.6485818255497301</v>
      </c>
    </row>
    <row r="161" spans="1:15" x14ac:dyDescent="0.4">
      <c r="A161">
        <v>1050</v>
      </c>
      <c r="B161">
        <v>0</v>
      </c>
      <c r="C161">
        <v>0</v>
      </c>
      <c r="D161">
        <v>26.55</v>
      </c>
      <c r="E161">
        <v>42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 s="14">
        <f t="shared" si="4"/>
        <v>0</v>
      </c>
      <c r="O161">
        <f t="shared" si="5"/>
        <v>0.34402812225306756</v>
      </c>
    </row>
    <row r="162" spans="1:15" x14ac:dyDescent="0.4">
      <c r="A162">
        <v>1051</v>
      </c>
      <c r="B162">
        <v>0</v>
      </c>
      <c r="C162">
        <v>2</v>
      </c>
      <c r="D162">
        <v>13.775</v>
      </c>
      <c r="E162">
        <v>26</v>
      </c>
      <c r="F162">
        <v>1</v>
      </c>
      <c r="G162">
        <v>0</v>
      </c>
      <c r="H162">
        <v>0</v>
      </c>
      <c r="I162">
        <v>1</v>
      </c>
      <c r="J162">
        <v>1</v>
      </c>
      <c r="K162">
        <v>0</v>
      </c>
      <c r="L162">
        <v>0</v>
      </c>
      <c r="M162">
        <v>1</v>
      </c>
      <c r="N162" s="14">
        <f t="shared" si="4"/>
        <v>1</v>
      </c>
      <c r="O162">
        <f t="shared" si="5"/>
        <v>0.58038660396106789</v>
      </c>
    </row>
    <row r="163" spans="1:15" x14ac:dyDescent="0.4">
      <c r="A163">
        <v>1052</v>
      </c>
      <c r="B163">
        <v>0</v>
      </c>
      <c r="C163">
        <v>0</v>
      </c>
      <c r="D163">
        <v>7.7332999999999998</v>
      </c>
      <c r="E163">
        <v>28</v>
      </c>
      <c r="F163">
        <v>1</v>
      </c>
      <c r="G163">
        <v>0</v>
      </c>
      <c r="H163">
        <v>0</v>
      </c>
      <c r="I163">
        <v>1</v>
      </c>
      <c r="J163">
        <v>0</v>
      </c>
      <c r="K163">
        <v>1</v>
      </c>
      <c r="L163">
        <v>0</v>
      </c>
      <c r="M163">
        <v>1</v>
      </c>
      <c r="N163" s="14">
        <f t="shared" si="4"/>
        <v>1</v>
      </c>
      <c r="O163">
        <f t="shared" si="5"/>
        <v>0.68957554459747161</v>
      </c>
    </row>
    <row r="164" spans="1:15" x14ac:dyDescent="0.4">
      <c r="A164">
        <v>1053</v>
      </c>
      <c r="B164">
        <v>1</v>
      </c>
      <c r="C164">
        <v>1</v>
      </c>
      <c r="D164">
        <v>15.245799999999999</v>
      </c>
      <c r="E164">
        <v>7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1</v>
      </c>
      <c r="M164">
        <v>1</v>
      </c>
      <c r="N164" s="14">
        <f t="shared" si="4"/>
        <v>0</v>
      </c>
      <c r="O164">
        <f t="shared" si="5"/>
        <v>0.18945550181325957</v>
      </c>
    </row>
    <row r="165" spans="1:15" x14ac:dyDescent="0.4">
      <c r="A165">
        <v>1054</v>
      </c>
      <c r="B165">
        <v>0</v>
      </c>
      <c r="C165">
        <v>0</v>
      </c>
      <c r="D165">
        <v>13.5</v>
      </c>
      <c r="E165">
        <v>26</v>
      </c>
      <c r="F165">
        <v>1</v>
      </c>
      <c r="G165">
        <v>0</v>
      </c>
      <c r="H165">
        <v>1</v>
      </c>
      <c r="I165">
        <v>0</v>
      </c>
      <c r="J165">
        <v>1</v>
      </c>
      <c r="K165">
        <v>0</v>
      </c>
      <c r="L165">
        <v>0</v>
      </c>
      <c r="M165">
        <v>1</v>
      </c>
      <c r="N165" s="14">
        <f t="shared" si="4"/>
        <v>1</v>
      </c>
      <c r="O165">
        <f t="shared" si="5"/>
        <v>0.85070542825153161</v>
      </c>
    </row>
    <row r="166" spans="1:15" x14ac:dyDescent="0.4">
      <c r="A166">
        <v>1055</v>
      </c>
      <c r="B166">
        <v>0</v>
      </c>
      <c r="C166">
        <v>0</v>
      </c>
      <c r="D166">
        <v>7</v>
      </c>
      <c r="E166">
        <v>28</v>
      </c>
      <c r="F166">
        <v>0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1</v>
      </c>
      <c r="N166" s="14">
        <f t="shared" si="4"/>
        <v>0</v>
      </c>
      <c r="O166">
        <f t="shared" si="5"/>
        <v>9.1005436009073085E-2</v>
      </c>
    </row>
    <row r="167" spans="1:15" x14ac:dyDescent="0.4">
      <c r="A167">
        <v>1056</v>
      </c>
      <c r="B167">
        <v>0</v>
      </c>
      <c r="C167">
        <v>0</v>
      </c>
      <c r="D167">
        <v>13</v>
      </c>
      <c r="E167">
        <v>41</v>
      </c>
      <c r="F167">
        <v>0</v>
      </c>
      <c r="G167">
        <v>0</v>
      </c>
      <c r="H167">
        <v>1</v>
      </c>
      <c r="I167">
        <v>0</v>
      </c>
      <c r="J167">
        <v>1</v>
      </c>
      <c r="K167">
        <v>0</v>
      </c>
      <c r="L167">
        <v>0</v>
      </c>
      <c r="M167">
        <v>1</v>
      </c>
      <c r="N167" s="14">
        <f t="shared" si="4"/>
        <v>0</v>
      </c>
      <c r="O167">
        <f t="shared" si="5"/>
        <v>0.17386010822445322</v>
      </c>
    </row>
    <row r="168" spans="1:15" x14ac:dyDescent="0.4">
      <c r="A168">
        <v>1057</v>
      </c>
      <c r="B168">
        <v>1</v>
      </c>
      <c r="C168">
        <v>1</v>
      </c>
      <c r="D168">
        <v>22.024999999999999</v>
      </c>
      <c r="E168">
        <v>26</v>
      </c>
      <c r="F168">
        <v>1</v>
      </c>
      <c r="G168">
        <v>0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1</v>
      </c>
      <c r="N168" s="14">
        <f t="shared" si="4"/>
        <v>1</v>
      </c>
      <c r="O168">
        <f t="shared" si="5"/>
        <v>0.52873969888464878</v>
      </c>
    </row>
    <row r="169" spans="1:15" x14ac:dyDescent="0.4">
      <c r="A169">
        <v>1058</v>
      </c>
      <c r="B169">
        <v>0</v>
      </c>
      <c r="C169">
        <v>0</v>
      </c>
      <c r="D169">
        <v>50.495800000000003</v>
      </c>
      <c r="E169">
        <v>48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 s="14">
        <f t="shared" si="4"/>
        <v>0</v>
      </c>
      <c r="O169">
        <f t="shared" si="5"/>
        <v>0.40475070516800404</v>
      </c>
    </row>
    <row r="170" spans="1:15" x14ac:dyDescent="0.4">
      <c r="A170">
        <v>1059</v>
      </c>
      <c r="B170">
        <v>2</v>
      </c>
      <c r="C170">
        <v>2</v>
      </c>
      <c r="D170">
        <v>34.375</v>
      </c>
      <c r="E170">
        <v>18</v>
      </c>
      <c r="F170">
        <v>0</v>
      </c>
      <c r="G170">
        <v>0</v>
      </c>
      <c r="H170">
        <v>0</v>
      </c>
      <c r="I170">
        <v>1</v>
      </c>
      <c r="J170">
        <v>1</v>
      </c>
      <c r="K170">
        <v>0</v>
      </c>
      <c r="L170">
        <v>0</v>
      </c>
      <c r="M170">
        <v>1</v>
      </c>
      <c r="N170" s="14">
        <f t="shared" si="4"/>
        <v>0</v>
      </c>
      <c r="O170">
        <f t="shared" si="5"/>
        <v>6.4000513013557567E-2</v>
      </c>
    </row>
    <row r="171" spans="1:15" x14ac:dyDescent="0.4">
      <c r="A171">
        <v>1060</v>
      </c>
      <c r="B171">
        <v>0</v>
      </c>
      <c r="C171">
        <v>0</v>
      </c>
      <c r="D171">
        <v>27.720800000000001</v>
      </c>
      <c r="E171">
        <v>28</v>
      </c>
      <c r="F171">
        <v>1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1</v>
      </c>
      <c r="N171" s="14">
        <f t="shared" si="4"/>
        <v>1</v>
      </c>
      <c r="O171">
        <f t="shared" si="5"/>
        <v>0.95483191389794109</v>
      </c>
    </row>
    <row r="172" spans="1:15" x14ac:dyDescent="0.4">
      <c r="A172">
        <v>1061</v>
      </c>
      <c r="B172">
        <v>0</v>
      </c>
      <c r="C172">
        <v>0</v>
      </c>
      <c r="D172">
        <v>8.9625000000000004</v>
      </c>
      <c r="E172">
        <v>22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1</v>
      </c>
      <c r="N172" s="14">
        <f t="shared" si="4"/>
        <v>1</v>
      </c>
      <c r="O172">
        <f t="shared" si="5"/>
        <v>0.65789523281829199</v>
      </c>
    </row>
    <row r="173" spans="1:15" x14ac:dyDescent="0.4">
      <c r="A173">
        <v>1062</v>
      </c>
      <c r="B173">
        <v>0</v>
      </c>
      <c r="C173">
        <v>0</v>
      </c>
      <c r="D173">
        <v>7.55</v>
      </c>
      <c r="E173">
        <v>28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1</v>
      </c>
      <c r="N173" s="14">
        <f t="shared" si="4"/>
        <v>0</v>
      </c>
      <c r="O173">
        <f t="shared" si="5"/>
        <v>9.1111894777795924E-2</v>
      </c>
    </row>
    <row r="174" spans="1:15" x14ac:dyDescent="0.4">
      <c r="A174">
        <v>1063</v>
      </c>
      <c r="B174">
        <v>0</v>
      </c>
      <c r="C174">
        <v>0</v>
      </c>
      <c r="D174">
        <v>7.2249999999999996</v>
      </c>
      <c r="E174">
        <v>27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1</v>
      </c>
      <c r="M174">
        <v>1</v>
      </c>
      <c r="N174" s="14">
        <f t="shared" si="4"/>
        <v>0</v>
      </c>
      <c r="O174">
        <f t="shared" si="5"/>
        <v>0.13853277190267077</v>
      </c>
    </row>
    <row r="175" spans="1:15" x14ac:dyDescent="0.4">
      <c r="A175">
        <v>1064</v>
      </c>
      <c r="B175">
        <v>1</v>
      </c>
      <c r="C175">
        <v>0</v>
      </c>
      <c r="D175">
        <v>13.9</v>
      </c>
      <c r="E175">
        <v>23</v>
      </c>
      <c r="F175">
        <v>0</v>
      </c>
      <c r="G175">
        <v>0</v>
      </c>
      <c r="H175">
        <v>0</v>
      </c>
      <c r="I175">
        <v>1</v>
      </c>
      <c r="J175">
        <v>1</v>
      </c>
      <c r="K175">
        <v>0</v>
      </c>
      <c r="L175">
        <v>0</v>
      </c>
      <c r="M175">
        <v>1</v>
      </c>
      <c r="N175" s="14">
        <f t="shared" si="4"/>
        <v>0</v>
      </c>
      <c r="O175">
        <f t="shared" si="5"/>
        <v>8.2067262027991417E-2</v>
      </c>
    </row>
    <row r="176" spans="1:15" x14ac:dyDescent="0.4">
      <c r="A176">
        <v>1065</v>
      </c>
      <c r="B176">
        <v>0</v>
      </c>
      <c r="C176">
        <v>0</v>
      </c>
      <c r="D176">
        <v>7.2291999999999996</v>
      </c>
      <c r="E176">
        <v>28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1</v>
      </c>
      <c r="M176">
        <v>1</v>
      </c>
      <c r="N176" s="14">
        <f t="shared" si="4"/>
        <v>0</v>
      </c>
      <c r="O176">
        <f t="shared" si="5"/>
        <v>0.13399992402833119</v>
      </c>
    </row>
    <row r="177" spans="1:15" x14ac:dyDescent="0.4">
      <c r="A177">
        <v>1066</v>
      </c>
      <c r="B177">
        <v>1</v>
      </c>
      <c r="C177">
        <v>5</v>
      </c>
      <c r="D177">
        <v>31.387499999999999</v>
      </c>
      <c r="E177">
        <v>40</v>
      </c>
      <c r="F177">
        <v>0</v>
      </c>
      <c r="G177">
        <v>0</v>
      </c>
      <c r="H177">
        <v>0</v>
      </c>
      <c r="I177">
        <v>1</v>
      </c>
      <c r="J177">
        <v>1</v>
      </c>
      <c r="K177">
        <v>0</v>
      </c>
      <c r="L177">
        <v>0</v>
      </c>
      <c r="M177">
        <v>1</v>
      </c>
      <c r="N177" s="14">
        <f t="shared" si="4"/>
        <v>0</v>
      </c>
      <c r="O177">
        <f t="shared" si="5"/>
        <v>2.9442732985940089E-2</v>
      </c>
    </row>
    <row r="178" spans="1:15" x14ac:dyDescent="0.4">
      <c r="A178">
        <v>1067</v>
      </c>
      <c r="B178">
        <v>0</v>
      </c>
      <c r="C178">
        <v>2</v>
      </c>
      <c r="D178">
        <v>39</v>
      </c>
      <c r="E178">
        <v>15</v>
      </c>
      <c r="F178">
        <v>1</v>
      </c>
      <c r="G178">
        <v>0</v>
      </c>
      <c r="H178">
        <v>1</v>
      </c>
      <c r="I178">
        <v>0</v>
      </c>
      <c r="J178">
        <v>1</v>
      </c>
      <c r="K178">
        <v>0</v>
      </c>
      <c r="L178">
        <v>0</v>
      </c>
      <c r="M178">
        <v>1</v>
      </c>
      <c r="N178" s="14">
        <f t="shared" si="4"/>
        <v>1</v>
      </c>
      <c r="O178">
        <f t="shared" si="5"/>
        <v>0.88461103318977585</v>
      </c>
    </row>
    <row r="179" spans="1:15" x14ac:dyDescent="0.4">
      <c r="A179">
        <v>1068</v>
      </c>
      <c r="B179">
        <v>0</v>
      </c>
      <c r="C179">
        <v>0</v>
      </c>
      <c r="D179">
        <v>36.75</v>
      </c>
      <c r="E179">
        <v>20</v>
      </c>
      <c r="F179">
        <v>1</v>
      </c>
      <c r="G179">
        <v>0</v>
      </c>
      <c r="H179">
        <v>1</v>
      </c>
      <c r="I179">
        <v>0</v>
      </c>
      <c r="J179">
        <v>1</v>
      </c>
      <c r="K179">
        <v>0</v>
      </c>
      <c r="L179">
        <v>0</v>
      </c>
      <c r="M179">
        <v>1</v>
      </c>
      <c r="N179" s="14">
        <f t="shared" si="4"/>
        <v>1</v>
      </c>
      <c r="O179">
        <f t="shared" si="5"/>
        <v>0.88346609685765631</v>
      </c>
    </row>
    <row r="180" spans="1:15" x14ac:dyDescent="0.4">
      <c r="A180">
        <v>1069</v>
      </c>
      <c r="B180">
        <v>1</v>
      </c>
      <c r="C180">
        <v>0</v>
      </c>
      <c r="D180">
        <v>55.441699999999997</v>
      </c>
      <c r="E180">
        <v>54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1</v>
      </c>
      <c r="N180" s="14">
        <f t="shared" si="4"/>
        <v>0</v>
      </c>
      <c r="O180">
        <f t="shared" si="5"/>
        <v>0.28348817791781555</v>
      </c>
    </row>
    <row r="181" spans="1:15" x14ac:dyDescent="0.4">
      <c r="A181">
        <v>1070</v>
      </c>
      <c r="B181">
        <v>0</v>
      </c>
      <c r="C181">
        <v>3</v>
      </c>
      <c r="D181">
        <v>39</v>
      </c>
      <c r="E181">
        <v>36</v>
      </c>
      <c r="F181">
        <v>1</v>
      </c>
      <c r="G181">
        <v>0</v>
      </c>
      <c r="H181">
        <v>1</v>
      </c>
      <c r="I181">
        <v>0</v>
      </c>
      <c r="J181">
        <v>1</v>
      </c>
      <c r="K181">
        <v>0</v>
      </c>
      <c r="L181">
        <v>0</v>
      </c>
      <c r="M181">
        <v>1</v>
      </c>
      <c r="N181" s="14">
        <f t="shared" si="4"/>
        <v>1</v>
      </c>
      <c r="O181">
        <f t="shared" si="5"/>
        <v>0.75665802913179658</v>
      </c>
    </row>
    <row r="182" spans="1:15" x14ac:dyDescent="0.4">
      <c r="A182">
        <v>1071</v>
      </c>
      <c r="B182">
        <v>0</v>
      </c>
      <c r="C182">
        <v>2</v>
      </c>
      <c r="D182">
        <v>83.158299999999997</v>
      </c>
      <c r="E182">
        <v>64</v>
      </c>
      <c r="F182">
        <v>1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1</v>
      </c>
      <c r="N182" s="14">
        <f t="shared" si="4"/>
        <v>1</v>
      </c>
      <c r="O182">
        <f t="shared" si="5"/>
        <v>0.8330158891142565</v>
      </c>
    </row>
    <row r="183" spans="1:15" x14ac:dyDescent="0.4">
      <c r="A183">
        <v>1072</v>
      </c>
      <c r="B183">
        <v>0</v>
      </c>
      <c r="C183">
        <v>0</v>
      </c>
      <c r="D183">
        <v>13</v>
      </c>
      <c r="E183">
        <v>30</v>
      </c>
      <c r="F183">
        <v>0</v>
      </c>
      <c r="G183">
        <v>0</v>
      </c>
      <c r="H183">
        <v>1</v>
      </c>
      <c r="I183">
        <v>0</v>
      </c>
      <c r="J183">
        <v>1</v>
      </c>
      <c r="K183">
        <v>0</v>
      </c>
      <c r="L183">
        <v>0</v>
      </c>
      <c r="M183">
        <v>1</v>
      </c>
      <c r="N183" s="14">
        <f t="shared" si="4"/>
        <v>0</v>
      </c>
      <c r="O183">
        <f t="shared" si="5"/>
        <v>0.24328874764912325</v>
      </c>
    </row>
    <row r="184" spans="1:15" x14ac:dyDescent="0.4">
      <c r="A184">
        <v>1073</v>
      </c>
      <c r="B184">
        <v>1</v>
      </c>
      <c r="C184">
        <v>1</v>
      </c>
      <c r="D184">
        <v>83.158299999999997</v>
      </c>
      <c r="E184">
        <v>37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1</v>
      </c>
      <c r="N184" s="14">
        <f t="shared" si="4"/>
        <v>0</v>
      </c>
      <c r="O184">
        <f t="shared" si="5"/>
        <v>0.42535398595592094</v>
      </c>
    </row>
    <row r="185" spans="1:15" x14ac:dyDescent="0.4">
      <c r="A185">
        <v>1074</v>
      </c>
      <c r="B185">
        <v>1</v>
      </c>
      <c r="C185">
        <v>0</v>
      </c>
      <c r="D185">
        <v>53.1</v>
      </c>
      <c r="E185">
        <v>18</v>
      </c>
      <c r="F185">
        <v>1</v>
      </c>
      <c r="G185">
        <v>1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1</v>
      </c>
      <c r="N185" s="14">
        <f t="shared" si="4"/>
        <v>1</v>
      </c>
      <c r="O185">
        <f t="shared" si="5"/>
        <v>0.9392882326686175</v>
      </c>
    </row>
    <row r="186" spans="1:15" x14ac:dyDescent="0.4">
      <c r="A186">
        <v>1075</v>
      </c>
      <c r="B186">
        <v>0</v>
      </c>
      <c r="C186">
        <v>0</v>
      </c>
      <c r="D186">
        <v>7.75</v>
      </c>
      <c r="E186">
        <v>28</v>
      </c>
      <c r="F186">
        <v>0</v>
      </c>
      <c r="G186">
        <v>0</v>
      </c>
      <c r="H186">
        <v>0</v>
      </c>
      <c r="I186">
        <v>1</v>
      </c>
      <c r="J186">
        <v>0</v>
      </c>
      <c r="K186">
        <v>1</v>
      </c>
      <c r="L186">
        <v>0</v>
      </c>
      <c r="M186">
        <v>1</v>
      </c>
      <c r="N186" s="14">
        <f t="shared" si="4"/>
        <v>0</v>
      </c>
      <c r="O186">
        <f t="shared" si="5"/>
        <v>0.12770204164315915</v>
      </c>
    </row>
    <row r="187" spans="1:15" x14ac:dyDescent="0.4">
      <c r="A187">
        <v>1076</v>
      </c>
      <c r="B187">
        <v>1</v>
      </c>
      <c r="C187">
        <v>1</v>
      </c>
      <c r="D187">
        <v>247.52080000000001</v>
      </c>
      <c r="E187">
        <v>27</v>
      </c>
      <c r="F187">
        <v>1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1</v>
      </c>
      <c r="N187" s="14">
        <f t="shared" si="4"/>
        <v>1</v>
      </c>
      <c r="O187">
        <f t="shared" si="5"/>
        <v>0.96039585040268083</v>
      </c>
    </row>
    <row r="188" spans="1:15" x14ac:dyDescent="0.4">
      <c r="A188">
        <v>1077</v>
      </c>
      <c r="B188">
        <v>0</v>
      </c>
      <c r="C188">
        <v>0</v>
      </c>
      <c r="D188">
        <v>16</v>
      </c>
      <c r="E188">
        <v>40</v>
      </c>
      <c r="F188">
        <v>0</v>
      </c>
      <c r="G188">
        <v>0</v>
      </c>
      <c r="H188">
        <v>1</v>
      </c>
      <c r="I188">
        <v>0</v>
      </c>
      <c r="J188">
        <v>1</v>
      </c>
      <c r="K188">
        <v>0</v>
      </c>
      <c r="L188">
        <v>0</v>
      </c>
      <c r="M188">
        <v>1</v>
      </c>
      <c r="N188" s="14">
        <f t="shared" si="4"/>
        <v>0</v>
      </c>
      <c r="O188">
        <f t="shared" si="5"/>
        <v>0.1804987991698008</v>
      </c>
    </row>
    <row r="189" spans="1:15" x14ac:dyDescent="0.4">
      <c r="A189">
        <v>1078</v>
      </c>
      <c r="B189">
        <v>0</v>
      </c>
      <c r="C189">
        <v>1</v>
      </c>
      <c r="D189">
        <v>21</v>
      </c>
      <c r="E189">
        <v>21</v>
      </c>
      <c r="F189">
        <v>1</v>
      </c>
      <c r="G189">
        <v>0</v>
      </c>
      <c r="H189">
        <v>1</v>
      </c>
      <c r="I189">
        <v>0</v>
      </c>
      <c r="J189">
        <v>1</v>
      </c>
      <c r="K189">
        <v>0</v>
      </c>
      <c r="L189">
        <v>0</v>
      </c>
      <c r="M189">
        <v>1</v>
      </c>
      <c r="N189" s="14">
        <f t="shared" si="4"/>
        <v>1</v>
      </c>
      <c r="O189">
        <f t="shared" si="5"/>
        <v>0.86494121066948715</v>
      </c>
    </row>
    <row r="190" spans="1:15" x14ac:dyDescent="0.4">
      <c r="A190">
        <v>1079</v>
      </c>
      <c r="B190">
        <v>2</v>
      </c>
      <c r="C190">
        <v>0</v>
      </c>
      <c r="D190">
        <v>8.0500000000000007</v>
      </c>
      <c r="E190">
        <v>17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1</v>
      </c>
      <c r="N190" s="14">
        <f t="shared" si="4"/>
        <v>0</v>
      </c>
      <c r="O190">
        <f t="shared" si="5"/>
        <v>7.4533995883825727E-2</v>
      </c>
    </row>
    <row r="191" spans="1:15" x14ac:dyDescent="0.4">
      <c r="A191">
        <v>1080</v>
      </c>
      <c r="B191">
        <v>8</v>
      </c>
      <c r="C191">
        <v>2</v>
      </c>
      <c r="D191">
        <v>69.55</v>
      </c>
      <c r="E191">
        <v>28</v>
      </c>
      <c r="F191">
        <v>1</v>
      </c>
      <c r="G191">
        <v>0</v>
      </c>
      <c r="H191">
        <v>0</v>
      </c>
      <c r="I191">
        <v>1</v>
      </c>
      <c r="J191">
        <v>1</v>
      </c>
      <c r="K191">
        <v>0</v>
      </c>
      <c r="L191">
        <v>0</v>
      </c>
      <c r="M191">
        <v>1</v>
      </c>
      <c r="N191" s="14">
        <f t="shared" si="4"/>
        <v>0</v>
      </c>
      <c r="O191">
        <f t="shared" si="5"/>
        <v>9.9958507010454611E-2</v>
      </c>
    </row>
    <row r="192" spans="1:15" x14ac:dyDescent="0.4">
      <c r="A192">
        <v>1081</v>
      </c>
      <c r="B192">
        <v>0</v>
      </c>
      <c r="C192">
        <v>0</v>
      </c>
      <c r="D192">
        <v>13</v>
      </c>
      <c r="E192">
        <v>40</v>
      </c>
      <c r="F192">
        <v>0</v>
      </c>
      <c r="G192">
        <v>0</v>
      </c>
      <c r="H192">
        <v>1</v>
      </c>
      <c r="I192">
        <v>0</v>
      </c>
      <c r="J192">
        <v>1</v>
      </c>
      <c r="K192">
        <v>0</v>
      </c>
      <c r="L192">
        <v>0</v>
      </c>
      <c r="M192">
        <v>1</v>
      </c>
      <c r="N192" s="14">
        <f t="shared" si="4"/>
        <v>0</v>
      </c>
      <c r="O192">
        <f t="shared" si="5"/>
        <v>0.17946334083185314</v>
      </c>
    </row>
    <row r="193" spans="1:15" x14ac:dyDescent="0.4">
      <c r="A193">
        <v>1082</v>
      </c>
      <c r="B193">
        <v>1</v>
      </c>
      <c r="C193">
        <v>0</v>
      </c>
      <c r="D193">
        <v>26</v>
      </c>
      <c r="E193">
        <v>34</v>
      </c>
      <c r="F193">
        <v>0</v>
      </c>
      <c r="G193">
        <v>0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1</v>
      </c>
      <c r="N193" s="14">
        <f t="shared" si="4"/>
        <v>0</v>
      </c>
      <c r="O193">
        <f t="shared" si="5"/>
        <v>0.1707442824455957</v>
      </c>
    </row>
    <row r="194" spans="1:15" x14ac:dyDescent="0.4">
      <c r="A194">
        <v>1083</v>
      </c>
      <c r="B194">
        <v>0</v>
      </c>
      <c r="C194">
        <v>0</v>
      </c>
      <c r="D194">
        <v>26</v>
      </c>
      <c r="E194">
        <v>28</v>
      </c>
      <c r="F194">
        <v>0</v>
      </c>
      <c r="G194">
        <v>1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1</v>
      </c>
      <c r="N194" s="14">
        <f t="shared" si="4"/>
        <v>0</v>
      </c>
      <c r="O194">
        <f t="shared" si="5"/>
        <v>0.47319474475385664</v>
      </c>
    </row>
    <row r="195" spans="1:15" x14ac:dyDescent="0.4">
      <c r="A195">
        <v>1084</v>
      </c>
      <c r="B195">
        <v>1</v>
      </c>
      <c r="C195">
        <v>1</v>
      </c>
      <c r="D195">
        <v>14.5</v>
      </c>
      <c r="E195">
        <v>11.5</v>
      </c>
      <c r="F195">
        <v>0</v>
      </c>
      <c r="G195">
        <v>0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1</v>
      </c>
      <c r="N195" s="14">
        <f t="shared" si="4"/>
        <v>0</v>
      </c>
      <c r="O195">
        <f t="shared" si="5"/>
        <v>0.11269547150873174</v>
      </c>
    </row>
    <row r="196" spans="1:15" x14ac:dyDescent="0.4">
      <c r="A196">
        <v>1085</v>
      </c>
      <c r="B196">
        <v>0</v>
      </c>
      <c r="C196">
        <v>0</v>
      </c>
      <c r="D196">
        <v>12.35</v>
      </c>
      <c r="E196">
        <v>61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1</v>
      </c>
      <c r="L196">
        <v>0</v>
      </c>
      <c r="M196">
        <v>1</v>
      </c>
      <c r="N196" s="14">
        <f t="shared" ref="N196:N259" si="6">IF(O196&gt;0.5,1,0)</f>
        <v>0</v>
      </c>
      <c r="O196">
        <f t="shared" ref="O196:O259" si="7">1/(1+EXP(-SUMPRODUCT(_xlfn.ANCHORARRAY(B$1),$B196:$M196)))</f>
        <v>0.1243018672575916</v>
      </c>
    </row>
    <row r="197" spans="1:15" x14ac:dyDescent="0.4">
      <c r="A197">
        <v>1086</v>
      </c>
      <c r="B197">
        <v>0</v>
      </c>
      <c r="C197">
        <v>2</v>
      </c>
      <c r="D197">
        <v>32.5</v>
      </c>
      <c r="E197">
        <v>8</v>
      </c>
      <c r="F197">
        <v>0</v>
      </c>
      <c r="G197">
        <v>0</v>
      </c>
      <c r="H197">
        <v>1</v>
      </c>
      <c r="I197">
        <v>0</v>
      </c>
      <c r="J197">
        <v>1</v>
      </c>
      <c r="K197">
        <v>0</v>
      </c>
      <c r="L197">
        <v>0</v>
      </c>
      <c r="M197">
        <v>1</v>
      </c>
      <c r="N197" s="14">
        <f t="shared" si="6"/>
        <v>0</v>
      </c>
      <c r="O197">
        <f t="shared" si="7"/>
        <v>0.39453487340363164</v>
      </c>
    </row>
    <row r="198" spans="1:15" x14ac:dyDescent="0.4">
      <c r="A198">
        <v>1087</v>
      </c>
      <c r="B198">
        <v>0</v>
      </c>
      <c r="C198">
        <v>0</v>
      </c>
      <c r="D198">
        <v>7.8541999999999996</v>
      </c>
      <c r="E198">
        <v>33</v>
      </c>
      <c r="F198">
        <v>0</v>
      </c>
      <c r="G198">
        <v>0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1</v>
      </c>
      <c r="N198" s="14">
        <f t="shared" si="6"/>
        <v>0</v>
      </c>
      <c r="O198">
        <f t="shared" si="7"/>
        <v>7.6417411375709191E-2</v>
      </c>
    </row>
    <row r="199" spans="1:15" x14ac:dyDescent="0.4">
      <c r="A199">
        <v>1088</v>
      </c>
      <c r="B199">
        <v>0</v>
      </c>
      <c r="C199">
        <v>2</v>
      </c>
      <c r="D199">
        <v>134.5</v>
      </c>
      <c r="E199">
        <v>6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1</v>
      </c>
      <c r="N199" s="14">
        <f t="shared" si="6"/>
        <v>1</v>
      </c>
      <c r="O199">
        <f t="shared" si="7"/>
        <v>0.77592857787213054</v>
      </c>
    </row>
    <row r="200" spans="1:15" x14ac:dyDescent="0.4">
      <c r="A200">
        <v>1089</v>
      </c>
      <c r="B200">
        <v>0</v>
      </c>
      <c r="C200">
        <v>0</v>
      </c>
      <c r="D200">
        <v>7.7750000000000004</v>
      </c>
      <c r="E200">
        <v>18</v>
      </c>
      <c r="F200">
        <v>1</v>
      </c>
      <c r="G200">
        <v>0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1</v>
      </c>
      <c r="N200" s="14">
        <f t="shared" si="6"/>
        <v>1</v>
      </c>
      <c r="O200">
        <f t="shared" si="7"/>
        <v>0.6910971330706509</v>
      </c>
    </row>
    <row r="201" spans="1:15" x14ac:dyDescent="0.4">
      <c r="A201">
        <v>1090</v>
      </c>
      <c r="B201">
        <v>0</v>
      </c>
      <c r="C201">
        <v>0</v>
      </c>
      <c r="D201">
        <v>10.5</v>
      </c>
      <c r="E201">
        <v>23</v>
      </c>
      <c r="F201">
        <v>0</v>
      </c>
      <c r="G201">
        <v>0</v>
      </c>
      <c r="H201">
        <v>1</v>
      </c>
      <c r="I201">
        <v>0</v>
      </c>
      <c r="J201">
        <v>1</v>
      </c>
      <c r="K201">
        <v>0</v>
      </c>
      <c r="L201">
        <v>0</v>
      </c>
      <c r="M201">
        <v>1</v>
      </c>
      <c r="N201" s="14">
        <f t="shared" si="6"/>
        <v>0</v>
      </c>
      <c r="O201">
        <f t="shared" si="7"/>
        <v>0.2950668779969331</v>
      </c>
    </row>
    <row r="202" spans="1:15" x14ac:dyDescent="0.4">
      <c r="A202">
        <v>1091</v>
      </c>
      <c r="B202">
        <v>0</v>
      </c>
      <c r="C202">
        <v>0</v>
      </c>
      <c r="D202">
        <v>8.1125000000000007</v>
      </c>
      <c r="E202">
        <v>28</v>
      </c>
      <c r="F202">
        <v>1</v>
      </c>
      <c r="G202">
        <v>0</v>
      </c>
      <c r="H202">
        <v>0</v>
      </c>
      <c r="I202">
        <v>1</v>
      </c>
      <c r="J202">
        <v>1</v>
      </c>
      <c r="K202">
        <v>0</v>
      </c>
      <c r="L202">
        <v>0</v>
      </c>
      <c r="M202">
        <v>1</v>
      </c>
      <c r="N202" s="14">
        <f t="shared" si="6"/>
        <v>1</v>
      </c>
      <c r="O202">
        <f t="shared" si="7"/>
        <v>0.60367177270633798</v>
      </c>
    </row>
    <row r="203" spans="1:15" x14ac:dyDescent="0.4">
      <c r="A203">
        <v>1092</v>
      </c>
      <c r="B203">
        <v>0</v>
      </c>
      <c r="C203">
        <v>0</v>
      </c>
      <c r="D203">
        <v>15.5</v>
      </c>
      <c r="E203">
        <v>28</v>
      </c>
      <c r="F203">
        <v>1</v>
      </c>
      <c r="G203">
        <v>0</v>
      </c>
      <c r="H203">
        <v>0</v>
      </c>
      <c r="I203">
        <v>1</v>
      </c>
      <c r="J203">
        <v>0</v>
      </c>
      <c r="K203">
        <v>1</v>
      </c>
      <c r="L203">
        <v>0</v>
      </c>
      <c r="M203">
        <v>1</v>
      </c>
      <c r="N203" s="14">
        <f t="shared" si="6"/>
        <v>1</v>
      </c>
      <c r="O203">
        <f t="shared" si="7"/>
        <v>0.6934501833133736</v>
      </c>
    </row>
    <row r="204" spans="1:15" x14ac:dyDescent="0.4">
      <c r="A204">
        <v>1093</v>
      </c>
      <c r="B204">
        <v>0</v>
      </c>
      <c r="C204">
        <v>2</v>
      </c>
      <c r="D204">
        <v>14.4</v>
      </c>
      <c r="E204">
        <v>0.33</v>
      </c>
      <c r="F204">
        <v>0</v>
      </c>
      <c r="G204">
        <v>0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 s="14">
        <f t="shared" si="6"/>
        <v>0</v>
      </c>
      <c r="O204">
        <f t="shared" si="7"/>
        <v>0.1970500743580485</v>
      </c>
    </row>
    <row r="205" spans="1:15" x14ac:dyDescent="0.4">
      <c r="A205">
        <v>1094</v>
      </c>
      <c r="B205">
        <v>1</v>
      </c>
      <c r="C205">
        <v>0</v>
      </c>
      <c r="D205">
        <v>227.52500000000001</v>
      </c>
      <c r="E205">
        <v>47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1</v>
      </c>
      <c r="N205" s="14">
        <f t="shared" si="6"/>
        <v>0</v>
      </c>
      <c r="O205">
        <f t="shared" si="7"/>
        <v>0.43656699164884266</v>
      </c>
    </row>
    <row r="206" spans="1:15" x14ac:dyDescent="0.4">
      <c r="A206">
        <v>1095</v>
      </c>
      <c r="B206">
        <v>1</v>
      </c>
      <c r="C206">
        <v>1</v>
      </c>
      <c r="D206">
        <v>26</v>
      </c>
      <c r="E206">
        <v>8</v>
      </c>
      <c r="F206">
        <v>1</v>
      </c>
      <c r="G206">
        <v>0</v>
      </c>
      <c r="H206">
        <v>1</v>
      </c>
      <c r="I206">
        <v>0</v>
      </c>
      <c r="J206">
        <v>1</v>
      </c>
      <c r="K206">
        <v>0</v>
      </c>
      <c r="L206">
        <v>0</v>
      </c>
      <c r="M206">
        <v>1</v>
      </c>
      <c r="N206" s="14">
        <f t="shared" si="6"/>
        <v>1</v>
      </c>
      <c r="O206">
        <f t="shared" si="7"/>
        <v>0.88569950431534783</v>
      </c>
    </row>
    <row r="207" spans="1:15" x14ac:dyDescent="0.4">
      <c r="A207">
        <v>1096</v>
      </c>
      <c r="B207">
        <v>0</v>
      </c>
      <c r="C207">
        <v>0</v>
      </c>
      <c r="D207">
        <v>10.5</v>
      </c>
      <c r="E207">
        <v>25</v>
      </c>
      <c r="F207">
        <v>0</v>
      </c>
      <c r="G207">
        <v>0</v>
      </c>
      <c r="H207">
        <v>1</v>
      </c>
      <c r="I207">
        <v>0</v>
      </c>
      <c r="J207">
        <v>1</v>
      </c>
      <c r="K207">
        <v>0</v>
      </c>
      <c r="L207">
        <v>0</v>
      </c>
      <c r="M207">
        <v>1</v>
      </c>
      <c r="N207" s="14">
        <f t="shared" si="6"/>
        <v>0</v>
      </c>
      <c r="O207">
        <f t="shared" si="7"/>
        <v>0.27929690242153138</v>
      </c>
    </row>
    <row r="208" spans="1:15" x14ac:dyDescent="0.4">
      <c r="A208">
        <v>1097</v>
      </c>
      <c r="B208">
        <v>0</v>
      </c>
      <c r="C208">
        <v>0</v>
      </c>
      <c r="D208">
        <v>25.741700000000002</v>
      </c>
      <c r="E208">
        <v>28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1</v>
      </c>
      <c r="N208" s="14">
        <f t="shared" si="6"/>
        <v>1</v>
      </c>
      <c r="O208">
        <f t="shared" si="7"/>
        <v>0.58100736907633188</v>
      </c>
    </row>
    <row r="209" spans="1:15" x14ac:dyDescent="0.4">
      <c r="A209">
        <v>1098</v>
      </c>
      <c r="B209">
        <v>0</v>
      </c>
      <c r="C209">
        <v>0</v>
      </c>
      <c r="D209">
        <v>7.75</v>
      </c>
      <c r="E209">
        <v>35</v>
      </c>
      <c r="F209">
        <v>1</v>
      </c>
      <c r="G209">
        <v>0</v>
      </c>
      <c r="H209">
        <v>0</v>
      </c>
      <c r="I209">
        <v>1</v>
      </c>
      <c r="J209">
        <v>0</v>
      </c>
      <c r="K209">
        <v>1</v>
      </c>
      <c r="L209">
        <v>0</v>
      </c>
      <c r="M209">
        <v>1</v>
      </c>
      <c r="N209" s="14">
        <f t="shared" si="6"/>
        <v>1</v>
      </c>
      <c r="O209">
        <f t="shared" si="7"/>
        <v>0.62913233377354838</v>
      </c>
    </row>
    <row r="210" spans="1:15" x14ac:dyDescent="0.4">
      <c r="A210">
        <v>1099</v>
      </c>
      <c r="B210">
        <v>0</v>
      </c>
      <c r="C210">
        <v>0</v>
      </c>
      <c r="D210">
        <v>10.5</v>
      </c>
      <c r="E210">
        <v>24</v>
      </c>
      <c r="F210">
        <v>0</v>
      </c>
      <c r="G210">
        <v>0</v>
      </c>
      <c r="H210">
        <v>1</v>
      </c>
      <c r="I210">
        <v>0</v>
      </c>
      <c r="J210">
        <v>1</v>
      </c>
      <c r="K210">
        <v>0</v>
      </c>
      <c r="L210">
        <v>0</v>
      </c>
      <c r="M210">
        <v>1</v>
      </c>
      <c r="N210" s="14">
        <f t="shared" si="6"/>
        <v>0</v>
      </c>
      <c r="O210">
        <f t="shared" si="7"/>
        <v>0.28711723016717822</v>
      </c>
    </row>
    <row r="211" spans="1:15" x14ac:dyDescent="0.4">
      <c r="A211">
        <v>1100</v>
      </c>
      <c r="B211">
        <v>0</v>
      </c>
      <c r="C211">
        <v>0</v>
      </c>
      <c r="D211">
        <v>27.720800000000001</v>
      </c>
      <c r="E211">
        <v>33</v>
      </c>
      <c r="F211">
        <v>1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1</v>
      </c>
      <c r="N211" s="14">
        <f t="shared" si="6"/>
        <v>1</v>
      </c>
      <c r="O211">
        <f t="shared" si="7"/>
        <v>0.94575727621409422</v>
      </c>
    </row>
    <row r="212" spans="1:15" x14ac:dyDescent="0.4">
      <c r="A212">
        <v>1101</v>
      </c>
      <c r="B212">
        <v>0</v>
      </c>
      <c r="C212">
        <v>0</v>
      </c>
      <c r="D212">
        <v>7.8958000000000004</v>
      </c>
      <c r="E212">
        <v>25</v>
      </c>
      <c r="F212">
        <v>0</v>
      </c>
      <c r="G212">
        <v>0</v>
      </c>
      <c r="H212">
        <v>0</v>
      </c>
      <c r="I212">
        <v>1</v>
      </c>
      <c r="J212">
        <v>1</v>
      </c>
      <c r="K212">
        <v>0</v>
      </c>
      <c r="L212">
        <v>0</v>
      </c>
      <c r="M212">
        <v>1</v>
      </c>
      <c r="N212" s="14">
        <f t="shared" si="6"/>
        <v>0</v>
      </c>
      <c r="O212">
        <f t="shared" si="7"/>
        <v>0.10121940512167511</v>
      </c>
    </row>
    <row r="213" spans="1:15" x14ac:dyDescent="0.4">
      <c r="A213">
        <v>1102</v>
      </c>
      <c r="B213">
        <v>0</v>
      </c>
      <c r="C213">
        <v>0</v>
      </c>
      <c r="D213">
        <v>22.524999999999999</v>
      </c>
      <c r="E213">
        <v>32</v>
      </c>
      <c r="F213">
        <v>0</v>
      </c>
      <c r="G213">
        <v>0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1</v>
      </c>
      <c r="N213" s="14">
        <f t="shared" si="6"/>
        <v>0</v>
      </c>
      <c r="O213">
        <f t="shared" si="7"/>
        <v>8.1719174559753444E-2</v>
      </c>
    </row>
    <row r="214" spans="1:15" x14ac:dyDescent="0.4">
      <c r="A214">
        <v>1103</v>
      </c>
      <c r="B214">
        <v>0</v>
      </c>
      <c r="C214">
        <v>0</v>
      </c>
      <c r="D214">
        <v>7.05</v>
      </c>
      <c r="E214">
        <v>28</v>
      </c>
      <c r="F214">
        <v>0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1</v>
      </c>
      <c r="N214" s="14">
        <f t="shared" si="6"/>
        <v>0</v>
      </c>
      <c r="O214">
        <f t="shared" si="7"/>
        <v>9.1015109451583615E-2</v>
      </c>
    </row>
    <row r="215" spans="1:15" x14ac:dyDescent="0.4">
      <c r="A215">
        <v>1104</v>
      </c>
      <c r="B215">
        <v>0</v>
      </c>
      <c r="C215">
        <v>0</v>
      </c>
      <c r="D215">
        <v>73.5</v>
      </c>
      <c r="E215">
        <v>17</v>
      </c>
      <c r="F215">
        <v>0</v>
      </c>
      <c r="G215">
        <v>0</v>
      </c>
      <c r="H215">
        <v>1</v>
      </c>
      <c r="I215">
        <v>0</v>
      </c>
      <c r="J215">
        <v>1</v>
      </c>
      <c r="K215">
        <v>0</v>
      </c>
      <c r="L215">
        <v>0</v>
      </c>
      <c r="M215">
        <v>1</v>
      </c>
      <c r="N215" s="14">
        <f t="shared" si="6"/>
        <v>0</v>
      </c>
      <c r="O215">
        <f t="shared" si="7"/>
        <v>0.3793250020455578</v>
      </c>
    </row>
    <row r="216" spans="1:15" x14ac:dyDescent="0.4">
      <c r="A216">
        <v>1105</v>
      </c>
      <c r="B216">
        <v>1</v>
      </c>
      <c r="C216">
        <v>0</v>
      </c>
      <c r="D216">
        <v>26</v>
      </c>
      <c r="E216">
        <v>60</v>
      </c>
      <c r="F216">
        <v>1</v>
      </c>
      <c r="G216">
        <v>0</v>
      </c>
      <c r="H216">
        <v>1</v>
      </c>
      <c r="I216">
        <v>0</v>
      </c>
      <c r="J216">
        <v>1</v>
      </c>
      <c r="K216">
        <v>0</v>
      </c>
      <c r="L216">
        <v>0</v>
      </c>
      <c r="M216">
        <v>1</v>
      </c>
      <c r="N216" s="14">
        <f t="shared" si="6"/>
        <v>1</v>
      </c>
      <c r="O216">
        <f t="shared" si="7"/>
        <v>0.53434129314147361</v>
      </c>
    </row>
    <row r="217" spans="1:15" x14ac:dyDescent="0.4">
      <c r="A217">
        <v>1106</v>
      </c>
      <c r="B217">
        <v>4</v>
      </c>
      <c r="C217">
        <v>2</v>
      </c>
      <c r="D217">
        <v>7.7750000000000004</v>
      </c>
      <c r="E217">
        <v>38</v>
      </c>
      <c r="F217">
        <v>1</v>
      </c>
      <c r="G217">
        <v>0</v>
      </c>
      <c r="H217">
        <v>0</v>
      </c>
      <c r="I217">
        <v>1</v>
      </c>
      <c r="J217">
        <v>1</v>
      </c>
      <c r="K217">
        <v>0</v>
      </c>
      <c r="L217">
        <v>0</v>
      </c>
      <c r="M217">
        <v>1</v>
      </c>
      <c r="N217" s="14">
        <f t="shared" si="6"/>
        <v>0</v>
      </c>
      <c r="O217">
        <f t="shared" si="7"/>
        <v>0.19159285435677795</v>
      </c>
    </row>
    <row r="218" spans="1:15" x14ac:dyDescent="0.4">
      <c r="A218">
        <v>1107</v>
      </c>
      <c r="B218">
        <v>0</v>
      </c>
      <c r="C218">
        <v>0</v>
      </c>
      <c r="D218">
        <v>42.5</v>
      </c>
      <c r="E218">
        <v>42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1</v>
      </c>
      <c r="N218" s="14">
        <f t="shared" si="6"/>
        <v>0</v>
      </c>
      <c r="O218">
        <f t="shared" si="7"/>
        <v>0.35249425242770682</v>
      </c>
    </row>
    <row r="219" spans="1:15" x14ac:dyDescent="0.4">
      <c r="A219">
        <v>1108</v>
      </c>
      <c r="B219">
        <v>0</v>
      </c>
      <c r="C219">
        <v>0</v>
      </c>
      <c r="D219">
        <v>7.8792</v>
      </c>
      <c r="E219">
        <v>28</v>
      </c>
      <c r="F219">
        <v>1</v>
      </c>
      <c r="G219">
        <v>0</v>
      </c>
      <c r="H219">
        <v>0</v>
      </c>
      <c r="I219">
        <v>1</v>
      </c>
      <c r="J219">
        <v>0</v>
      </c>
      <c r="K219">
        <v>1</v>
      </c>
      <c r="L219">
        <v>0</v>
      </c>
      <c r="M219">
        <v>1</v>
      </c>
      <c r="N219" s="14">
        <f t="shared" si="6"/>
        <v>1</v>
      </c>
      <c r="O219">
        <f t="shared" si="7"/>
        <v>0.68964857885785291</v>
      </c>
    </row>
    <row r="220" spans="1:15" x14ac:dyDescent="0.4">
      <c r="A220">
        <v>1109</v>
      </c>
      <c r="B220">
        <v>1</v>
      </c>
      <c r="C220">
        <v>1</v>
      </c>
      <c r="D220">
        <v>164.86670000000001</v>
      </c>
      <c r="E220">
        <v>57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1</v>
      </c>
      <c r="N220" s="14">
        <f t="shared" si="6"/>
        <v>0</v>
      </c>
      <c r="O220">
        <f t="shared" si="7"/>
        <v>0.21163558468350743</v>
      </c>
    </row>
    <row r="221" spans="1:15" x14ac:dyDescent="0.4">
      <c r="A221">
        <v>1110</v>
      </c>
      <c r="B221">
        <v>1</v>
      </c>
      <c r="C221">
        <v>1</v>
      </c>
      <c r="D221">
        <v>211.5</v>
      </c>
      <c r="E221">
        <v>50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1</v>
      </c>
      <c r="N221" s="14">
        <f t="shared" si="6"/>
        <v>1</v>
      </c>
      <c r="O221">
        <f t="shared" si="7"/>
        <v>0.9018619281675645</v>
      </c>
    </row>
    <row r="222" spans="1:15" x14ac:dyDescent="0.4">
      <c r="A222">
        <v>1111</v>
      </c>
      <c r="B222">
        <v>0</v>
      </c>
      <c r="C222">
        <v>0</v>
      </c>
      <c r="D222">
        <v>8.0500000000000007</v>
      </c>
      <c r="E222">
        <v>28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0</v>
      </c>
      <c r="L222">
        <v>0</v>
      </c>
      <c r="M222">
        <v>1</v>
      </c>
      <c r="N222" s="14">
        <f t="shared" si="6"/>
        <v>0</v>
      </c>
      <c r="O222">
        <f t="shared" si="7"/>
        <v>9.1208772698105012E-2</v>
      </c>
    </row>
    <row r="223" spans="1:15" x14ac:dyDescent="0.4">
      <c r="A223">
        <v>1112</v>
      </c>
      <c r="B223">
        <v>1</v>
      </c>
      <c r="C223">
        <v>0</v>
      </c>
      <c r="D223">
        <v>13.8583</v>
      </c>
      <c r="E223">
        <v>30</v>
      </c>
      <c r="F223">
        <v>1</v>
      </c>
      <c r="G223">
        <v>0</v>
      </c>
      <c r="H223">
        <v>1</v>
      </c>
      <c r="I223">
        <v>0</v>
      </c>
      <c r="J223">
        <v>0</v>
      </c>
      <c r="K223">
        <v>0</v>
      </c>
      <c r="L223">
        <v>1</v>
      </c>
      <c r="M223">
        <v>1</v>
      </c>
      <c r="N223" s="14">
        <f t="shared" si="6"/>
        <v>1</v>
      </c>
      <c r="O223">
        <f t="shared" si="7"/>
        <v>0.84550725165302565</v>
      </c>
    </row>
    <row r="224" spans="1:15" x14ac:dyDescent="0.4">
      <c r="A224">
        <v>1113</v>
      </c>
      <c r="B224">
        <v>0</v>
      </c>
      <c r="C224">
        <v>0</v>
      </c>
      <c r="D224">
        <v>8.0500000000000007</v>
      </c>
      <c r="E224">
        <v>21</v>
      </c>
      <c r="F224">
        <v>0</v>
      </c>
      <c r="G224">
        <v>0</v>
      </c>
      <c r="H224">
        <v>0</v>
      </c>
      <c r="I224">
        <v>1</v>
      </c>
      <c r="J224">
        <v>1</v>
      </c>
      <c r="K224">
        <v>0</v>
      </c>
      <c r="L224">
        <v>0</v>
      </c>
      <c r="M224">
        <v>1</v>
      </c>
      <c r="N224" s="14">
        <f t="shared" si="6"/>
        <v>0</v>
      </c>
      <c r="O224">
        <f t="shared" si="7"/>
        <v>0.11616221864333205</v>
      </c>
    </row>
    <row r="225" spans="1:15" x14ac:dyDescent="0.4">
      <c r="A225">
        <v>1114</v>
      </c>
      <c r="B225">
        <v>0</v>
      </c>
      <c r="C225">
        <v>0</v>
      </c>
      <c r="D225">
        <v>10.5</v>
      </c>
      <c r="E225">
        <v>22</v>
      </c>
      <c r="F225">
        <v>1</v>
      </c>
      <c r="G225">
        <v>0</v>
      </c>
      <c r="H225">
        <v>1</v>
      </c>
      <c r="I225">
        <v>0</v>
      </c>
      <c r="J225">
        <v>1</v>
      </c>
      <c r="K225">
        <v>0</v>
      </c>
      <c r="L225">
        <v>0</v>
      </c>
      <c r="M225">
        <v>1</v>
      </c>
      <c r="N225" s="14">
        <f t="shared" si="6"/>
        <v>1</v>
      </c>
      <c r="O225">
        <f t="shared" si="7"/>
        <v>0.86843944702919063</v>
      </c>
    </row>
    <row r="226" spans="1:15" x14ac:dyDescent="0.4">
      <c r="A226">
        <v>1115</v>
      </c>
      <c r="B226">
        <v>0</v>
      </c>
      <c r="C226">
        <v>0</v>
      </c>
      <c r="D226">
        <v>7.7957999999999998</v>
      </c>
      <c r="E226">
        <v>21</v>
      </c>
      <c r="F226">
        <v>0</v>
      </c>
      <c r="G226">
        <v>0</v>
      </c>
      <c r="H226">
        <v>0</v>
      </c>
      <c r="I226">
        <v>1</v>
      </c>
      <c r="J226">
        <v>1</v>
      </c>
      <c r="K226">
        <v>0</v>
      </c>
      <c r="L226">
        <v>0</v>
      </c>
      <c r="M226">
        <v>1</v>
      </c>
      <c r="N226" s="14">
        <f t="shared" si="6"/>
        <v>0</v>
      </c>
      <c r="O226">
        <f t="shared" si="7"/>
        <v>0.11610119817080281</v>
      </c>
    </row>
    <row r="227" spans="1:15" x14ac:dyDescent="0.4">
      <c r="A227">
        <v>1116</v>
      </c>
      <c r="B227">
        <v>0</v>
      </c>
      <c r="C227">
        <v>0</v>
      </c>
      <c r="D227">
        <v>27.445799999999998</v>
      </c>
      <c r="E227">
        <v>53</v>
      </c>
      <c r="F227">
        <v>1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1</v>
      </c>
      <c r="N227" s="14">
        <f t="shared" si="6"/>
        <v>1</v>
      </c>
      <c r="O227">
        <f t="shared" si="7"/>
        <v>0.88966896616431568</v>
      </c>
    </row>
    <row r="228" spans="1:15" x14ac:dyDescent="0.4">
      <c r="A228">
        <v>1117</v>
      </c>
      <c r="B228">
        <v>0</v>
      </c>
      <c r="C228">
        <v>2</v>
      </c>
      <c r="D228">
        <v>15.245799999999999</v>
      </c>
      <c r="E228">
        <v>28</v>
      </c>
      <c r="F228">
        <v>1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1</v>
      </c>
      <c r="N228" s="14">
        <f t="shared" si="6"/>
        <v>1</v>
      </c>
      <c r="O228">
        <f t="shared" si="7"/>
        <v>0.66498460732573006</v>
      </c>
    </row>
    <row r="229" spans="1:15" x14ac:dyDescent="0.4">
      <c r="A229">
        <v>1118</v>
      </c>
      <c r="B229">
        <v>0</v>
      </c>
      <c r="C229">
        <v>0</v>
      </c>
      <c r="D229">
        <v>7.7957999999999998</v>
      </c>
      <c r="E229">
        <v>23</v>
      </c>
      <c r="F229">
        <v>0</v>
      </c>
      <c r="G229">
        <v>0</v>
      </c>
      <c r="H229">
        <v>0</v>
      </c>
      <c r="I229">
        <v>1</v>
      </c>
      <c r="J229">
        <v>1</v>
      </c>
      <c r="K229">
        <v>0</v>
      </c>
      <c r="L229">
        <v>0</v>
      </c>
      <c r="M229">
        <v>1</v>
      </c>
      <c r="N229" s="14">
        <f t="shared" si="6"/>
        <v>0</v>
      </c>
      <c r="O229">
        <f t="shared" si="7"/>
        <v>0.10842495406750008</v>
      </c>
    </row>
    <row r="230" spans="1:15" x14ac:dyDescent="0.4">
      <c r="A230">
        <v>1119</v>
      </c>
      <c r="B230">
        <v>0</v>
      </c>
      <c r="C230">
        <v>0</v>
      </c>
      <c r="D230">
        <v>7.75</v>
      </c>
      <c r="E230">
        <v>28</v>
      </c>
      <c r="F230">
        <v>1</v>
      </c>
      <c r="G230">
        <v>0</v>
      </c>
      <c r="H230">
        <v>0</v>
      </c>
      <c r="I230">
        <v>1</v>
      </c>
      <c r="J230">
        <v>0</v>
      </c>
      <c r="K230">
        <v>1</v>
      </c>
      <c r="L230">
        <v>0</v>
      </c>
      <c r="M230">
        <v>1</v>
      </c>
      <c r="N230" s="14">
        <f t="shared" si="6"/>
        <v>1</v>
      </c>
      <c r="O230">
        <f t="shared" si="7"/>
        <v>0.68958390472100084</v>
      </c>
    </row>
    <row r="231" spans="1:15" x14ac:dyDescent="0.4">
      <c r="A231">
        <v>1120</v>
      </c>
      <c r="B231">
        <v>0</v>
      </c>
      <c r="C231">
        <v>0</v>
      </c>
      <c r="D231">
        <v>15.1</v>
      </c>
      <c r="E231">
        <v>40.5</v>
      </c>
      <c r="F231">
        <v>0</v>
      </c>
      <c r="G231">
        <v>0</v>
      </c>
      <c r="H231">
        <v>0</v>
      </c>
      <c r="I231">
        <v>1</v>
      </c>
      <c r="J231">
        <v>1</v>
      </c>
      <c r="K231">
        <v>0</v>
      </c>
      <c r="L231">
        <v>0</v>
      </c>
      <c r="M231">
        <v>1</v>
      </c>
      <c r="N231" s="14">
        <f t="shared" si="6"/>
        <v>0</v>
      </c>
      <c r="O231">
        <f t="shared" si="7"/>
        <v>5.9298293094274104E-2</v>
      </c>
    </row>
    <row r="232" spans="1:15" x14ac:dyDescent="0.4">
      <c r="A232">
        <v>1121</v>
      </c>
      <c r="B232">
        <v>0</v>
      </c>
      <c r="C232">
        <v>0</v>
      </c>
      <c r="D232">
        <v>13</v>
      </c>
      <c r="E232">
        <v>36</v>
      </c>
      <c r="F232">
        <v>0</v>
      </c>
      <c r="G232">
        <v>0</v>
      </c>
      <c r="H232">
        <v>1</v>
      </c>
      <c r="I232">
        <v>0</v>
      </c>
      <c r="J232">
        <v>1</v>
      </c>
      <c r="K232">
        <v>0</v>
      </c>
      <c r="L232">
        <v>0</v>
      </c>
      <c r="M232">
        <v>1</v>
      </c>
      <c r="N232" s="14">
        <f t="shared" si="6"/>
        <v>0</v>
      </c>
      <c r="O232">
        <f t="shared" si="7"/>
        <v>0.20328539071501031</v>
      </c>
    </row>
    <row r="233" spans="1:15" x14ac:dyDescent="0.4">
      <c r="A233">
        <v>1122</v>
      </c>
      <c r="B233">
        <v>0</v>
      </c>
      <c r="C233">
        <v>0</v>
      </c>
      <c r="D233">
        <v>65</v>
      </c>
      <c r="E233">
        <v>14</v>
      </c>
      <c r="F233">
        <v>0</v>
      </c>
      <c r="G233">
        <v>0</v>
      </c>
      <c r="H233">
        <v>1</v>
      </c>
      <c r="I233">
        <v>0</v>
      </c>
      <c r="J233">
        <v>1</v>
      </c>
      <c r="K233">
        <v>0</v>
      </c>
      <c r="L233">
        <v>0</v>
      </c>
      <c r="M233">
        <v>1</v>
      </c>
      <c r="N233" s="14">
        <f t="shared" si="6"/>
        <v>0</v>
      </c>
      <c r="O233">
        <f t="shared" si="7"/>
        <v>0.40210158122948375</v>
      </c>
    </row>
    <row r="234" spans="1:15" x14ac:dyDescent="0.4">
      <c r="A234">
        <v>1123</v>
      </c>
      <c r="B234">
        <v>0</v>
      </c>
      <c r="C234">
        <v>0</v>
      </c>
      <c r="D234">
        <v>26.55</v>
      </c>
      <c r="E234">
        <v>21</v>
      </c>
      <c r="F234">
        <v>1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1</v>
      </c>
      <c r="N234" s="14">
        <f t="shared" si="6"/>
        <v>1</v>
      </c>
      <c r="O234">
        <f t="shared" si="7"/>
        <v>0.94701202536280649</v>
      </c>
    </row>
    <row r="235" spans="1:15" x14ac:dyDescent="0.4">
      <c r="A235">
        <v>1124</v>
      </c>
      <c r="B235">
        <v>1</v>
      </c>
      <c r="C235">
        <v>0</v>
      </c>
      <c r="D235">
        <v>6.4958</v>
      </c>
      <c r="E235">
        <v>21</v>
      </c>
      <c r="F235">
        <v>0</v>
      </c>
      <c r="G235">
        <v>0</v>
      </c>
      <c r="H235">
        <v>0</v>
      </c>
      <c r="I235">
        <v>1</v>
      </c>
      <c r="J235">
        <v>1</v>
      </c>
      <c r="K235">
        <v>0</v>
      </c>
      <c r="L235">
        <v>0</v>
      </c>
      <c r="M235">
        <v>1</v>
      </c>
      <c r="N235" s="14">
        <f t="shared" si="6"/>
        <v>0</v>
      </c>
      <c r="O235">
        <f t="shared" si="7"/>
        <v>8.6681067544050791E-2</v>
      </c>
    </row>
    <row r="236" spans="1:15" x14ac:dyDescent="0.4">
      <c r="A236">
        <v>1125</v>
      </c>
      <c r="B236">
        <v>0</v>
      </c>
      <c r="C236">
        <v>0</v>
      </c>
      <c r="D236">
        <v>7.8792</v>
      </c>
      <c r="E236">
        <v>28</v>
      </c>
      <c r="F236">
        <v>0</v>
      </c>
      <c r="G236">
        <v>0</v>
      </c>
      <c r="H236">
        <v>0</v>
      </c>
      <c r="I236">
        <v>1</v>
      </c>
      <c r="J236">
        <v>0</v>
      </c>
      <c r="K236">
        <v>1</v>
      </c>
      <c r="L236">
        <v>0</v>
      </c>
      <c r="M236">
        <v>1</v>
      </c>
      <c r="N236" s="14">
        <f t="shared" si="6"/>
        <v>0</v>
      </c>
      <c r="O236">
        <f t="shared" si="7"/>
        <v>0.12773570331823886</v>
      </c>
    </row>
    <row r="237" spans="1:15" x14ac:dyDescent="0.4">
      <c r="A237">
        <v>1126</v>
      </c>
      <c r="B237">
        <v>1</v>
      </c>
      <c r="C237">
        <v>0</v>
      </c>
      <c r="D237">
        <v>71.283299999999997</v>
      </c>
      <c r="E237">
        <v>39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1</v>
      </c>
      <c r="N237" s="14">
        <f t="shared" si="6"/>
        <v>0</v>
      </c>
      <c r="O237">
        <f t="shared" si="7"/>
        <v>0.4225548151339043</v>
      </c>
    </row>
    <row r="238" spans="1:15" x14ac:dyDescent="0.4">
      <c r="A238">
        <v>1127</v>
      </c>
      <c r="B238">
        <v>0</v>
      </c>
      <c r="C238">
        <v>0</v>
      </c>
      <c r="D238">
        <v>7.8541999999999996</v>
      </c>
      <c r="E238">
        <v>20</v>
      </c>
      <c r="F238">
        <v>0</v>
      </c>
      <c r="G238">
        <v>0</v>
      </c>
      <c r="H238">
        <v>0</v>
      </c>
      <c r="I238">
        <v>1</v>
      </c>
      <c r="J238">
        <v>1</v>
      </c>
      <c r="K238">
        <v>0</v>
      </c>
      <c r="L238">
        <v>0</v>
      </c>
      <c r="M238">
        <v>1</v>
      </c>
      <c r="N238" s="14">
        <f t="shared" si="6"/>
        <v>0</v>
      </c>
      <c r="O238">
        <f t="shared" si="7"/>
        <v>0.12012803132871538</v>
      </c>
    </row>
    <row r="239" spans="1:15" x14ac:dyDescent="0.4">
      <c r="A239">
        <v>1128</v>
      </c>
      <c r="B239">
        <v>1</v>
      </c>
      <c r="C239">
        <v>0</v>
      </c>
      <c r="D239">
        <v>75.25</v>
      </c>
      <c r="E239">
        <v>64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1</v>
      </c>
      <c r="N239" s="14">
        <f t="shared" si="6"/>
        <v>0</v>
      </c>
      <c r="O239">
        <f t="shared" si="7"/>
        <v>0.21991617823845785</v>
      </c>
    </row>
    <row r="240" spans="1:15" x14ac:dyDescent="0.4">
      <c r="A240">
        <v>1129</v>
      </c>
      <c r="B240">
        <v>0</v>
      </c>
      <c r="C240">
        <v>0</v>
      </c>
      <c r="D240">
        <v>7.2249999999999996</v>
      </c>
      <c r="E240">
        <v>20</v>
      </c>
      <c r="F240">
        <v>0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1</v>
      </c>
      <c r="M240">
        <v>1</v>
      </c>
      <c r="N240" s="14">
        <f t="shared" si="6"/>
        <v>0</v>
      </c>
      <c r="O240">
        <f t="shared" si="7"/>
        <v>0.17395513367988844</v>
      </c>
    </row>
    <row r="241" spans="1:15" x14ac:dyDescent="0.4">
      <c r="A241">
        <v>1130</v>
      </c>
      <c r="B241">
        <v>1</v>
      </c>
      <c r="C241">
        <v>1</v>
      </c>
      <c r="D241">
        <v>13</v>
      </c>
      <c r="E241">
        <v>18</v>
      </c>
      <c r="F241">
        <v>1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1</v>
      </c>
      <c r="N241" s="14">
        <f t="shared" si="6"/>
        <v>1</v>
      </c>
      <c r="O241">
        <f t="shared" si="7"/>
        <v>0.83642834961581702</v>
      </c>
    </row>
    <row r="242" spans="1:15" x14ac:dyDescent="0.4">
      <c r="A242">
        <v>1131</v>
      </c>
      <c r="B242">
        <v>1</v>
      </c>
      <c r="C242">
        <v>0</v>
      </c>
      <c r="D242">
        <v>106.425</v>
      </c>
      <c r="E242">
        <v>48</v>
      </c>
      <c r="F242">
        <v>1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1</v>
      </c>
      <c r="N242" s="14">
        <f t="shared" si="6"/>
        <v>1</v>
      </c>
      <c r="O242">
        <f t="shared" si="7"/>
        <v>0.89499082788606732</v>
      </c>
    </row>
    <row r="243" spans="1:15" x14ac:dyDescent="0.4">
      <c r="A243">
        <v>1132</v>
      </c>
      <c r="B243">
        <v>0</v>
      </c>
      <c r="C243">
        <v>0</v>
      </c>
      <c r="D243">
        <v>27.720800000000001</v>
      </c>
      <c r="E243">
        <v>55</v>
      </c>
      <c r="F243">
        <v>1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1</v>
      </c>
      <c r="N243" s="14">
        <f t="shared" si="6"/>
        <v>1</v>
      </c>
      <c r="O243">
        <f t="shared" si="7"/>
        <v>0.8819426331855551</v>
      </c>
    </row>
    <row r="244" spans="1:15" x14ac:dyDescent="0.4">
      <c r="A244">
        <v>1133</v>
      </c>
      <c r="B244">
        <v>0</v>
      </c>
      <c r="C244">
        <v>2</v>
      </c>
      <c r="D244">
        <v>30</v>
      </c>
      <c r="E244">
        <v>45</v>
      </c>
      <c r="F244">
        <v>1</v>
      </c>
      <c r="G244">
        <v>0</v>
      </c>
      <c r="H244">
        <v>1</v>
      </c>
      <c r="I244">
        <v>0</v>
      </c>
      <c r="J244">
        <v>1</v>
      </c>
      <c r="K244">
        <v>0</v>
      </c>
      <c r="L244">
        <v>0</v>
      </c>
      <c r="M244">
        <v>1</v>
      </c>
      <c r="N244" s="14">
        <f t="shared" si="6"/>
        <v>1</v>
      </c>
      <c r="O244">
        <f t="shared" si="7"/>
        <v>0.70266628685251631</v>
      </c>
    </row>
    <row r="245" spans="1:15" x14ac:dyDescent="0.4">
      <c r="A245">
        <v>1134</v>
      </c>
      <c r="B245">
        <v>1</v>
      </c>
      <c r="C245">
        <v>1</v>
      </c>
      <c r="D245">
        <v>134.5</v>
      </c>
      <c r="E245">
        <v>45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1</v>
      </c>
      <c r="N245" s="14">
        <f t="shared" si="6"/>
        <v>0</v>
      </c>
      <c r="O245">
        <f t="shared" si="7"/>
        <v>0.3801369172470509</v>
      </c>
    </row>
    <row r="246" spans="1:15" x14ac:dyDescent="0.4">
      <c r="A246">
        <v>1135</v>
      </c>
      <c r="B246">
        <v>0</v>
      </c>
      <c r="C246">
        <v>0</v>
      </c>
      <c r="D246">
        <v>7.8875000000000002</v>
      </c>
      <c r="E246">
        <v>28</v>
      </c>
      <c r="F246">
        <v>0</v>
      </c>
      <c r="G246">
        <v>0</v>
      </c>
      <c r="H246">
        <v>0</v>
      </c>
      <c r="I246">
        <v>1</v>
      </c>
      <c r="J246">
        <v>1</v>
      </c>
      <c r="K246">
        <v>0</v>
      </c>
      <c r="L246">
        <v>0</v>
      </c>
      <c r="M246">
        <v>1</v>
      </c>
      <c r="N246" s="14">
        <f t="shared" si="6"/>
        <v>0</v>
      </c>
      <c r="O246">
        <f t="shared" si="7"/>
        <v>9.1177277213509933E-2</v>
      </c>
    </row>
    <row r="247" spans="1:15" x14ac:dyDescent="0.4">
      <c r="A247">
        <v>1136</v>
      </c>
      <c r="B247">
        <v>1</v>
      </c>
      <c r="C247">
        <v>2</v>
      </c>
      <c r="D247">
        <v>23.45</v>
      </c>
      <c r="E247">
        <v>28</v>
      </c>
      <c r="F247">
        <v>0</v>
      </c>
      <c r="G247">
        <v>0</v>
      </c>
      <c r="H247">
        <v>0</v>
      </c>
      <c r="I247">
        <v>1</v>
      </c>
      <c r="J247">
        <v>1</v>
      </c>
      <c r="K247">
        <v>0</v>
      </c>
      <c r="L247">
        <v>0</v>
      </c>
      <c r="M247">
        <v>1</v>
      </c>
      <c r="N247" s="14">
        <f t="shared" si="6"/>
        <v>0</v>
      </c>
      <c r="O247">
        <f t="shared" si="7"/>
        <v>5.8878336778850654E-2</v>
      </c>
    </row>
    <row r="248" spans="1:15" x14ac:dyDescent="0.4">
      <c r="A248">
        <v>1137</v>
      </c>
      <c r="B248">
        <v>1</v>
      </c>
      <c r="C248">
        <v>0</v>
      </c>
      <c r="D248">
        <v>51.862499999999997</v>
      </c>
      <c r="E248">
        <v>41</v>
      </c>
      <c r="F248">
        <v>0</v>
      </c>
      <c r="G248">
        <v>1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1</v>
      </c>
      <c r="N248" s="14">
        <f t="shared" si="6"/>
        <v>0</v>
      </c>
      <c r="O248">
        <f t="shared" si="7"/>
        <v>0.29533722940257606</v>
      </c>
    </row>
    <row r="249" spans="1:15" x14ac:dyDescent="0.4">
      <c r="A249">
        <v>1138</v>
      </c>
      <c r="B249">
        <v>0</v>
      </c>
      <c r="C249">
        <v>0</v>
      </c>
      <c r="D249">
        <v>21</v>
      </c>
      <c r="E249">
        <v>22</v>
      </c>
      <c r="F249">
        <v>1</v>
      </c>
      <c r="G249">
        <v>0</v>
      </c>
      <c r="H249">
        <v>1</v>
      </c>
      <c r="I249">
        <v>0</v>
      </c>
      <c r="J249">
        <v>1</v>
      </c>
      <c r="K249">
        <v>0</v>
      </c>
      <c r="L249">
        <v>0</v>
      </c>
      <c r="M249">
        <v>1</v>
      </c>
      <c r="N249" s="14">
        <f t="shared" si="6"/>
        <v>1</v>
      </c>
      <c r="O249">
        <f t="shared" si="7"/>
        <v>0.87121969196158988</v>
      </c>
    </row>
    <row r="250" spans="1:15" x14ac:dyDescent="0.4">
      <c r="A250">
        <v>1139</v>
      </c>
      <c r="B250">
        <v>1</v>
      </c>
      <c r="C250">
        <v>1</v>
      </c>
      <c r="D250">
        <v>32.5</v>
      </c>
      <c r="E250">
        <v>42</v>
      </c>
      <c r="F250">
        <v>0</v>
      </c>
      <c r="G250">
        <v>0</v>
      </c>
      <c r="H250">
        <v>1</v>
      </c>
      <c r="I250">
        <v>0</v>
      </c>
      <c r="J250">
        <v>1</v>
      </c>
      <c r="K250">
        <v>0</v>
      </c>
      <c r="L250">
        <v>0</v>
      </c>
      <c r="M250">
        <v>1</v>
      </c>
      <c r="N250" s="14">
        <f t="shared" si="6"/>
        <v>0</v>
      </c>
      <c r="O250">
        <f t="shared" si="7"/>
        <v>0.12274111747885015</v>
      </c>
    </row>
    <row r="251" spans="1:15" x14ac:dyDescent="0.4">
      <c r="A251">
        <v>1140</v>
      </c>
      <c r="B251">
        <v>1</v>
      </c>
      <c r="C251">
        <v>0</v>
      </c>
      <c r="D251">
        <v>26</v>
      </c>
      <c r="E251">
        <v>29</v>
      </c>
      <c r="F251">
        <v>1</v>
      </c>
      <c r="G251">
        <v>0</v>
      </c>
      <c r="H251">
        <v>1</v>
      </c>
      <c r="I251">
        <v>0</v>
      </c>
      <c r="J251">
        <v>1</v>
      </c>
      <c r="K251">
        <v>0</v>
      </c>
      <c r="L251">
        <v>0</v>
      </c>
      <c r="M251">
        <v>1</v>
      </c>
      <c r="N251" s="14">
        <f t="shared" si="6"/>
        <v>1</v>
      </c>
      <c r="O251">
        <f t="shared" si="7"/>
        <v>0.79115010581734568</v>
      </c>
    </row>
    <row r="252" spans="1:15" x14ac:dyDescent="0.4">
      <c r="A252">
        <v>1141</v>
      </c>
      <c r="B252">
        <v>1</v>
      </c>
      <c r="C252">
        <v>0</v>
      </c>
      <c r="D252">
        <v>14.4542</v>
      </c>
      <c r="E252">
        <v>28</v>
      </c>
      <c r="F252">
        <v>1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1</v>
      </c>
      <c r="M252">
        <v>1</v>
      </c>
      <c r="N252" s="14">
        <f t="shared" si="6"/>
        <v>1</v>
      </c>
      <c r="O252">
        <f t="shared" si="7"/>
        <v>0.63379396938176913</v>
      </c>
    </row>
    <row r="253" spans="1:15" x14ac:dyDescent="0.4">
      <c r="A253">
        <v>1142</v>
      </c>
      <c r="B253">
        <v>1</v>
      </c>
      <c r="C253">
        <v>2</v>
      </c>
      <c r="D253">
        <v>27.75</v>
      </c>
      <c r="E253">
        <v>0.92</v>
      </c>
      <c r="F253">
        <v>1</v>
      </c>
      <c r="G253">
        <v>0</v>
      </c>
      <c r="H253">
        <v>1</v>
      </c>
      <c r="I253">
        <v>0</v>
      </c>
      <c r="J253">
        <v>1</v>
      </c>
      <c r="K253">
        <v>0</v>
      </c>
      <c r="L253">
        <v>0</v>
      </c>
      <c r="M253">
        <v>1</v>
      </c>
      <c r="N253" s="14">
        <f t="shared" si="6"/>
        <v>1</v>
      </c>
      <c r="O253">
        <f t="shared" si="7"/>
        <v>0.90300244771797156</v>
      </c>
    </row>
    <row r="254" spans="1:15" x14ac:dyDescent="0.4">
      <c r="A254">
        <v>1143</v>
      </c>
      <c r="B254">
        <v>0</v>
      </c>
      <c r="C254">
        <v>0</v>
      </c>
      <c r="D254">
        <v>7.9249999999999998</v>
      </c>
      <c r="E254">
        <v>20</v>
      </c>
      <c r="F254">
        <v>0</v>
      </c>
      <c r="G254">
        <v>0</v>
      </c>
      <c r="H254">
        <v>0</v>
      </c>
      <c r="I254">
        <v>1</v>
      </c>
      <c r="J254">
        <v>1</v>
      </c>
      <c r="K254">
        <v>0</v>
      </c>
      <c r="L254">
        <v>0</v>
      </c>
      <c r="M254">
        <v>1</v>
      </c>
      <c r="N254" s="14">
        <f t="shared" si="6"/>
        <v>0</v>
      </c>
      <c r="O254">
        <f t="shared" si="7"/>
        <v>0.12014553326407001</v>
      </c>
    </row>
    <row r="255" spans="1:15" x14ac:dyDescent="0.4">
      <c r="A255">
        <v>1144</v>
      </c>
      <c r="B255">
        <v>1</v>
      </c>
      <c r="C255">
        <v>0</v>
      </c>
      <c r="D255">
        <v>136.7792</v>
      </c>
      <c r="E255">
        <v>27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1</v>
      </c>
      <c r="N255" s="14">
        <f t="shared" si="6"/>
        <v>1</v>
      </c>
      <c r="O255">
        <f t="shared" si="7"/>
        <v>0.57522025934085441</v>
      </c>
    </row>
    <row r="256" spans="1:15" x14ac:dyDescent="0.4">
      <c r="A256">
        <v>1145</v>
      </c>
      <c r="B256">
        <v>0</v>
      </c>
      <c r="C256">
        <v>0</v>
      </c>
      <c r="D256">
        <v>9.3249999999999993</v>
      </c>
      <c r="E256">
        <v>24</v>
      </c>
      <c r="F256">
        <v>0</v>
      </c>
      <c r="G256">
        <v>0</v>
      </c>
      <c r="H256">
        <v>0</v>
      </c>
      <c r="I256">
        <v>1</v>
      </c>
      <c r="J256">
        <v>1</v>
      </c>
      <c r="K256">
        <v>0</v>
      </c>
      <c r="L256">
        <v>0</v>
      </c>
      <c r="M256">
        <v>1</v>
      </c>
      <c r="N256" s="14">
        <f t="shared" si="6"/>
        <v>0</v>
      </c>
      <c r="O256">
        <f t="shared" si="7"/>
        <v>0.10509239134398167</v>
      </c>
    </row>
    <row r="257" spans="1:15" x14ac:dyDescent="0.4">
      <c r="A257">
        <v>1146</v>
      </c>
      <c r="B257">
        <v>0</v>
      </c>
      <c r="C257">
        <v>0</v>
      </c>
      <c r="D257">
        <v>9.5</v>
      </c>
      <c r="E257">
        <v>32.5</v>
      </c>
      <c r="F257">
        <v>0</v>
      </c>
      <c r="G257">
        <v>0</v>
      </c>
      <c r="H257">
        <v>0</v>
      </c>
      <c r="I257">
        <v>1</v>
      </c>
      <c r="J257">
        <v>1</v>
      </c>
      <c r="K257">
        <v>0</v>
      </c>
      <c r="L257">
        <v>0</v>
      </c>
      <c r="M257">
        <v>1</v>
      </c>
      <c r="N257" s="14">
        <f t="shared" si="6"/>
        <v>0</v>
      </c>
      <c r="O257">
        <f t="shared" si="7"/>
        <v>7.8064633968816785E-2</v>
      </c>
    </row>
    <row r="258" spans="1:15" x14ac:dyDescent="0.4">
      <c r="A258">
        <v>1147</v>
      </c>
      <c r="B258">
        <v>0</v>
      </c>
      <c r="C258">
        <v>0</v>
      </c>
      <c r="D258">
        <v>7.55</v>
      </c>
      <c r="E258">
        <v>28</v>
      </c>
      <c r="F258">
        <v>0</v>
      </c>
      <c r="G258">
        <v>0</v>
      </c>
      <c r="H258">
        <v>0</v>
      </c>
      <c r="I258">
        <v>1</v>
      </c>
      <c r="J258">
        <v>1</v>
      </c>
      <c r="K258">
        <v>0</v>
      </c>
      <c r="L258">
        <v>0</v>
      </c>
      <c r="M258">
        <v>1</v>
      </c>
      <c r="N258" s="14">
        <f t="shared" si="6"/>
        <v>0</v>
      </c>
      <c r="O258">
        <f t="shared" si="7"/>
        <v>9.1111894777795924E-2</v>
      </c>
    </row>
    <row r="259" spans="1:15" x14ac:dyDescent="0.4">
      <c r="A259">
        <v>1148</v>
      </c>
      <c r="B259">
        <v>0</v>
      </c>
      <c r="C259">
        <v>0</v>
      </c>
      <c r="D259">
        <v>7.75</v>
      </c>
      <c r="E259">
        <v>28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1</v>
      </c>
      <c r="N259" s="14">
        <f t="shared" si="6"/>
        <v>0</v>
      </c>
      <c r="O259">
        <f t="shared" si="7"/>
        <v>0.12770204164315915</v>
      </c>
    </row>
    <row r="260" spans="1:15" x14ac:dyDescent="0.4">
      <c r="A260">
        <v>1149</v>
      </c>
      <c r="B260">
        <v>0</v>
      </c>
      <c r="C260">
        <v>0</v>
      </c>
      <c r="D260">
        <v>8.0500000000000007</v>
      </c>
      <c r="E260">
        <v>28</v>
      </c>
      <c r="F260">
        <v>0</v>
      </c>
      <c r="G260">
        <v>0</v>
      </c>
      <c r="H260">
        <v>0</v>
      </c>
      <c r="I260">
        <v>1</v>
      </c>
      <c r="J260">
        <v>1</v>
      </c>
      <c r="K260">
        <v>0</v>
      </c>
      <c r="L260">
        <v>0</v>
      </c>
      <c r="M260">
        <v>1</v>
      </c>
      <c r="N260" s="14">
        <f t="shared" ref="N260:N323" si="8">IF(O260&gt;0.5,1,0)</f>
        <v>0</v>
      </c>
      <c r="O260">
        <f t="shared" ref="O260:O323" si="9">1/(1+EXP(-SUMPRODUCT(_xlfn.ANCHORARRAY(B$1),$B260:$M260)))</f>
        <v>9.1208772698105012E-2</v>
      </c>
    </row>
    <row r="261" spans="1:15" x14ac:dyDescent="0.4">
      <c r="A261">
        <v>1150</v>
      </c>
      <c r="B261">
        <v>0</v>
      </c>
      <c r="C261">
        <v>0</v>
      </c>
      <c r="D261">
        <v>13</v>
      </c>
      <c r="E261">
        <v>19</v>
      </c>
      <c r="F261">
        <v>1</v>
      </c>
      <c r="G261">
        <v>0</v>
      </c>
      <c r="H261">
        <v>1</v>
      </c>
      <c r="I261">
        <v>0</v>
      </c>
      <c r="J261">
        <v>1</v>
      </c>
      <c r="K261">
        <v>0</v>
      </c>
      <c r="L261">
        <v>0</v>
      </c>
      <c r="M261">
        <v>1</v>
      </c>
      <c r="N261" s="14">
        <f t="shared" si="8"/>
        <v>1</v>
      </c>
      <c r="O261">
        <f t="shared" si="9"/>
        <v>0.88170266906901595</v>
      </c>
    </row>
    <row r="262" spans="1:15" x14ac:dyDescent="0.4">
      <c r="A262">
        <v>1151</v>
      </c>
      <c r="B262">
        <v>0</v>
      </c>
      <c r="C262">
        <v>0</v>
      </c>
      <c r="D262">
        <v>7.7750000000000004</v>
      </c>
      <c r="E262">
        <v>21</v>
      </c>
      <c r="F262">
        <v>0</v>
      </c>
      <c r="G262">
        <v>0</v>
      </c>
      <c r="H262">
        <v>0</v>
      </c>
      <c r="I262">
        <v>1</v>
      </c>
      <c r="J262">
        <v>1</v>
      </c>
      <c r="K262">
        <v>0</v>
      </c>
      <c r="L262">
        <v>0</v>
      </c>
      <c r="M262">
        <v>1</v>
      </c>
      <c r="N262" s="14">
        <f t="shared" si="8"/>
        <v>0</v>
      </c>
      <c r="O262">
        <f t="shared" si="9"/>
        <v>0.11609620638281329</v>
      </c>
    </row>
    <row r="263" spans="1:15" x14ac:dyDescent="0.4">
      <c r="A263">
        <v>1152</v>
      </c>
      <c r="B263">
        <v>1</v>
      </c>
      <c r="C263">
        <v>0</v>
      </c>
      <c r="D263">
        <v>17.399999999999999</v>
      </c>
      <c r="E263">
        <v>36.5</v>
      </c>
      <c r="F263">
        <v>0</v>
      </c>
      <c r="G263">
        <v>0</v>
      </c>
      <c r="H263">
        <v>0</v>
      </c>
      <c r="I263">
        <v>1</v>
      </c>
      <c r="J263">
        <v>1</v>
      </c>
      <c r="K263">
        <v>0</v>
      </c>
      <c r="L263">
        <v>0</v>
      </c>
      <c r="M263">
        <v>1</v>
      </c>
      <c r="N263" s="14">
        <f t="shared" si="8"/>
        <v>0</v>
      </c>
      <c r="O263">
        <f t="shared" si="9"/>
        <v>5.0859310847295468E-2</v>
      </c>
    </row>
    <row r="264" spans="1:15" x14ac:dyDescent="0.4">
      <c r="A264">
        <v>1153</v>
      </c>
      <c r="B264">
        <v>0</v>
      </c>
      <c r="C264">
        <v>0</v>
      </c>
      <c r="D264">
        <v>7.8541999999999996</v>
      </c>
      <c r="E264">
        <v>21</v>
      </c>
      <c r="F264">
        <v>0</v>
      </c>
      <c r="G264">
        <v>0</v>
      </c>
      <c r="H264">
        <v>0</v>
      </c>
      <c r="I264">
        <v>1</v>
      </c>
      <c r="J264">
        <v>1</v>
      </c>
      <c r="K264">
        <v>0</v>
      </c>
      <c r="L264">
        <v>0</v>
      </c>
      <c r="M264">
        <v>1</v>
      </c>
      <c r="N264" s="14">
        <f t="shared" si="8"/>
        <v>0</v>
      </c>
      <c r="O264">
        <f t="shared" si="9"/>
        <v>0.1161152145721491</v>
      </c>
    </row>
    <row r="265" spans="1:15" x14ac:dyDescent="0.4">
      <c r="A265">
        <v>1154</v>
      </c>
      <c r="B265">
        <v>0</v>
      </c>
      <c r="C265">
        <v>2</v>
      </c>
      <c r="D265">
        <v>23</v>
      </c>
      <c r="E265">
        <v>29</v>
      </c>
      <c r="F265">
        <v>1</v>
      </c>
      <c r="G265">
        <v>0</v>
      </c>
      <c r="H265">
        <v>1</v>
      </c>
      <c r="I265">
        <v>0</v>
      </c>
      <c r="J265">
        <v>1</v>
      </c>
      <c r="K265">
        <v>0</v>
      </c>
      <c r="L265">
        <v>0</v>
      </c>
      <c r="M265">
        <v>1</v>
      </c>
      <c r="N265" s="14">
        <f t="shared" si="8"/>
        <v>1</v>
      </c>
      <c r="O265">
        <f t="shared" si="9"/>
        <v>0.81154251869158156</v>
      </c>
    </row>
    <row r="266" spans="1:15" x14ac:dyDescent="0.4">
      <c r="A266">
        <v>1155</v>
      </c>
      <c r="B266">
        <v>1</v>
      </c>
      <c r="C266">
        <v>1</v>
      </c>
      <c r="D266">
        <v>12.183299999999999</v>
      </c>
      <c r="E266">
        <v>1</v>
      </c>
      <c r="F266">
        <v>1</v>
      </c>
      <c r="G266">
        <v>0</v>
      </c>
      <c r="H266">
        <v>0</v>
      </c>
      <c r="I266">
        <v>1</v>
      </c>
      <c r="J266">
        <v>1</v>
      </c>
      <c r="K266">
        <v>0</v>
      </c>
      <c r="L266">
        <v>0</v>
      </c>
      <c r="M266">
        <v>1</v>
      </c>
      <c r="N266" s="14">
        <f t="shared" si="8"/>
        <v>1</v>
      </c>
      <c r="O266">
        <f t="shared" si="9"/>
        <v>0.74177348685414768</v>
      </c>
    </row>
    <row r="267" spans="1:15" x14ac:dyDescent="0.4">
      <c r="A267">
        <v>1156</v>
      </c>
      <c r="B267">
        <v>0</v>
      </c>
      <c r="C267">
        <v>0</v>
      </c>
      <c r="D267">
        <v>12.737500000000001</v>
      </c>
      <c r="E267">
        <v>30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1</v>
      </c>
      <c r="M267">
        <v>1</v>
      </c>
      <c r="N267" s="14">
        <f t="shared" si="8"/>
        <v>0</v>
      </c>
      <c r="O267">
        <f t="shared" si="9"/>
        <v>0.33169948778450048</v>
      </c>
    </row>
    <row r="268" spans="1:15" x14ac:dyDescent="0.4">
      <c r="A268">
        <v>1157</v>
      </c>
      <c r="B268">
        <v>0</v>
      </c>
      <c r="C268">
        <v>0</v>
      </c>
      <c r="D268">
        <v>7.8958000000000004</v>
      </c>
      <c r="E268">
        <v>28</v>
      </c>
      <c r="F268">
        <v>0</v>
      </c>
      <c r="G268">
        <v>0</v>
      </c>
      <c r="H268">
        <v>0</v>
      </c>
      <c r="I268">
        <v>1</v>
      </c>
      <c r="J268">
        <v>1</v>
      </c>
      <c r="K268">
        <v>0</v>
      </c>
      <c r="L268">
        <v>0</v>
      </c>
      <c r="M268">
        <v>1</v>
      </c>
      <c r="N268" s="14">
        <f t="shared" si="8"/>
        <v>0</v>
      </c>
      <c r="O268">
        <f t="shared" si="9"/>
        <v>9.117888566880443E-2</v>
      </c>
    </row>
    <row r="269" spans="1:15" x14ac:dyDescent="0.4">
      <c r="A269">
        <v>1158</v>
      </c>
      <c r="B269">
        <v>0</v>
      </c>
      <c r="C269">
        <v>0</v>
      </c>
      <c r="D269">
        <v>0</v>
      </c>
      <c r="E269">
        <v>28</v>
      </c>
      <c r="F269">
        <v>0</v>
      </c>
      <c r="G269">
        <v>1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1</v>
      </c>
      <c r="N269" s="14">
        <f t="shared" si="8"/>
        <v>0</v>
      </c>
      <c r="O269">
        <f t="shared" si="9"/>
        <v>0.45806665159749288</v>
      </c>
    </row>
    <row r="270" spans="1:15" x14ac:dyDescent="0.4">
      <c r="A270">
        <v>1159</v>
      </c>
      <c r="B270">
        <v>0</v>
      </c>
      <c r="C270">
        <v>0</v>
      </c>
      <c r="D270">
        <v>7.55</v>
      </c>
      <c r="E270">
        <v>28</v>
      </c>
      <c r="F270">
        <v>0</v>
      </c>
      <c r="G270">
        <v>0</v>
      </c>
      <c r="H270">
        <v>0</v>
      </c>
      <c r="I270">
        <v>1</v>
      </c>
      <c r="J270">
        <v>1</v>
      </c>
      <c r="K270">
        <v>0</v>
      </c>
      <c r="L270">
        <v>0</v>
      </c>
      <c r="M270">
        <v>1</v>
      </c>
      <c r="N270" s="14">
        <f t="shared" si="8"/>
        <v>0</v>
      </c>
      <c r="O270">
        <f t="shared" si="9"/>
        <v>9.1111894777795924E-2</v>
      </c>
    </row>
    <row r="271" spans="1:15" x14ac:dyDescent="0.4">
      <c r="A271">
        <v>1160</v>
      </c>
      <c r="B271">
        <v>0</v>
      </c>
      <c r="C271">
        <v>0</v>
      </c>
      <c r="D271">
        <v>8.0500000000000007</v>
      </c>
      <c r="E271">
        <v>28</v>
      </c>
      <c r="F271">
        <v>1</v>
      </c>
      <c r="G271">
        <v>0</v>
      </c>
      <c r="H271">
        <v>0</v>
      </c>
      <c r="I271">
        <v>1</v>
      </c>
      <c r="J271">
        <v>1</v>
      </c>
      <c r="K271">
        <v>0</v>
      </c>
      <c r="L271">
        <v>0</v>
      </c>
      <c r="M271">
        <v>1</v>
      </c>
      <c r="N271" s="14">
        <f t="shared" si="8"/>
        <v>1</v>
      </c>
      <c r="O271">
        <f t="shared" si="9"/>
        <v>0.60363680202197822</v>
      </c>
    </row>
    <row r="272" spans="1:15" x14ac:dyDescent="0.4">
      <c r="A272">
        <v>1161</v>
      </c>
      <c r="B272">
        <v>0</v>
      </c>
      <c r="C272">
        <v>0</v>
      </c>
      <c r="D272">
        <v>8.6624999999999996</v>
      </c>
      <c r="E272">
        <v>17</v>
      </c>
      <c r="F272">
        <v>0</v>
      </c>
      <c r="G272">
        <v>0</v>
      </c>
      <c r="H272">
        <v>0</v>
      </c>
      <c r="I272">
        <v>1</v>
      </c>
      <c r="J272">
        <v>1</v>
      </c>
      <c r="K272">
        <v>0</v>
      </c>
      <c r="L272">
        <v>0</v>
      </c>
      <c r="M272">
        <v>1</v>
      </c>
      <c r="N272" s="14">
        <f t="shared" si="8"/>
        <v>0</v>
      </c>
      <c r="O272">
        <f t="shared" si="9"/>
        <v>0.1331082364451126</v>
      </c>
    </row>
    <row r="273" spans="1:15" x14ac:dyDescent="0.4">
      <c r="A273">
        <v>1162</v>
      </c>
      <c r="B273">
        <v>0</v>
      </c>
      <c r="C273">
        <v>0</v>
      </c>
      <c r="D273">
        <v>75.241699999999994</v>
      </c>
      <c r="E273">
        <v>46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1</v>
      </c>
      <c r="N273" s="14">
        <f t="shared" si="8"/>
        <v>0</v>
      </c>
      <c r="O273">
        <f t="shared" si="9"/>
        <v>0.43762993267069766</v>
      </c>
    </row>
    <row r="274" spans="1:15" x14ac:dyDescent="0.4">
      <c r="A274">
        <v>1163</v>
      </c>
      <c r="B274">
        <v>0</v>
      </c>
      <c r="C274">
        <v>0</v>
      </c>
      <c r="D274">
        <v>7.75</v>
      </c>
      <c r="E274">
        <v>28</v>
      </c>
      <c r="F274">
        <v>0</v>
      </c>
      <c r="G274">
        <v>0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1</v>
      </c>
      <c r="N274" s="14">
        <f t="shared" si="8"/>
        <v>0</v>
      </c>
      <c r="O274">
        <f t="shared" si="9"/>
        <v>0.12770204164315915</v>
      </c>
    </row>
    <row r="275" spans="1:15" x14ac:dyDescent="0.4">
      <c r="A275">
        <v>1164</v>
      </c>
      <c r="B275">
        <v>1</v>
      </c>
      <c r="C275">
        <v>0</v>
      </c>
      <c r="D275">
        <v>136.7792</v>
      </c>
      <c r="E275">
        <v>26</v>
      </c>
      <c r="F275">
        <v>1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1</v>
      </c>
      <c r="N275" s="14">
        <f t="shared" si="8"/>
        <v>1</v>
      </c>
      <c r="O275">
        <f t="shared" si="9"/>
        <v>0.95526846949473065</v>
      </c>
    </row>
    <row r="276" spans="1:15" x14ac:dyDescent="0.4">
      <c r="A276">
        <v>1165</v>
      </c>
      <c r="B276">
        <v>1</v>
      </c>
      <c r="C276">
        <v>0</v>
      </c>
      <c r="D276">
        <v>15.5</v>
      </c>
      <c r="E276">
        <v>28</v>
      </c>
      <c r="F276">
        <v>1</v>
      </c>
      <c r="G276">
        <v>0</v>
      </c>
      <c r="H276">
        <v>0</v>
      </c>
      <c r="I276">
        <v>1</v>
      </c>
      <c r="J276">
        <v>0</v>
      </c>
      <c r="K276">
        <v>1</v>
      </c>
      <c r="L276">
        <v>0</v>
      </c>
      <c r="M276">
        <v>1</v>
      </c>
      <c r="N276" s="14">
        <f t="shared" si="8"/>
        <v>1</v>
      </c>
      <c r="O276">
        <f t="shared" si="9"/>
        <v>0.6211353665762529</v>
      </c>
    </row>
    <row r="277" spans="1:15" x14ac:dyDescent="0.4">
      <c r="A277">
        <v>1166</v>
      </c>
      <c r="B277">
        <v>0</v>
      </c>
      <c r="C277">
        <v>0</v>
      </c>
      <c r="D277">
        <v>7.2249999999999996</v>
      </c>
      <c r="E277">
        <v>28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1</v>
      </c>
      <c r="M277">
        <v>1</v>
      </c>
      <c r="N277" s="14">
        <f t="shared" si="8"/>
        <v>0</v>
      </c>
      <c r="O277">
        <f t="shared" si="9"/>
        <v>0.13399878421988354</v>
      </c>
    </row>
    <row r="278" spans="1:15" x14ac:dyDescent="0.4">
      <c r="A278">
        <v>1167</v>
      </c>
      <c r="B278">
        <v>1</v>
      </c>
      <c r="C278">
        <v>0</v>
      </c>
      <c r="D278">
        <v>26</v>
      </c>
      <c r="E278">
        <v>20</v>
      </c>
      <c r="F278">
        <v>1</v>
      </c>
      <c r="G278">
        <v>0</v>
      </c>
      <c r="H278">
        <v>1</v>
      </c>
      <c r="I278">
        <v>0</v>
      </c>
      <c r="J278">
        <v>1</v>
      </c>
      <c r="K278">
        <v>0</v>
      </c>
      <c r="L278">
        <v>0</v>
      </c>
      <c r="M278">
        <v>1</v>
      </c>
      <c r="N278" s="14">
        <f t="shared" si="8"/>
        <v>1</v>
      </c>
      <c r="O278">
        <f t="shared" si="9"/>
        <v>0.84271923541803639</v>
      </c>
    </row>
    <row r="279" spans="1:15" x14ac:dyDescent="0.4">
      <c r="A279">
        <v>1168</v>
      </c>
      <c r="B279">
        <v>0</v>
      </c>
      <c r="C279">
        <v>0</v>
      </c>
      <c r="D279">
        <v>10.5</v>
      </c>
      <c r="E279">
        <v>28</v>
      </c>
      <c r="F279">
        <v>0</v>
      </c>
      <c r="G279">
        <v>0</v>
      </c>
      <c r="H279">
        <v>1</v>
      </c>
      <c r="I279">
        <v>0</v>
      </c>
      <c r="J279">
        <v>1</v>
      </c>
      <c r="K279">
        <v>0</v>
      </c>
      <c r="L279">
        <v>0</v>
      </c>
      <c r="M279">
        <v>1</v>
      </c>
      <c r="N279" s="14">
        <f t="shared" si="8"/>
        <v>0</v>
      </c>
      <c r="O279">
        <f t="shared" si="9"/>
        <v>0.25663576123061915</v>
      </c>
    </row>
    <row r="280" spans="1:15" x14ac:dyDescent="0.4">
      <c r="A280">
        <v>1169</v>
      </c>
      <c r="B280">
        <v>1</v>
      </c>
      <c r="C280">
        <v>0</v>
      </c>
      <c r="D280">
        <v>26</v>
      </c>
      <c r="E280">
        <v>40</v>
      </c>
      <c r="F280">
        <v>0</v>
      </c>
      <c r="G280">
        <v>0</v>
      </c>
      <c r="H280">
        <v>1</v>
      </c>
      <c r="I280">
        <v>0</v>
      </c>
      <c r="J280">
        <v>1</v>
      </c>
      <c r="K280">
        <v>0</v>
      </c>
      <c r="L280">
        <v>0</v>
      </c>
      <c r="M280">
        <v>1</v>
      </c>
      <c r="N280" s="14">
        <f t="shared" si="8"/>
        <v>0</v>
      </c>
      <c r="O280">
        <f t="shared" si="9"/>
        <v>0.1404551853034619</v>
      </c>
    </row>
    <row r="281" spans="1:15" x14ac:dyDescent="0.4">
      <c r="A281">
        <v>1170</v>
      </c>
      <c r="B281">
        <v>1</v>
      </c>
      <c r="C281">
        <v>0</v>
      </c>
      <c r="D281">
        <v>21</v>
      </c>
      <c r="E281">
        <v>30</v>
      </c>
      <c r="F281">
        <v>0</v>
      </c>
      <c r="G281">
        <v>0</v>
      </c>
      <c r="H281">
        <v>1</v>
      </c>
      <c r="I281">
        <v>0</v>
      </c>
      <c r="J281">
        <v>1</v>
      </c>
      <c r="K281">
        <v>0</v>
      </c>
      <c r="L281">
        <v>0</v>
      </c>
      <c r="M281">
        <v>1</v>
      </c>
      <c r="N281" s="14">
        <f t="shared" si="8"/>
        <v>0</v>
      </c>
      <c r="O281">
        <f t="shared" si="9"/>
        <v>0.19186257579406868</v>
      </c>
    </row>
    <row r="282" spans="1:15" x14ac:dyDescent="0.4">
      <c r="A282">
        <v>1171</v>
      </c>
      <c r="B282">
        <v>0</v>
      </c>
      <c r="C282">
        <v>0</v>
      </c>
      <c r="D282">
        <v>10.5</v>
      </c>
      <c r="E282">
        <v>22</v>
      </c>
      <c r="F282">
        <v>0</v>
      </c>
      <c r="G282">
        <v>0</v>
      </c>
      <c r="H282">
        <v>1</v>
      </c>
      <c r="I282">
        <v>0</v>
      </c>
      <c r="J282">
        <v>1</v>
      </c>
      <c r="K282">
        <v>0</v>
      </c>
      <c r="L282">
        <v>0</v>
      </c>
      <c r="M282">
        <v>1</v>
      </c>
      <c r="N282" s="14">
        <f t="shared" si="8"/>
        <v>0</v>
      </c>
      <c r="O282">
        <f t="shared" si="9"/>
        <v>0.3031430363017279</v>
      </c>
    </row>
    <row r="283" spans="1:15" x14ac:dyDescent="0.4">
      <c r="A283">
        <v>1172</v>
      </c>
      <c r="B283">
        <v>0</v>
      </c>
      <c r="C283">
        <v>0</v>
      </c>
      <c r="D283">
        <v>8.6624999999999996</v>
      </c>
      <c r="E283">
        <v>23</v>
      </c>
      <c r="F283">
        <v>1</v>
      </c>
      <c r="G283">
        <v>0</v>
      </c>
      <c r="H283">
        <v>0</v>
      </c>
      <c r="I283">
        <v>1</v>
      </c>
      <c r="J283">
        <v>1</v>
      </c>
      <c r="K283">
        <v>0</v>
      </c>
      <c r="L283">
        <v>0</v>
      </c>
      <c r="M283">
        <v>1</v>
      </c>
      <c r="N283" s="14">
        <f t="shared" si="8"/>
        <v>1</v>
      </c>
      <c r="O283">
        <f t="shared" si="9"/>
        <v>0.64901255160235294</v>
      </c>
    </row>
    <row r="284" spans="1:15" x14ac:dyDescent="0.4">
      <c r="A284">
        <v>1173</v>
      </c>
      <c r="B284">
        <v>1</v>
      </c>
      <c r="C284">
        <v>1</v>
      </c>
      <c r="D284">
        <v>13.775</v>
      </c>
      <c r="E284">
        <v>0.75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1</v>
      </c>
      <c r="N284" s="14">
        <f t="shared" si="8"/>
        <v>0</v>
      </c>
      <c r="O284">
        <f t="shared" si="9"/>
        <v>0.16096769556306731</v>
      </c>
    </row>
    <row r="285" spans="1:15" x14ac:dyDescent="0.4">
      <c r="A285">
        <v>1174</v>
      </c>
      <c r="B285">
        <v>0</v>
      </c>
      <c r="C285">
        <v>0</v>
      </c>
      <c r="D285">
        <v>7.75</v>
      </c>
      <c r="E285">
        <v>28</v>
      </c>
      <c r="F285">
        <v>1</v>
      </c>
      <c r="G285">
        <v>0</v>
      </c>
      <c r="H285">
        <v>0</v>
      </c>
      <c r="I285">
        <v>1</v>
      </c>
      <c r="J285">
        <v>0</v>
      </c>
      <c r="K285">
        <v>1</v>
      </c>
      <c r="L285">
        <v>0</v>
      </c>
      <c r="M285">
        <v>1</v>
      </c>
      <c r="N285" s="14">
        <f t="shared" si="8"/>
        <v>1</v>
      </c>
      <c r="O285">
        <f t="shared" si="9"/>
        <v>0.68958390472100084</v>
      </c>
    </row>
    <row r="286" spans="1:15" x14ac:dyDescent="0.4">
      <c r="A286">
        <v>1175</v>
      </c>
      <c r="B286">
        <v>1</v>
      </c>
      <c r="C286">
        <v>1</v>
      </c>
      <c r="D286">
        <v>15.245799999999999</v>
      </c>
      <c r="E286">
        <v>9</v>
      </c>
      <c r="F286">
        <v>1</v>
      </c>
      <c r="G286">
        <v>0</v>
      </c>
      <c r="H286">
        <v>0</v>
      </c>
      <c r="I286">
        <v>1</v>
      </c>
      <c r="J286">
        <v>0</v>
      </c>
      <c r="K286">
        <v>0</v>
      </c>
      <c r="L286">
        <v>1</v>
      </c>
      <c r="M286">
        <v>1</v>
      </c>
      <c r="N286" s="14">
        <f t="shared" si="8"/>
        <v>1</v>
      </c>
      <c r="O286">
        <f t="shared" si="9"/>
        <v>0.76656270554425165</v>
      </c>
    </row>
    <row r="287" spans="1:15" x14ac:dyDescent="0.4">
      <c r="A287">
        <v>1176</v>
      </c>
      <c r="B287">
        <v>1</v>
      </c>
      <c r="C287">
        <v>1</v>
      </c>
      <c r="D287">
        <v>20.212499999999999</v>
      </c>
      <c r="E287">
        <v>2</v>
      </c>
      <c r="F287">
        <v>1</v>
      </c>
      <c r="G287">
        <v>0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1</v>
      </c>
      <c r="N287" s="14">
        <f t="shared" si="8"/>
        <v>1</v>
      </c>
      <c r="O287">
        <f t="shared" si="9"/>
        <v>0.73797279192484122</v>
      </c>
    </row>
    <row r="288" spans="1:15" x14ac:dyDescent="0.4">
      <c r="A288">
        <v>1177</v>
      </c>
      <c r="B288">
        <v>0</v>
      </c>
      <c r="C288">
        <v>0</v>
      </c>
      <c r="D288">
        <v>7.25</v>
      </c>
      <c r="E288">
        <v>36</v>
      </c>
      <c r="F288">
        <v>0</v>
      </c>
      <c r="G288">
        <v>0</v>
      </c>
      <c r="H288">
        <v>0</v>
      </c>
      <c r="I288">
        <v>1</v>
      </c>
      <c r="J288">
        <v>1</v>
      </c>
      <c r="K288">
        <v>0</v>
      </c>
      <c r="L288">
        <v>0</v>
      </c>
      <c r="M288">
        <v>1</v>
      </c>
      <c r="N288" s="14">
        <f t="shared" si="8"/>
        <v>0</v>
      </c>
      <c r="O288">
        <f t="shared" si="9"/>
        <v>6.8558938458598589E-2</v>
      </c>
    </row>
    <row r="289" spans="1:15" x14ac:dyDescent="0.4">
      <c r="A289">
        <v>1178</v>
      </c>
      <c r="B289">
        <v>0</v>
      </c>
      <c r="C289">
        <v>0</v>
      </c>
      <c r="D289">
        <v>7.25</v>
      </c>
      <c r="E289">
        <v>28</v>
      </c>
      <c r="F289">
        <v>0</v>
      </c>
      <c r="G289">
        <v>0</v>
      </c>
      <c r="H289">
        <v>0</v>
      </c>
      <c r="I289">
        <v>1</v>
      </c>
      <c r="J289">
        <v>1</v>
      </c>
      <c r="K289">
        <v>0</v>
      </c>
      <c r="L289">
        <v>0</v>
      </c>
      <c r="M289">
        <v>1</v>
      </c>
      <c r="N289" s="14">
        <f t="shared" si="8"/>
        <v>0</v>
      </c>
      <c r="O289">
        <f t="shared" si="9"/>
        <v>9.1053812475040241E-2</v>
      </c>
    </row>
    <row r="290" spans="1:15" x14ac:dyDescent="0.4">
      <c r="A290">
        <v>1179</v>
      </c>
      <c r="B290">
        <v>1</v>
      </c>
      <c r="C290">
        <v>0</v>
      </c>
      <c r="D290">
        <v>82.2667</v>
      </c>
      <c r="E290">
        <v>24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1</v>
      </c>
      <c r="N290" s="14">
        <f t="shared" si="8"/>
        <v>0</v>
      </c>
      <c r="O290">
        <f t="shared" si="9"/>
        <v>0.46417052048104979</v>
      </c>
    </row>
    <row r="291" spans="1:15" x14ac:dyDescent="0.4">
      <c r="A291">
        <v>1180</v>
      </c>
      <c r="B291">
        <v>0</v>
      </c>
      <c r="C291">
        <v>0</v>
      </c>
      <c r="D291">
        <v>7.2291999999999996</v>
      </c>
      <c r="E291">
        <v>28</v>
      </c>
      <c r="F291">
        <v>0</v>
      </c>
      <c r="G291">
        <v>0</v>
      </c>
      <c r="H291">
        <v>0</v>
      </c>
      <c r="I291">
        <v>1</v>
      </c>
      <c r="J291">
        <v>0</v>
      </c>
      <c r="K291">
        <v>0</v>
      </c>
      <c r="L291">
        <v>1</v>
      </c>
      <c r="M291">
        <v>1</v>
      </c>
      <c r="N291" s="14">
        <f t="shared" si="8"/>
        <v>0</v>
      </c>
      <c r="O291">
        <f t="shared" si="9"/>
        <v>0.13399992402833119</v>
      </c>
    </row>
    <row r="292" spans="1:15" x14ac:dyDescent="0.4">
      <c r="A292">
        <v>1181</v>
      </c>
      <c r="B292">
        <v>0</v>
      </c>
      <c r="C292">
        <v>0</v>
      </c>
      <c r="D292">
        <v>8.0500000000000007</v>
      </c>
      <c r="E292">
        <v>28</v>
      </c>
      <c r="F292">
        <v>0</v>
      </c>
      <c r="G292">
        <v>0</v>
      </c>
      <c r="H292">
        <v>0</v>
      </c>
      <c r="I292">
        <v>1</v>
      </c>
      <c r="J292">
        <v>1</v>
      </c>
      <c r="K292">
        <v>0</v>
      </c>
      <c r="L292">
        <v>0</v>
      </c>
      <c r="M292">
        <v>1</v>
      </c>
      <c r="N292" s="14">
        <f t="shared" si="8"/>
        <v>0</v>
      </c>
      <c r="O292">
        <f t="shared" si="9"/>
        <v>9.1208772698105012E-2</v>
      </c>
    </row>
    <row r="293" spans="1:15" x14ac:dyDescent="0.4">
      <c r="A293">
        <v>1182</v>
      </c>
      <c r="B293">
        <v>0</v>
      </c>
      <c r="C293">
        <v>0</v>
      </c>
      <c r="D293">
        <v>39.6</v>
      </c>
      <c r="E293">
        <v>28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1</v>
      </c>
      <c r="N293" s="14">
        <f t="shared" si="8"/>
        <v>0</v>
      </c>
      <c r="O293">
        <f t="shared" si="9"/>
        <v>0.48112933230649502</v>
      </c>
    </row>
    <row r="294" spans="1:15" x14ac:dyDescent="0.4">
      <c r="A294">
        <v>1183</v>
      </c>
      <c r="B294">
        <v>0</v>
      </c>
      <c r="C294">
        <v>0</v>
      </c>
      <c r="D294">
        <v>6.95</v>
      </c>
      <c r="E294">
        <v>30</v>
      </c>
      <c r="F294">
        <v>1</v>
      </c>
      <c r="G294">
        <v>0</v>
      </c>
      <c r="H294">
        <v>0</v>
      </c>
      <c r="I294">
        <v>1</v>
      </c>
      <c r="J294">
        <v>0</v>
      </c>
      <c r="K294">
        <v>1</v>
      </c>
      <c r="L294">
        <v>0</v>
      </c>
      <c r="M294">
        <v>1</v>
      </c>
      <c r="N294" s="14">
        <f t="shared" si="8"/>
        <v>1</v>
      </c>
      <c r="O294">
        <f t="shared" si="9"/>
        <v>0.67244246981949873</v>
      </c>
    </row>
    <row r="295" spans="1:15" x14ac:dyDescent="0.4">
      <c r="A295">
        <v>1184</v>
      </c>
      <c r="B295">
        <v>0</v>
      </c>
      <c r="C295">
        <v>0</v>
      </c>
      <c r="D295">
        <v>7.2291999999999996</v>
      </c>
      <c r="E295">
        <v>28</v>
      </c>
      <c r="F295">
        <v>0</v>
      </c>
      <c r="G295">
        <v>0</v>
      </c>
      <c r="H295">
        <v>0</v>
      </c>
      <c r="I295">
        <v>1</v>
      </c>
      <c r="J295">
        <v>0</v>
      </c>
      <c r="K295">
        <v>0</v>
      </c>
      <c r="L295">
        <v>1</v>
      </c>
      <c r="M295">
        <v>1</v>
      </c>
      <c r="N295" s="14">
        <f t="shared" si="8"/>
        <v>0</v>
      </c>
      <c r="O295">
        <f t="shared" si="9"/>
        <v>0.13399992402833119</v>
      </c>
    </row>
    <row r="296" spans="1:15" x14ac:dyDescent="0.4">
      <c r="A296">
        <v>1185</v>
      </c>
      <c r="B296">
        <v>1</v>
      </c>
      <c r="C296">
        <v>1</v>
      </c>
      <c r="D296">
        <v>81.8583</v>
      </c>
      <c r="E296">
        <v>53</v>
      </c>
      <c r="F296">
        <v>0</v>
      </c>
      <c r="G296">
        <v>1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1</v>
      </c>
      <c r="N296" s="14">
        <f t="shared" si="8"/>
        <v>0</v>
      </c>
      <c r="O296">
        <f t="shared" si="9"/>
        <v>0.20503479867369798</v>
      </c>
    </row>
    <row r="297" spans="1:15" x14ac:dyDescent="0.4">
      <c r="A297">
        <v>1186</v>
      </c>
      <c r="B297">
        <v>0</v>
      </c>
      <c r="C297">
        <v>0</v>
      </c>
      <c r="D297">
        <v>9.5</v>
      </c>
      <c r="E297">
        <v>36</v>
      </c>
      <c r="F297">
        <v>0</v>
      </c>
      <c r="G297">
        <v>0</v>
      </c>
      <c r="H297">
        <v>0</v>
      </c>
      <c r="I297">
        <v>1</v>
      </c>
      <c r="J297">
        <v>1</v>
      </c>
      <c r="K297">
        <v>0</v>
      </c>
      <c r="L297">
        <v>0</v>
      </c>
      <c r="M297">
        <v>1</v>
      </c>
      <c r="N297" s="14">
        <f t="shared" si="8"/>
        <v>0</v>
      </c>
      <c r="O297">
        <f t="shared" si="9"/>
        <v>6.8895721098889598E-2</v>
      </c>
    </row>
    <row r="298" spans="1:15" x14ac:dyDescent="0.4">
      <c r="A298">
        <v>1187</v>
      </c>
      <c r="B298">
        <v>0</v>
      </c>
      <c r="C298">
        <v>0</v>
      </c>
      <c r="D298">
        <v>7.8958000000000004</v>
      </c>
      <c r="E298">
        <v>26</v>
      </c>
      <c r="F298">
        <v>0</v>
      </c>
      <c r="G298">
        <v>0</v>
      </c>
      <c r="H298">
        <v>0</v>
      </c>
      <c r="I298">
        <v>1</v>
      </c>
      <c r="J298">
        <v>1</v>
      </c>
      <c r="K298">
        <v>0</v>
      </c>
      <c r="L298">
        <v>0</v>
      </c>
      <c r="M298">
        <v>1</v>
      </c>
      <c r="N298" s="14">
        <f t="shared" si="8"/>
        <v>0</v>
      </c>
      <c r="O298">
        <f t="shared" si="9"/>
        <v>9.7768036873388073E-2</v>
      </c>
    </row>
    <row r="299" spans="1:15" x14ac:dyDescent="0.4">
      <c r="A299">
        <v>1188</v>
      </c>
      <c r="B299">
        <v>1</v>
      </c>
      <c r="C299">
        <v>2</v>
      </c>
      <c r="D299">
        <v>41.5792</v>
      </c>
      <c r="E299">
        <v>1</v>
      </c>
      <c r="F299">
        <v>1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1</v>
      </c>
      <c r="M299">
        <v>1</v>
      </c>
      <c r="N299" s="14">
        <f t="shared" si="8"/>
        <v>1</v>
      </c>
      <c r="O299">
        <f t="shared" si="9"/>
        <v>0.93673907701991921</v>
      </c>
    </row>
    <row r="300" spans="1:15" x14ac:dyDescent="0.4">
      <c r="A300">
        <v>1189</v>
      </c>
      <c r="B300">
        <v>2</v>
      </c>
      <c r="C300">
        <v>0</v>
      </c>
      <c r="D300">
        <v>21.679200000000002</v>
      </c>
      <c r="E300">
        <v>28</v>
      </c>
      <c r="F300">
        <v>0</v>
      </c>
      <c r="G300">
        <v>0</v>
      </c>
      <c r="H300">
        <v>0</v>
      </c>
      <c r="I300">
        <v>1</v>
      </c>
      <c r="J300">
        <v>0</v>
      </c>
      <c r="K300">
        <v>0</v>
      </c>
      <c r="L300">
        <v>1</v>
      </c>
      <c r="M300">
        <v>1</v>
      </c>
      <c r="N300" s="14">
        <f t="shared" si="8"/>
        <v>0</v>
      </c>
      <c r="O300">
        <f t="shared" si="9"/>
        <v>7.75499723647287E-2</v>
      </c>
    </row>
    <row r="301" spans="1:15" x14ac:dyDescent="0.4">
      <c r="A301">
        <v>1190</v>
      </c>
      <c r="B301">
        <v>0</v>
      </c>
      <c r="C301">
        <v>0</v>
      </c>
      <c r="D301">
        <v>45.5</v>
      </c>
      <c r="E301">
        <v>30</v>
      </c>
      <c r="F301">
        <v>0</v>
      </c>
      <c r="G301">
        <v>1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1</v>
      </c>
      <c r="N301" s="14">
        <f t="shared" si="8"/>
        <v>0</v>
      </c>
      <c r="O301">
        <f t="shared" si="9"/>
        <v>0.46536266887295996</v>
      </c>
    </row>
    <row r="302" spans="1:15" x14ac:dyDescent="0.4">
      <c r="A302">
        <v>1191</v>
      </c>
      <c r="B302">
        <v>0</v>
      </c>
      <c r="C302">
        <v>0</v>
      </c>
      <c r="D302">
        <v>7.8541999999999996</v>
      </c>
      <c r="E302">
        <v>29</v>
      </c>
      <c r="F302">
        <v>0</v>
      </c>
      <c r="G302">
        <v>0</v>
      </c>
      <c r="H302">
        <v>0</v>
      </c>
      <c r="I302">
        <v>1</v>
      </c>
      <c r="J302">
        <v>1</v>
      </c>
      <c r="K302">
        <v>0</v>
      </c>
      <c r="L302">
        <v>0</v>
      </c>
      <c r="M302">
        <v>1</v>
      </c>
      <c r="N302" s="14">
        <f t="shared" si="8"/>
        <v>0</v>
      </c>
      <c r="O302">
        <f t="shared" si="9"/>
        <v>8.8028532976511878E-2</v>
      </c>
    </row>
    <row r="303" spans="1:15" x14ac:dyDescent="0.4">
      <c r="A303">
        <v>1192</v>
      </c>
      <c r="B303">
        <v>0</v>
      </c>
      <c r="C303">
        <v>0</v>
      </c>
      <c r="D303">
        <v>7.7750000000000004</v>
      </c>
      <c r="E303">
        <v>32</v>
      </c>
      <c r="F303">
        <v>0</v>
      </c>
      <c r="G303">
        <v>0</v>
      </c>
      <c r="H303">
        <v>0</v>
      </c>
      <c r="I303">
        <v>1</v>
      </c>
      <c r="J303">
        <v>1</v>
      </c>
      <c r="K303">
        <v>0</v>
      </c>
      <c r="L303">
        <v>0</v>
      </c>
      <c r="M303">
        <v>1</v>
      </c>
      <c r="N303" s="14">
        <f t="shared" si="8"/>
        <v>0</v>
      </c>
      <c r="O303">
        <f t="shared" si="9"/>
        <v>7.9167711583290848E-2</v>
      </c>
    </row>
    <row r="304" spans="1:15" x14ac:dyDescent="0.4">
      <c r="A304">
        <v>1193</v>
      </c>
      <c r="B304">
        <v>0</v>
      </c>
      <c r="C304">
        <v>0</v>
      </c>
      <c r="D304">
        <v>15.0458</v>
      </c>
      <c r="E304">
        <v>28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1</v>
      </c>
      <c r="M304">
        <v>1</v>
      </c>
      <c r="N304" s="14">
        <f t="shared" si="8"/>
        <v>0</v>
      </c>
      <c r="O304">
        <f t="shared" si="9"/>
        <v>0.35022296181583884</v>
      </c>
    </row>
    <row r="305" spans="1:15" x14ac:dyDescent="0.4">
      <c r="A305">
        <v>1194</v>
      </c>
      <c r="B305">
        <v>0</v>
      </c>
      <c r="C305">
        <v>1</v>
      </c>
      <c r="D305">
        <v>21</v>
      </c>
      <c r="E305">
        <v>43</v>
      </c>
      <c r="F305">
        <v>0</v>
      </c>
      <c r="G305">
        <v>0</v>
      </c>
      <c r="H305">
        <v>1</v>
      </c>
      <c r="I305">
        <v>0</v>
      </c>
      <c r="J305">
        <v>1</v>
      </c>
      <c r="K305">
        <v>0</v>
      </c>
      <c r="L305">
        <v>0</v>
      </c>
      <c r="M305">
        <v>1</v>
      </c>
      <c r="N305" s="14">
        <f t="shared" si="8"/>
        <v>0</v>
      </c>
      <c r="O305">
        <f t="shared" si="9"/>
        <v>0.15313577688233534</v>
      </c>
    </row>
    <row r="306" spans="1:15" x14ac:dyDescent="0.4">
      <c r="A306">
        <v>1195</v>
      </c>
      <c r="B306">
        <v>0</v>
      </c>
      <c r="C306">
        <v>0</v>
      </c>
      <c r="D306">
        <v>8.6624999999999996</v>
      </c>
      <c r="E306">
        <v>24</v>
      </c>
      <c r="F306">
        <v>0</v>
      </c>
      <c r="G306">
        <v>0</v>
      </c>
      <c r="H306">
        <v>0</v>
      </c>
      <c r="I306">
        <v>1</v>
      </c>
      <c r="J306">
        <v>1</v>
      </c>
      <c r="K306">
        <v>0</v>
      </c>
      <c r="L306">
        <v>0</v>
      </c>
      <c r="M306">
        <v>1</v>
      </c>
      <c r="N306" s="14">
        <f t="shared" si="8"/>
        <v>0</v>
      </c>
      <c r="O306">
        <f t="shared" si="9"/>
        <v>0.10494676790260705</v>
      </c>
    </row>
    <row r="307" spans="1:15" x14ac:dyDescent="0.4">
      <c r="A307">
        <v>1196</v>
      </c>
      <c r="B307">
        <v>0</v>
      </c>
      <c r="C307">
        <v>0</v>
      </c>
      <c r="D307">
        <v>7.75</v>
      </c>
      <c r="E307">
        <v>28</v>
      </c>
      <c r="F307">
        <v>1</v>
      </c>
      <c r="G307">
        <v>0</v>
      </c>
      <c r="H307">
        <v>0</v>
      </c>
      <c r="I307">
        <v>1</v>
      </c>
      <c r="J307">
        <v>0</v>
      </c>
      <c r="K307">
        <v>1</v>
      </c>
      <c r="L307">
        <v>0</v>
      </c>
      <c r="M307">
        <v>1</v>
      </c>
      <c r="N307" s="14">
        <f t="shared" si="8"/>
        <v>1</v>
      </c>
      <c r="O307">
        <f t="shared" si="9"/>
        <v>0.68958390472100084</v>
      </c>
    </row>
    <row r="308" spans="1:15" x14ac:dyDescent="0.4">
      <c r="A308">
        <v>1197</v>
      </c>
      <c r="B308">
        <v>1</v>
      </c>
      <c r="C308">
        <v>1</v>
      </c>
      <c r="D308">
        <v>26.55</v>
      </c>
      <c r="E308">
        <v>64</v>
      </c>
      <c r="F308">
        <v>1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1</v>
      </c>
      <c r="N308" s="14">
        <f t="shared" si="8"/>
        <v>1</v>
      </c>
      <c r="O308">
        <f t="shared" si="9"/>
        <v>0.69239952461432985</v>
      </c>
    </row>
    <row r="309" spans="1:15" x14ac:dyDescent="0.4">
      <c r="A309">
        <v>1198</v>
      </c>
      <c r="B309">
        <v>1</v>
      </c>
      <c r="C309">
        <v>2</v>
      </c>
      <c r="D309">
        <v>151.55000000000001</v>
      </c>
      <c r="E309">
        <v>30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1</v>
      </c>
      <c r="N309" s="14">
        <f t="shared" si="8"/>
        <v>0</v>
      </c>
      <c r="O309">
        <f t="shared" si="9"/>
        <v>0.40145419742139149</v>
      </c>
    </row>
    <row r="310" spans="1:15" x14ac:dyDescent="0.4">
      <c r="A310">
        <v>1199</v>
      </c>
      <c r="B310">
        <v>0</v>
      </c>
      <c r="C310">
        <v>1</v>
      </c>
      <c r="D310">
        <v>9.35</v>
      </c>
      <c r="E310">
        <v>0.83</v>
      </c>
      <c r="F310">
        <v>0</v>
      </c>
      <c r="G310">
        <v>0</v>
      </c>
      <c r="H310">
        <v>0</v>
      </c>
      <c r="I310">
        <v>1</v>
      </c>
      <c r="J310">
        <v>1</v>
      </c>
      <c r="K310">
        <v>0</v>
      </c>
      <c r="L310">
        <v>0</v>
      </c>
      <c r="M310">
        <v>1</v>
      </c>
      <c r="N310" s="14">
        <f t="shared" si="8"/>
        <v>0</v>
      </c>
      <c r="O310">
        <f t="shared" si="9"/>
        <v>0.20709152848068976</v>
      </c>
    </row>
    <row r="311" spans="1:15" x14ac:dyDescent="0.4">
      <c r="A311">
        <v>1200</v>
      </c>
      <c r="B311">
        <v>1</v>
      </c>
      <c r="C311">
        <v>1</v>
      </c>
      <c r="D311">
        <v>93.5</v>
      </c>
      <c r="E311">
        <v>55</v>
      </c>
      <c r="F311">
        <v>0</v>
      </c>
      <c r="G311">
        <v>1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1</v>
      </c>
      <c r="N311" s="14">
        <f t="shared" si="8"/>
        <v>0</v>
      </c>
      <c r="O311">
        <f t="shared" si="9"/>
        <v>0.19703275048449428</v>
      </c>
    </row>
    <row r="312" spans="1:15" x14ac:dyDescent="0.4">
      <c r="A312">
        <v>1201</v>
      </c>
      <c r="B312">
        <v>1</v>
      </c>
      <c r="C312">
        <v>0</v>
      </c>
      <c r="D312">
        <v>14.1083</v>
      </c>
      <c r="E312">
        <v>45</v>
      </c>
      <c r="F312">
        <v>1</v>
      </c>
      <c r="G312">
        <v>0</v>
      </c>
      <c r="H312">
        <v>0</v>
      </c>
      <c r="I312">
        <v>1</v>
      </c>
      <c r="J312">
        <v>1</v>
      </c>
      <c r="K312">
        <v>0</v>
      </c>
      <c r="L312">
        <v>0</v>
      </c>
      <c r="M312">
        <v>1</v>
      </c>
      <c r="N312" s="14">
        <f t="shared" si="8"/>
        <v>0</v>
      </c>
      <c r="O312">
        <f t="shared" si="9"/>
        <v>0.36771024696973348</v>
      </c>
    </row>
    <row r="313" spans="1:15" x14ac:dyDescent="0.4">
      <c r="A313">
        <v>1202</v>
      </c>
      <c r="B313">
        <v>0</v>
      </c>
      <c r="C313">
        <v>0</v>
      </c>
      <c r="D313">
        <v>8.6624999999999996</v>
      </c>
      <c r="E313">
        <v>18</v>
      </c>
      <c r="F313">
        <v>0</v>
      </c>
      <c r="G313">
        <v>0</v>
      </c>
      <c r="H313">
        <v>0</v>
      </c>
      <c r="I313">
        <v>1</v>
      </c>
      <c r="J313">
        <v>1</v>
      </c>
      <c r="K313">
        <v>0</v>
      </c>
      <c r="L313">
        <v>0</v>
      </c>
      <c r="M313">
        <v>1</v>
      </c>
      <c r="N313" s="14">
        <f t="shared" si="8"/>
        <v>0</v>
      </c>
      <c r="O313">
        <f t="shared" si="9"/>
        <v>0.12872525770664892</v>
      </c>
    </row>
    <row r="314" spans="1:15" x14ac:dyDescent="0.4">
      <c r="A314">
        <v>1203</v>
      </c>
      <c r="B314">
        <v>0</v>
      </c>
      <c r="C314">
        <v>0</v>
      </c>
      <c r="D314">
        <v>7.2249999999999996</v>
      </c>
      <c r="E314">
        <v>22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0</v>
      </c>
      <c r="L314">
        <v>1</v>
      </c>
      <c r="M314">
        <v>1</v>
      </c>
      <c r="N314" s="14">
        <f t="shared" si="8"/>
        <v>0</v>
      </c>
      <c r="O314">
        <f t="shared" si="9"/>
        <v>0.16315985327888863</v>
      </c>
    </row>
    <row r="315" spans="1:15" x14ac:dyDescent="0.4">
      <c r="A315">
        <v>1204</v>
      </c>
      <c r="B315">
        <v>0</v>
      </c>
      <c r="C315">
        <v>0</v>
      </c>
      <c r="D315">
        <v>7.5750000000000002</v>
      </c>
      <c r="E315">
        <v>28</v>
      </c>
      <c r="F315">
        <v>0</v>
      </c>
      <c r="G315">
        <v>0</v>
      </c>
      <c r="H315">
        <v>0</v>
      </c>
      <c r="I315">
        <v>1</v>
      </c>
      <c r="J315">
        <v>1</v>
      </c>
      <c r="K315">
        <v>0</v>
      </c>
      <c r="L315">
        <v>0</v>
      </c>
      <c r="M315">
        <v>1</v>
      </c>
      <c r="N315" s="14">
        <f t="shared" si="8"/>
        <v>0</v>
      </c>
      <c r="O315">
        <f t="shared" si="9"/>
        <v>9.1116736474147822E-2</v>
      </c>
    </row>
    <row r="316" spans="1:15" x14ac:dyDescent="0.4">
      <c r="A316">
        <v>1205</v>
      </c>
      <c r="B316">
        <v>0</v>
      </c>
      <c r="C316">
        <v>0</v>
      </c>
      <c r="D316">
        <v>7.75</v>
      </c>
      <c r="E316">
        <v>37</v>
      </c>
      <c r="F316">
        <v>1</v>
      </c>
      <c r="G316">
        <v>0</v>
      </c>
      <c r="H316">
        <v>0</v>
      </c>
      <c r="I316">
        <v>1</v>
      </c>
      <c r="J316">
        <v>0</v>
      </c>
      <c r="K316">
        <v>1</v>
      </c>
      <c r="L316">
        <v>0</v>
      </c>
      <c r="M316">
        <v>1</v>
      </c>
      <c r="N316" s="14">
        <f t="shared" si="8"/>
        <v>1</v>
      </c>
      <c r="O316">
        <f t="shared" si="9"/>
        <v>0.61098282162204687</v>
      </c>
    </row>
    <row r="317" spans="1:15" x14ac:dyDescent="0.4">
      <c r="A317">
        <v>1206</v>
      </c>
      <c r="B317">
        <v>0</v>
      </c>
      <c r="C317">
        <v>0</v>
      </c>
      <c r="D317">
        <v>135.63329999999999</v>
      </c>
      <c r="E317">
        <v>55</v>
      </c>
      <c r="F317">
        <v>1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1</v>
      </c>
      <c r="N317" s="14">
        <f t="shared" si="8"/>
        <v>1</v>
      </c>
      <c r="O317">
        <f t="shared" si="9"/>
        <v>0.90579364214944724</v>
      </c>
    </row>
    <row r="318" spans="1:15" x14ac:dyDescent="0.4">
      <c r="A318">
        <v>1207</v>
      </c>
      <c r="B318">
        <v>0</v>
      </c>
      <c r="C318">
        <v>0</v>
      </c>
      <c r="D318">
        <v>7.7332999999999998</v>
      </c>
      <c r="E318">
        <v>17</v>
      </c>
      <c r="F318">
        <v>1</v>
      </c>
      <c r="G318">
        <v>0</v>
      </c>
      <c r="H318">
        <v>0</v>
      </c>
      <c r="I318">
        <v>1</v>
      </c>
      <c r="J318">
        <v>0</v>
      </c>
      <c r="K318">
        <v>1</v>
      </c>
      <c r="L318">
        <v>0</v>
      </c>
      <c r="M318">
        <v>1</v>
      </c>
      <c r="N318" s="14">
        <f t="shared" si="8"/>
        <v>1</v>
      </c>
      <c r="O318">
        <f t="shared" si="9"/>
        <v>0.77240056445667427</v>
      </c>
    </row>
    <row r="319" spans="1:15" x14ac:dyDescent="0.4">
      <c r="A319">
        <v>1208</v>
      </c>
      <c r="B319">
        <v>1</v>
      </c>
      <c r="C319">
        <v>0</v>
      </c>
      <c r="D319">
        <v>146.52080000000001</v>
      </c>
      <c r="E319">
        <v>57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1</v>
      </c>
      <c r="N319" s="14">
        <f t="shared" si="8"/>
        <v>0</v>
      </c>
      <c r="O319">
        <f t="shared" si="9"/>
        <v>0.30368727512171112</v>
      </c>
    </row>
    <row r="320" spans="1:15" x14ac:dyDescent="0.4">
      <c r="A320">
        <v>1209</v>
      </c>
      <c r="B320">
        <v>0</v>
      </c>
      <c r="C320">
        <v>0</v>
      </c>
      <c r="D320">
        <v>10.5</v>
      </c>
      <c r="E320">
        <v>19</v>
      </c>
      <c r="F320">
        <v>0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1</v>
      </c>
      <c r="N320" s="14">
        <f t="shared" si="8"/>
        <v>0</v>
      </c>
      <c r="O320">
        <f t="shared" si="9"/>
        <v>0.32809826605139775</v>
      </c>
    </row>
    <row r="321" spans="1:15" x14ac:dyDescent="0.4">
      <c r="A321">
        <v>1210</v>
      </c>
      <c r="B321">
        <v>0</v>
      </c>
      <c r="C321">
        <v>0</v>
      </c>
      <c r="D321">
        <v>7.8541999999999996</v>
      </c>
      <c r="E321">
        <v>27</v>
      </c>
      <c r="F321">
        <v>0</v>
      </c>
      <c r="G321">
        <v>0</v>
      </c>
      <c r="H321">
        <v>0</v>
      </c>
      <c r="I321">
        <v>1</v>
      </c>
      <c r="J321">
        <v>1</v>
      </c>
      <c r="K321">
        <v>0</v>
      </c>
      <c r="L321">
        <v>0</v>
      </c>
      <c r="M321">
        <v>1</v>
      </c>
      <c r="N321" s="14">
        <f t="shared" si="8"/>
        <v>0</v>
      </c>
      <c r="O321">
        <f t="shared" si="9"/>
        <v>9.4413671249547734E-2</v>
      </c>
    </row>
    <row r="322" spans="1:15" x14ac:dyDescent="0.4">
      <c r="A322">
        <v>1211</v>
      </c>
      <c r="B322">
        <v>2</v>
      </c>
      <c r="C322">
        <v>0</v>
      </c>
      <c r="D322">
        <v>31.5</v>
      </c>
      <c r="E322">
        <v>22</v>
      </c>
      <c r="F322">
        <v>0</v>
      </c>
      <c r="G322">
        <v>0</v>
      </c>
      <c r="H322">
        <v>1</v>
      </c>
      <c r="I322">
        <v>0</v>
      </c>
      <c r="J322">
        <v>1</v>
      </c>
      <c r="K322">
        <v>0</v>
      </c>
      <c r="L322">
        <v>0</v>
      </c>
      <c r="M322">
        <v>1</v>
      </c>
      <c r="N322" s="14">
        <f t="shared" si="8"/>
        <v>0</v>
      </c>
      <c r="O322">
        <f t="shared" si="9"/>
        <v>0.19354746124995922</v>
      </c>
    </row>
    <row r="323" spans="1:15" x14ac:dyDescent="0.4">
      <c r="A323">
        <v>1212</v>
      </c>
      <c r="B323">
        <v>0</v>
      </c>
      <c r="C323">
        <v>0</v>
      </c>
      <c r="D323">
        <v>7.7750000000000004</v>
      </c>
      <c r="E323">
        <v>26</v>
      </c>
      <c r="F323">
        <v>0</v>
      </c>
      <c r="G323">
        <v>0</v>
      </c>
      <c r="H323">
        <v>0</v>
      </c>
      <c r="I323">
        <v>1</v>
      </c>
      <c r="J323">
        <v>1</v>
      </c>
      <c r="K323">
        <v>0</v>
      </c>
      <c r="L323">
        <v>0</v>
      </c>
      <c r="M323">
        <v>1</v>
      </c>
      <c r="N323" s="14">
        <f t="shared" si="8"/>
        <v>0</v>
      </c>
      <c r="O323">
        <f t="shared" si="9"/>
        <v>9.7743119953979718E-2</v>
      </c>
    </row>
    <row r="324" spans="1:15" x14ac:dyDescent="0.4">
      <c r="A324">
        <v>1213</v>
      </c>
      <c r="B324">
        <v>0</v>
      </c>
      <c r="C324">
        <v>0</v>
      </c>
      <c r="D324">
        <v>7.2291999999999996</v>
      </c>
      <c r="E324">
        <v>25</v>
      </c>
      <c r="F324">
        <v>0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1</v>
      </c>
      <c r="N324" s="14">
        <f t="shared" ref="N324:N387" si="10">IF(O324&gt;0.5,1,0)</f>
        <v>0</v>
      </c>
      <c r="O324">
        <f t="shared" ref="O324:O387" si="11">1/(1+EXP(-SUMPRODUCT(_xlfn.ANCHORARRAY(B$1),$B324:$M324)))</f>
        <v>0.14798801571048634</v>
      </c>
    </row>
    <row r="325" spans="1:15" x14ac:dyDescent="0.4">
      <c r="A325">
        <v>1214</v>
      </c>
      <c r="B325">
        <v>0</v>
      </c>
      <c r="C325">
        <v>0</v>
      </c>
      <c r="D325">
        <v>13</v>
      </c>
      <c r="E325">
        <v>26</v>
      </c>
      <c r="F325">
        <v>0</v>
      </c>
      <c r="G325">
        <v>0</v>
      </c>
      <c r="H325">
        <v>1</v>
      </c>
      <c r="I325">
        <v>0</v>
      </c>
      <c r="J325">
        <v>1</v>
      </c>
      <c r="K325">
        <v>0</v>
      </c>
      <c r="L325">
        <v>0</v>
      </c>
      <c r="M325">
        <v>1</v>
      </c>
      <c r="N325" s="14">
        <f t="shared" si="10"/>
        <v>0</v>
      </c>
      <c r="O325">
        <f t="shared" si="11"/>
        <v>0.27276663920530242</v>
      </c>
    </row>
    <row r="326" spans="1:15" x14ac:dyDescent="0.4">
      <c r="A326">
        <v>1215</v>
      </c>
      <c r="B326">
        <v>0</v>
      </c>
      <c r="C326">
        <v>0</v>
      </c>
      <c r="D326">
        <v>26.55</v>
      </c>
      <c r="E326">
        <v>33</v>
      </c>
      <c r="F326">
        <v>0</v>
      </c>
      <c r="G326">
        <v>1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1</v>
      </c>
      <c r="N326" s="14">
        <f t="shared" si="10"/>
        <v>0</v>
      </c>
      <c r="O326">
        <f t="shared" si="11"/>
        <v>0.42588383910365019</v>
      </c>
    </row>
    <row r="327" spans="1:15" x14ac:dyDescent="0.4">
      <c r="A327">
        <v>1216</v>
      </c>
      <c r="B327">
        <v>0</v>
      </c>
      <c r="C327">
        <v>0</v>
      </c>
      <c r="D327">
        <v>211.33750000000001</v>
      </c>
      <c r="E327">
        <v>39</v>
      </c>
      <c r="F327">
        <v>1</v>
      </c>
      <c r="G327">
        <v>1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1</v>
      </c>
      <c r="N327" s="14">
        <f t="shared" si="10"/>
        <v>1</v>
      </c>
      <c r="O327">
        <f t="shared" si="11"/>
        <v>0.9322601791336369</v>
      </c>
    </row>
    <row r="328" spans="1:15" x14ac:dyDescent="0.4">
      <c r="A328">
        <v>1217</v>
      </c>
      <c r="B328">
        <v>0</v>
      </c>
      <c r="C328">
        <v>0</v>
      </c>
      <c r="D328">
        <v>7.05</v>
      </c>
      <c r="E328">
        <v>23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1</v>
      </c>
      <c r="N328" s="14">
        <f t="shared" si="10"/>
        <v>0</v>
      </c>
      <c r="O328">
        <f t="shared" si="11"/>
        <v>0.10825646389559442</v>
      </c>
    </row>
    <row r="329" spans="1:15" x14ac:dyDescent="0.4">
      <c r="A329">
        <v>1218</v>
      </c>
      <c r="B329">
        <v>2</v>
      </c>
      <c r="C329">
        <v>1</v>
      </c>
      <c r="D329">
        <v>39</v>
      </c>
      <c r="E329">
        <v>12</v>
      </c>
      <c r="F329">
        <v>1</v>
      </c>
      <c r="G329">
        <v>0</v>
      </c>
      <c r="H329">
        <v>1</v>
      </c>
      <c r="I329">
        <v>0</v>
      </c>
      <c r="J329">
        <v>1</v>
      </c>
      <c r="K329">
        <v>0</v>
      </c>
      <c r="L329">
        <v>0</v>
      </c>
      <c r="M329">
        <v>1</v>
      </c>
      <c r="N329" s="14">
        <f t="shared" si="10"/>
        <v>1</v>
      </c>
      <c r="O329">
        <f t="shared" si="11"/>
        <v>0.83228628280128314</v>
      </c>
    </row>
    <row r="330" spans="1:15" x14ac:dyDescent="0.4">
      <c r="A330">
        <v>1219</v>
      </c>
      <c r="B330">
        <v>0</v>
      </c>
      <c r="C330">
        <v>0</v>
      </c>
      <c r="D330">
        <v>79.2</v>
      </c>
      <c r="E330">
        <v>46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1</v>
      </c>
      <c r="N330" s="14">
        <f t="shared" si="10"/>
        <v>0</v>
      </c>
      <c r="O330">
        <f t="shared" si="11"/>
        <v>0.43990947308185241</v>
      </c>
    </row>
    <row r="331" spans="1:15" x14ac:dyDescent="0.4">
      <c r="A331">
        <v>1220</v>
      </c>
      <c r="B331">
        <v>1</v>
      </c>
      <c r="C331">
        <v>0</v>
      </c>
      <c r="D331">
        <v>26</v>
      </c>
      <c r="E331">
        <v>29</v>
      </c>
      <c r="F331">
        <v>0</v>
      </c>
      <c r="G331">
        <v>0</v>
      </c>
      <c r="H331">
        <v>1</v>
      </c>
      <c r="I331">
        <v>0</v>
      </c>
      <c r="J331">
        <v>1</v>
      </c>
      <c r="K331">
        <v>0</v>
      </c>
      <c r="L331">
        <v>0</v>
      </c>
      <c r="M331">
        <v>1</v>
      </c>
      <c r="N331" s="14">
        <f t="shared" si="10"/>
        <v>0</v>
      </c>
      <c r="O331">
        <f t="shared" si="11"/>
        <v>0.19976973866824657</v>
      </c>
    </row>
    <row r="332" spans="1:15" x14ac:dyDescent="0.4">
      <c r="A332">
        <v>1221</v>
      </c>
      <c r="B332">
        <v>0</v>
      </c>
      <c r="C332">
        <v>0</v>
      </c>
      <c r="D332">
        <v>13</v>
      </c>
      <c r="E332">
        <v>21</v>
      </c>
      <c r="F332">
        <v>0</v>
      </c>
      <c r="G332">
        <v>0</v>
      </c>
      <c r="H332">
        <v>1</v>
      </c>
      <c r="I332">
        <v>0</v>
      </c>
      <c r="J332">
        <v>1</v>
      </c>
      <c r="K332">
        <v>0</v>
      </c>
      <c r="L332">
        <v>0</v>
      </c>
      <c r="M332">
        <v>1</v>
      </c>
      <c r="N332" s="14">
        <f t="shared" si="10"/>
        <v>0</v>
      </c>
      <c r="O332">
        <f t="shared" si="11"/>
        <v>0.31259755047551208</v>
      </c>
    </row>
    <row r="333" spans="1:15" x14ac:dyDescent="0.4">
      <c r="A333">
        <v>1222</v>
      </c>
      <c r="B333">
        <v>0</v>
      </c>
      <c r="C333">
        <v>2</v>
      </c>
      <c r="D333">
        <v>36.75</v>
      </c>
      <c r="E333">
        <v>48</v>
      </c>
      <c r="F333">
        <v>1</v>
      </c>
      <c r="G333">
        <v>0</v>
      </c>
      <c r="H333">
        <v>1</v>
      </c>
      <c r="I333">
        <v>0</v>
      </c>
      <c r="J333">
        <v>1</v>
      </c>
      <c r="K333">
        <v>0</v>
      </c>
      <c r="L333">
        <v>0</v>
      </c>
      <c r="M333">
        <v>1</v>
      </c>
      <c r="N333" s="14">
        <f t="shared" si="10"/>
        <v>1</v>
      </c>
      <c r="O333">
        <f t="shared" si="11"/>
        <v>0.68140502419989302</v>
      </c>
    </row>
    <row r="334" spans="1:15" x14ac:dyDescent="0.4">
      <c r="A334">
        <v>1223</v>
      </c>
      <c r="B334">
        <v>0</v>
      </c>
      <c r="C334">
        <v>0</v>
      </c>
      <c r="D334">
        <v>29.7</v>
      </c>
      <c r="E334">
        <v>39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1</v>
      </c>
      <c r="N334" s="14">
        <f t="shared" si="10"/>
        <v>0</v>
      </c>
      <c r="O334">
        <f t="shared" si="11"/>
        <v>0.4781106838300791</v>
      </c>
    </row>
    <row r="335" spans="1:15" x14ac:dyDescent="0.4">
      <c r="A335">
        <v>1224</v>
      </c>
      <c r="B335">
        <v>0</v>
      </c>
      <c r="C335">
        <v>0</v>
      </c>
      <c r="D335">
        <v>7.2249999999999996</v>
      </c>
      <c r="E335">
        <v>28</v>
      </c>
      <c r="F335">
        <v>0</v>
      </c>
      <c r="G335">
        <v>0</v>
      </c>
      <c r="H335">
        <v>0</v>
      </c>
      <c r="I335">
        <v>1</v>
      </c>
      <c r="J335">
        <v>0</v>
      </c>
      <c r="K335">
        <v>0</v>
      </c>
      <c r="L335">
        <v>1</v>
      </c>
      <c r="M335">
        <v>1</v>
      </c>
      <c r="N335" s="14">
        <f t="shared" si="10"/>
        <v>0</v>
      </c>
      <c r="O335">
        <f t="shared" si="11"/>
        <v>0.13399878421988354</v>
      </c>
    </row>
    <row r="336" spans="1:15" x14ac:dyDescent="0.4">
      <c r="A336">
        <v>1225</v>
      </c>
      <c r="B336">
        <v>1</v>
      </c>
      <c r="C336">
        <v>1</v>
      </c>
      <c r="D336">
        <v>15.7417</v>
      </c>
      <c r="E336">
        <v>19</v>
      </c>
      <c r="F336">
        <v>1</v>
      </c>
      <c r="G336">
        <v>0</v>
      </c>
      <c r="H336">
        <v>0</v>
      </c>
      <c r="I336">
        <v>1</v>
      </c>
      <c r="J336">
        <v>0</v>
      </c>
      <c r="K336">
        <v>0</v>
      </c>
      <c r="L336">
        <v>1</v>
      </c>
      <c r="M336">
        <v>1</v>
      </c>
      <c r="N336" s="14">
        <f t="shared" si="10"/>
        <v>1</v>
      </c>
      <c r="O336">
        <f t="shared" si="11"/>
        <v>0.69102333736827615</v>
      </c>
    </row>
    <row r="337" spans="1:15" x14ac:dyDescent="0.4">
      <c r="A337">
        <v>1226</v>
      </c>
      <c r="B337">
        <v>0</v>
      </c>
      <c r="C337">
        <v>0</v>
      </c>
      <c r="D337">
        <v>7.8958000000000004</v>
      </c>
      <c r="E337">
        <v>27</v>
      </c>
      <c r="F337">
        <v>0</v>
      </c>
      <c r="G337">
        <v>0</v>
      </c>
      <c r="H337">
        <v>0</v>
      </c>
      <c r="I337">
        <v>1</v>
      </c>
      <c r="J337">
        <v>1</v>
      </c>
      <c r="K337">
        <v>0</v>
      </c>
      <c r="L337">
        <v>0</v>
      </c>
      <c r="M337">
        <v>1</v>
      </c>
      <c r="N337" s="14">
        <f t="shared" si="10"/>
        <v>0</v>
      </c>
      <c r="O337">
        <f t="shared" si="11"/>
        <v>9.4421989593427111E-2</v>
      </c>
    </row>
    <row r="338" spans="1:15" x14ac:dyDescent="0.4">
      <c r="A338">
        <v>1227</v>
      </c>
      <c r="B338">
        <v>0</v>
      </c>
      <c r="C338">
        <v>0</v>
      </c>
      <c r="D338">
        <v>26</v>
      </c>
      <c r="E338">
        <v>30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1</v>
      </c>
      <c r="N338" s="14">
        <f t="shared" si="10"/>
        <v>0</v>
      </c>
      <c r="O338">
        <f t="shared" si="11"/>
        <v>0.45403640969799325</v>
      </c>
    </row>
    <row r="339" spans="1:15" x14ac:dyDescent="0.4">
      <c r="A339">
        <v>1228</v>
      </c>
      <c r="B339">
        <v>0</v>
      </c>
      <c r="C339">
        <v>0</v>
      </c>
      <c r="D339">
        <v>13</v>
      </c>
      <c r="E339">
        <v>32</v>
      </c>
      <c r="F339">
        <v>0</v>
      </c>
      <c r="G339">
        <v>0</v>
      </c>
      <c r="H339">
        <v>1</v>
      </c>
      <c r="I339">
        <v>0</v>
      </c>
      <c r="J339">
        <v>1</v>
      </c>
      <c r="K339">
        <v>0</v>
      </c>
      <c r="L339">
        <v>0</v>
      </c>
      <c r="M339">
        <v>1</v>
      </c>
      <c r="N339" s="14">
        <f t="shared" si="10"/>
        <v>0</v>
      </c>
      <c r="O339">
        <f t="shared" si="11"/>
        <v>0.22938559418024088</v>
      </c>
    </row>
    <row r="340" spans="1:15" x14ac:dyDescent="0.4">
      <c r="A340">
        <v>1229</v>
      </c>
      <c r="B340">
        <v>0</v>
      </c>
      <c r="C340">
        <v>2</v>
      </c>
      <c r="D340">
        <v>7.2291999999999996</v>
      </c>
      <c r="E340">
        <v>39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0</v>
      </c>
      <c r="L340">
        <v>1</v>
      </c>
      <c r="M340">
        <v>1</v>
      </c>
      <c r="N340" s="14">
        <f t="shared" si="10"/>
        <v>0</v>
      </c>
      <c r="O340">
        <f t="shared" si="11"/>
        <v>7.751877363254725E-2</v>
      </c>
    </row>
    <row r="341" spans="1:15" x14ac:dyDescent="0.4">
      <c r="A341">
        <v>1230</v>
      </c>
      <c r="B341">
        <v>0</v>
      </c>
      <c r="C341">
        <v>0</v>
      </c>
      <c r="D341">
        <v>31.5</v>
      </c>
      <c r="E341">
        <v>25</v>
      </c>
      <c r="F341">
        <v>0</v>
      </c>
      <c r="G341">
        <v>0</v>
      </c>
      <c r="H341">
        <v>1</v>
      </c>
      <c r="I341">
        <v>0</v>
      </c>
      <c r="J341">
        <v>1</v>
      </c>
      <c r="K341">
        <v>0</v>
      </c>
      <c r="L341">
        <v>0</v>
      </c>
      <c r="M341">
        <v>1</v>
      </c>
      <c r="N341" s="14">
        <f t="shared" si="10"/>
        <v>0</v>
      </c>
      <c r="O341">
        <f t="shared" si="11"/>
        <v>0.2892888062503019</v>
      </c>
    </row>
    <row r="342" spans="1:15" x14ac:dyDescent="0.4">
      <c r="A342">
        <v>1231</v>
      </c>
      <c r="B342">
        <v>0</v>
      </c>
      <c r="C342">
        <v>0</v>
      </c>
      <c r="D342">
        <v>7.2291999999999996</v>
      </c>
      <c r="E342">
        <v>28</v>
      </c>
      <c r="F342">
        <v>0</v>
      </c>
      <c r="G342">
        <v>0</v>
      </c>
      <c r="H342">
        <v>0</v>
      </c>
      <c r="I342">
        <v>1</v>
      </c>
      <c r="J342">
        <v>0</v>
      </c>
      <c r="K342">
        <v>0</v>
      </c>
      <c r="L342">
        <v>1</v>
      </c>
      <c r="M342">
        <v>1</v>
      </c>
      <c r="N342" s="14">
        <f t="shared" si="10"/>
        <v>0</v>
      </c>
      <c r="O342">
        <f t="shared" si="11"/>
        <v>0.13399992402833119</v>
      </c>
    </row>
    <row r="343" spans="1:15" x14ac:dyDescent="0.4">
      <c r="A343">
        <v>1232</v>
      </c>
      <c r="B343">
        <v>0</v>
      </c>
      <c r="C343">
        <v>0</v>
      </c>
      <c r="D343">
        <v>10.5</v>
      </c>
      <c r="E343">
        <v>18</v>
      </c>
      <c r="F343">
        <v>0</v>
      </c>
      <c r="G343">
        <v>0</v>
      </c>
      <c r="H343">
        <v>1</v>
      </c>
      <c r="I343">
        <v>0</v>
      </c>
      <c r="J343">
        <v>1</v>
      </c>
      <c r="K343">
        <v>0</v>
      </c>
      <c r="L343">
        <v>0</v>
      </c>
      <c r="M343">
        <v>1</v>
      </c>
      <c r="N343" s="14">
        <f t="shared" si="10"/>
        <v>0</v>
      </c>
      <c r="O343">
        <f t="shared" si="11"/>
        <v>0.3366467580294053</v>
      </c>
    </row>
    <row r="344" spans="1:15" x14ac:dyDescent="0.4">
      <c r="A344">
        <v>1233</v>
      </c>
      <c r="B344">
        <v>0</v>
      </c>
      <c r="C344">
        <v>0</v>
      </c>
      <c r="D344">
        <v>7.5792000000000002</v>
      </c>
      <c r="E344">
        <v>32</v>
      </c>
      <c r="F344">
        <v>0</v>
      </c>
      <c r="G344">
        <v>0</v>
      </c>
      <c r="H344">
        <v>0</v>
      </c>
      <c r="I344">
        <v>1</v>
      </c>
      <c r="J344">
        <v>1</v>
      </c>
      <c r="K344">
        <v>0</v>
      </c>
      <c r="L344">
        <v>0</v>
      </c>
      <c r="M344">
        <v>1</v>
      </c>
      <c r="N344" s="14">
        <f t="shared" si="10"/>
        <v>0</v>
      </c>
      <c r="O344">
        <f t="shared" si="11"/>
        <v>7.9134336735811356E-2</v>
      </c>
    </row>
    <row r="345" spans="1:15" x14ac:dyDescent="0.4">
      <c r="A345">
        <v>1234</v>
      </c>
      <c r="B345">
        <v>1</v>
      </c>
      <c r="C345">
        <v>9</v>
      </c>
      <c r="D345">
        <v>69.55</v>
      </c>
      <c r="E345">
        <v>28</v>
      </c>
      <c r="F345">
        <v>0</v>
      </c>
      <c r="G345">
        <v>0</v>
      </c>
      <c r="H345">
        <v>0</v>
      </c>
      <c r="I345">
        <v>1</v>
      </c>
      <c r="J345">
        <v>1</v>
      </c>
      <c r="K345">
        <v>0</v>
      </c>
      <c r="L345">
        <v>0</v>
      </c>
      <c r="M345">
        <v>1</v>
      </c>
      <c r="N345" s="14">
        <f t="shared" si="10"/>
        <v>0</v>
      </c>
      <c r="O345">
        <f t="shared" si="11"/>
        <v>3.4982074527162427E-2</v>
      </c>
    </row>
    <row r="346" spans="1:15" x14ac:dyDescent="0.4">
      <c r="A346">
        <v>1235</v>
      </c>
      <c r="B346">
        <v>0</v>
      </c>
      <c r="C346">
        <v>1</v>
      </c>
      <c r="D346">
        <v>512.32920000000001</v>
      </c>
      <c r="E346">
        <v>58</v>
      </c>
      <c r="F346">
        <v>1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1</v>
      </c>
      <c r="N346" s="14">
        <f t="shared" si="10"/>
        <v>1</v>
      </c>
      <c r="O346">
        <f t="shared" si="11"/>
        <v>0.94956600673750102</v>
      </c>
    </row>
    <row r="347" spans="1:15" x14ac:dyDescent="0.4">
      <c r="A347">
        <v>1236</v>
      </c>
      <c r="B347">
        <v>1</v>
      </c>
      <c r="C347">
        <v>1</v>
      </c>
      <c r="D347">
        <v>14.5</v>
      </c>
      <c r="E347">
        <v>28</v>
      </c>
      <c r="F347">
        <v>0</v>
      </c>
      <c r="G347">
        <v>0</v>
      </c>
      <c r="H347">
        <v>0</v>
      </c>
      <c r="I347">
        <v>1</v>
      </c>
      <c r="J347">
        <v>1</v>
      </c>
      <c r="K347">
        <v>0</v>
      </c>
      <c r="L347">
        <v>0</v>
      </c>
      <c r="M347">
        <v>1</v>
      </c>
      <c r="N347" s="14">
        <f t="shared" si="10"/>
        <v>0</v>
      </c>
      <c r="O347">
        <f t="shared" si="11"/>
        <v>6.3022375479590581E-2</v>
      </c>
    </row>
    <row r="348" spans="1:15" x14ac:dyDescent="0.4">
      <c r="A348">
        <v>1237</v>
      </c>
      <c r="B348">
        <v>0</v>
      </c>
      <c r="C348">
        <v>0</v>
      </c>
      <c r="D348">
        <v>7.65</v>
      </c>
      <c r="E348">
        <v>16</v>
      </c>
      <c r="F348">
        <v>1</v>
      </c>
      <c r="G348">
        <v>0</v>
      </c>
      <c r="H348">
        <v>0</v>
      </c>
      <c r="I348">
        <v>1</v>
      </c>
      <c r="J348">
        <v>1</v>
      </c>
      <c r="K348">
        <v>0</v>
      </c>
      <c r="L348">
        <v>0</v>
      </c>
      <c r="M348">
        <v>1</v>
      </c>
      <c r="N348" s="14">
        <f t="shared" si="10"/>
        <v>1</v>
      </c>
      <c r="O348">
        <f t="shared" si="11"/>
        <v>0.70723901447524051</v>
      </c>
    </row>
    <row r="349" spans="1:15" x14ac:dyDescent="0.4">
      <c r="A349">
        <v>1238</v>
      </c>
      <c r="B349">
        <v>0</v>
      </c>
      <c r="C349">
        <v>0</v>
      </c>
      <c r="D349">
        <v>13</v>
      </c>
      <c r="E349">
        <v>26</v>
      </c>
      <c r="F349">
        <v>0</v>
      </c>
      <c r="G349">
        <v>0</v>
      </c>
      <c r="H349">
        <v>1</v>
      </c>
      <c r="I349">
        <v>0</v>
      </c>
      <c r="J349">
        <v>1</v>
      </c>
      <c r="K349">
        <v>0</v>
      </c>
      <c r="L349">
        <v>0</v>
      </c>
      <c r="M349">
        <v>1</v>
      </c>
      <c r="N349" s="14">
        <f t="shared" si="10"/>
        <v>0</v>
      </c>
      <c r="O349">
        <f t="shared" si="11"/>
        <v>0.27276663920530242</v>
      </c>
    </row>
    <row r="350" spans="1:15" x14ac:dyDescent="0.4">
      <c r="A350">
        <v>1239</v>
      </c>
      <c r="B350">
        <v>0</v>
      </c>
      <c r="C350">
        <v>0</v>
      </c>
      <c r="D350">
        <v>7.2291999999999996</v>
      </c>
      <c r="E350">
        <v>38</v>
      </c>
      <c r="F350">
        <v>1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</v>
      </c>
      <c r="M350">
        <v>1</v>
      </c>
      <c r="N350" s="14">
        <f t="shared" si="10"/>
        <v>1</v>
      </c>
      <c r="O350">
        <f t="shared" si="11"/>
        <v>0.61498258867141276</v>
      </c>
    </row>
    <row r="351" spans="1:15" x14ac:dyDescent="0.4">
      <c r="A351">
        <v>1240</v>
      </c>
      <c r="B351">
        <v>0</v>
      </c>
      <c r="C351">
        <v>0</v>
      </c>
      <c r="D351">
        <v>13.5</v>
      </c>
      <c r="E351">
        <v>24</v>
      </c>
      <c r="F351">
        <v>0</v>
      </c>
      <c r="G351">
        <v>0</v>
      </c>
      <c r="H351">
        <v>1</v>
      </c>
      <c r="I351">
        <v>0</v>
      </c>
      <c r="J351">
        <v>1</v>
      </c>
      <c r="K351">
        <v>0</v>
      </c>
      <c r="L351">
        <v>0</v>
      </c>
      <c r="M351">
        <v>1</v>
      </c>
      <c r="N351" s="14">
        <f t="shared" si="10"/>
        <v>0</v>
      </c>
      <c r="O351">
        <f t="shared" si="11"/>
        <v>0.28855539159066979</v>
      </c>
    </row>
    <row r="352" spans="1:15" x14ac:dyDescent="0.4">
      <c r="A352">
        <v>1241</v>
      </c>
      <c r="B352">
        <v>0</v>
      </c>
      <c r="C352">
        <v>0</v>
      </c>
      <c r="D352">
        <v>21</v>
      </c>
      <c r="E352">
        <v>31</v>
      </c>
      <c r="F352">
        <v>1</v>
      </c>
      <c r="G352">
        <v>0</v>
      </c>
      <c r="H352">
        <v>1</v>
      </c>
      <c r="I352">
        <v>0</v>
      </c>
      <c r="J352">
        <v>1</v>
      </c>
      <c r="K352">
        <v>0</v>
      </c>
      <c r="L352">
        <v>0</v>
      </c>
      <c r="M352">
        <v>1</v>
      </c>
      <c r="N352" s="14">
        <f t="shared" si="10"/>
        <v>1</v>
      </c>
      <c r="O352">
        <f t="shared" si="11"/>
        <v>0.82707778272174926</v>
      </c>
    </row>
    <row r="353" spans="1:15" x14ac:dyDescent="0.4">
      <c r="A353">
        <v>1242</v>
      </c>
      <c r="B353">
        <v>0</v>
      </c>
      <c r="C353">
        <v>1</v>
      </c>
      <c r="D353">
        <v>63.3583</v>
      </c>
      <c r="E353">
        <v>45</v>
      </c>
      <c r="F353">
        <v>1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1</v>
      </c>
      <c r="N353" s="14">
        <f t="shared" si="10"/>
        <v>1</v>
      </c>
      <c r="O353">
        <f t="shared" si="11"/>
        <v>0.91576843637264682</v>
      </c>
    </row>
    <row r="354" spans="1:15" x14ac:dyDescent="0.4">
      <c r="A354">
        <v>1243</v>
      </c>
      <c r="B354">
        <v>0</v>
      </c>
      <c r="C354">
        <v>0</v>
      </c>
      <c r="D354">
        <v>10.5</v>
      </c>
      <c r="E354">
        <v>25</v>
      </c>
      <c r="F354">
        <v>0</v>
      </c>
      <c r="G354">
        <v>0</v>
      </c>
      <c r="H354">
        <v>1</v>
      </c>
      <c r="I354">
        <v>0</v>
      </c>
      <c r="J354">
        <v>1</v>
      </c>
      <c r="K354">
        <v>0</v>
      </c>
      <c r="L354">
        <v>0</v>
      </c>
      <c r="M354">
        <v>1</v>
      </c>
      <c r="N354" s="14">
        <f t="shared" si="10"/>
        <v>0</v>
      </c>
      <c r="O354">
        <f t="shared" si="11"/>
        <v>0.27929690242153138</v>
      </c>
    </row>
    <row r="355" spans="1:15" x14ac:dyDescent="0.4">
      <c r="A355">
        <v>1244</v>
      </c>
      <c r="B355">
        <v>0</v>
      </c>
      <c r="C355">
        <v>0</v>
      </c>
      <c r="D355">
        <v>73.5</v>
      </c>
      <c r="E355">
        <v>18</v>
      </c>
      <c r="F355">
        <v>0</v>
      </c>
      <c r="G355">
        <v>0</v>
      </c>
      <c r="H355">
        <v>1</v>
      </c>
      <c r="I355">
        <v>0</v>
      </c>
      <c r="J355">
        <v>1</v>
      </c>
      <c r="K355">
        <v>0</v>
      </c>
      <c r="L355">
        <v>0</v>
      </c>
      <c r="M355">
        <v>1</v>
      </c>
      <c r="N355" s="14">
        <f t="shared" si="10"/>
        <v>0</v>
      </c>
      <c r="O355">
        <f t="shared" si="11"/>
        <v>0.37029774038984758</v>
      </c>
    </row>
    <row r="356" spans="1:15" x14ac:dyDescent="0.4">
      <c r="A356">
        <v>1245</v>
      </c>
      <c r="B356">
        <v>1</v>
      </c>
      <c r="C356">
        <v>2</v>
      </c>
      <c r="D356">
        <v>65</v>
      </c>
      <c r="E356">
        <v>49</v>
      </c>
      <c r="F356">
        <v>0</v>
      </c>
      <c r="G356">
        <v>0</v>
      </c>
      <c r="H356">
        <v>1</v>
      </c>
      <c r="I356">
        <v>0</v>
      </c>
      <c r="J356">
        <v>1</v>
      </c>
      <c r="K356">
        <v>0</v>
      </c>
      <c r="L356">
        <v>0</v>
      </c>
      <c r="M356">
        <v>1</v>
      </c>
      <c r="N356" s="14">
        <f t="shared" si="10"/>
        <v>0</v>
      </c>
      <c r="O356">
        <f t="shared" si="11"/>
        <v>9.5025797667225353E-2</v>
      </c>
    </row>
    <row r="357" spans="1:15" x14ac:dyDescent="0.4">
      <c r="A357">
        <v>1246</v>
      </c>
      <c r="B357">
        <v>1</v>
      </c>
      <c r="C357">
        <v>2</v>
      </c>
      <c r="D357">
        <v>20.574999999999999</v>
      </c>
      <c r="E357">
        <v>0.17</v>
      </c>
      <c r="F357">
        <v>1</v>
      </c>
      <c r="G357">
        <v>0</v>
      </c>
      <c r="H357">
        <v>0</v>
      </c>
      <c r="I357">
        <v>1</v>
      </c>
      <c r="J357">
        <v>1</v>
      </c>
      <c r="K357">
        <v>0</v>
      </c>
      <c r="L357">
        <v>0</v>
      </c>
      <c r="M357">
        <v>1</v>
      </c>
      <c r="N357" s="14">
        <f t="shared" si="10"/>
        <v>1</v>
      </c>
      <c r="O357">
        <f t="shared" si="11"/>
        <v>0.73369431551943676</v>
      </c>
    </row>
    <row r="358" spans="1:15" x14ac:dyDescent="0.4">
      <c r="A358">
        <v>1247</v>
      </c>
      <c r="B358">
        <v>0</v>
      </c>
      <c r="C358">
        <v>0</v>
      </c>
      <c r="D358">
        <v>26</v>
      </c>
      <c r="E358">
        <v>50</v>
      </c>
      <c r="F358">
        <v>0</v>
      </c>
      <c r="G358">
        <v>1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1</v>
      </c>
      <c r="N358" s="14">
        <f t="shared" si="10"/>
        <v>0</v>
      </c>
      <c r="O358">
        <f t="shared" si="11"/>
        <v>0.27790353712108462</v>
      </c>
    </row>
    <row r="359" spans="1:15" x14ac:dyDescent="0.4">
      <c r="A359">
        <v>1248</v>
      </c>
      <c r="B359">
        <v>2</v>
      </c>
      <c r="C359">
        <v>0</v>
      </c>
      <c r="D359">
        <v>51.479199999999999</v>
      </c>
      <c r="E359">
        <v>59</v>
      </c>
      <c r="F359">
        <v>1</v>
      </c>
      <c r="G359">
        <v>1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1</v>
      </c>
      <c r="N359" s="14">
        <f t="shared" si="10"/>
        <v>1</v>
      </c>
      <c r="O359">
        <f t="shared" si="11"/>
        <v>0.69714099249428918</v>
      </c>
    </row>
    <row r="360" spans="1:15" x14ac:dyDescent="0.4">
      <c r="A360">
        <v>1249</v>
      </c>
      <c r="B360">
        <v>0</v>
      </c>
      <c r="C360">
        <v>0</v>
      </c>
      <c r="D360">
        <v>7.8792</v>
      </c>
      <c r="E360">
        <v>28</v>
      </c>
      <c r="F360">
        <v>0</v>
      </c>
      <c r="G360">
        <v>0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1</v>
      </c>
      <c r="N360" s="14">
        <f t="shared" si="10"/>
        <v>0</v>
      </c>
      <c r="O360">
        <f t="shared" si="11"/>
        <v>9.1175668783743113E-2</v>
      </c>
    </row>
    <row r="361" spans="1:15" x14ac:dyDescent="0.4">
      <c r="A361">
        <v>1250</v>
      </c>
      <c r="B361">
        <v>0</v>
      </c>
      <c r="C361">
        <v>0</v>
      </c>
      <c r="D361">
        <v>7.75</v>
      </c>
      <c r="E361">
        <v>28</v>
      </c>
      <c r="F361">
        <v>0</v>
      </c>
      <c r="G361">
        <v>0</v>
      </c>
      <c r="H361">
        <v>0</v>
      </c>
      <c r="I361">
        <v>1</v>
      </c>
      <c r="J361">
        <v>0</v>
      </c>
      <c r="K361">
        <v>1</v>
      </c>
      <c r="L361">
        <v>0</v>
      </c>
      <c r="M361">
        <v>1</v>
      </c>
      <c r="N361" s="14">
        <f t="shared" si="10"/>
        <v>0</v>
      </c>
      <c r="O361">
        <f t="shared" si="11"/>
        <v>0.12770204164315915</v>
      </c>
    </row>
    <row r="362" spans="1:15" x14ac:dyDescent="0.4">
      <c r="A362">
        <v>1251</v>
      </c>
      <c r="B362">
        <v>1</v>
      </c>
      <c r="C362">
        <v>0</v>
      </c>
      <c r="D362">
        <v>15.55</v>
      </c>
      <c r="E362">
        <v>30</v>
      </c>
      <c r="F362">
        <v>1</v>
      </c>
      <c r="G362">
        <v>0</v>
      </c>
      <c r="H362">
        <v>0</v>
      </c>
      <c r="I362">
        <v>1</v>
      </c>
      <c r="J362">
        <v>1</v>
      </c>
      <c r="K362">
        <v>0</v>
      </c>
      <c r="L362">
        <v>0</v>
      </c>
      <c r="M362">
        <v>1</v>
      </c>
      <c r="N362" s="14">
        <f t="shared" si="10"/>
        <v>1</v>
      </c>
      <c r="O362">
        <f t="shared" si="11"/>
        <v>0.50979910284083174</v>
      </c>
    </row>
    <row r="363" spans="1:15" x14ac:dyDescent="0.4">
      <c r="A363">
        <v>1252</v>
      </c>
      <c r="B363">
        <v>8</v>
      </c>
      <c r="C363">
        <v>2</v>
      </c>
      <c r="D363">
        <v>69.55</v>
      </c>
      <c r="E363">
        <v>14.5</v>
      </c>
      <c r="F363">
        <v>0</v>
      </c>
      <c r="G363">
        <v>0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1</v>
      </c>
      <c r="N363" s="14">
        <f t="shared" si="10"/>
        <v>0</v>
      </c>
      <c r="O363">
        <f t="shared" si="11"/>
        <v>1.216205685906986E-2</v>
      </c>
    </row>
    <row r="364" spans="1:15" x14ac:dyDescent="0.4">
      <c r="A364">
        <v>1253</v>
      </c>
      <c r="B364">
        <v>1</v>
      </c>
      <c r="C364">
        <v>1</v>
      </c>
      <c r="D364">
        <v>37.004199999999997</v>
      </c>
      <c r="E364">
        <v>24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1</v>
      </c>
      <c r="M364">
        <v>1</v>
      </c>
      <c r="N364" s="14">
        <f t="shared" si="10"/>
        <v>1</v>
      </c>
      <c r="O364">
        <f t="shared" si="11"/>
        <v>0.86895059288668186</v>
      </c>
    </row>
    <row r="365" spans="1:15" x14ac:dyDescent="0.4">
      <c r="A365">
        <v>1254</v>
      </c>
      <c r="B365">
        <v>0</v>
      </c>
      <c r="C365">
        <v>0</v>
      </c>
      <c r="D365">
        <v>21</v>
      </c>
      <c r="E365">
        <v>31</v>
      </c>
      <c r="F365">
        <v>1</v>
      </c>
      <c r="G365">
        <v>0</v>
      </c>
      <c r="H365">
        <v>1</v>
      </c>
      <c r="I365">
        <v>0</v>
      </c>
      <c r="J365">
        <v>1</v>
      </c>
      <c r="K365">
        <v>0</v>
      </c>
      <c r="L365">
        <v>0</v>
      </c>
      <c r="M365">
        <v>1</v>
      </c>
      <c r="N365" s="14">
        <f t="shared" si="10"/>
        <v>1</v>
      </c>
      <c r="O365">
        <f t="shared" si="11"/>
        <v>0.82707778272174926</v>
      </c>
    </row>
    <row r="366" spans="1:15" x14ac:dyDescent="0.4">
      <c r="A366">
        <v>1255</v>
      </c>
      <c r="B366">
        <v>0</v>
      </c>
      <c r="C366">
        <v>0</v>
      </c>
      <c r="D366">
        <v>8.6624999999999996</v>
      </c>
      <c r="E366">
        <v>27</v>
      </c>
      <c r="F366">
        <v>0</v>
      </c>
      <c r="G366">
        <v>0</v>
      </c>
      <c r="H366">
        <v>0</v>
      </c>
      <c r="I366">
        <v>1</v>
      </c>
      <c r="J366">
        <v>1</v>
      </c>
      <c r="K366">
        <v>0</v>
      </c>
      <c r="L366">
        <v>0</v>
      </c>
      <c r="M366">
        <v>1</v>
      </c>
      <c r="N366" s="14">
        <f t="shared" si="10"/>
        <v>0</v>
      </c>
      <c r="O366">
        <f t="shared" si="11"/>
        <v>9.4575416652991823E-2</v>
      </c>
    </row>
    <row r="367" spans="1:15" x14ac:dyDescent="0.4">
      <c r="A367">
        <v>1256</v>
      </c>
      <c r="B367">
        <v>1</v>
      </c>
      <c r="C367">
        <v>0</v>
      </c>
      <c r="D367">
        <v>55.441699999999997</v>
      </c>
      <c r="E367">
        <v>25</v>
      </c>
      <c r="F367">
        <v>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1</v>
      </c>
      <c r="N367" s="14">
        <f t="shared" si="10"/>
        <v>1</v>
      </c>
      <c r="O367">
        <f t="shared" si="11"/>
        <v>0.94831998809650653</v>
      </c>
    </row>
    <row r="368" spans="1:15" x14ac:dyDescent="0.4">
      <c r="A368">
        <v>1257</v>
      </c>
      <c r="B368">
        <v>1</v>
      </c>
      <c r="C368">
        <v>9</v>
      </c>
      <c r="D368">
        <v>69.55</v>
      </c>
      <c r="E368">
        <v>28</v>
      </c>
      <c r="F368">
        <v>1</v>
      </c>
      <c r="G368">
        <v>0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1</v>
      </c>
      <c r="N368" s="14">
        <f t="shared" si="10"/>
        <v>0</v>
      </c>
      <c r="O368">
        <f t="shared" si="11"/>
        <v>0.35486896239295906</v>
      </c>
    </row>
    <row r="369" spans="1:15" x14ac:dyDescent="0.4">
      <c r="A369">
        <v>1258</v>
      </c>
      <c r="B369">
        <v>1</v>
      </c>
      <c r="C369">
        <v>0</v>
      </c>
      <c r="D369">
        <v>14.458299999999999</v>
      </c>
      <c r="E369">
        <v>28</v>
      </c>
      <c r="F369">
        <v>0</v>
      </c>
      <c r="G369">
        <v>0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1</v>
      </c>
      <c r="N369" s="14">
        <f t="shared" si="10"/>
        <v>0</v>
      </c>
      <c r="O369">
        <f t="shared" si="11"/>
        <v>0.10237878755247476</v>
      </c>
    </row>
    <row r="370" spans="1:15" x14ac:dyDescent="0.4">
      <c r="A370">
        <v>1259</v>
      </c>
      <c r="B370">
        <v>0</v>
      </c>
      <c r="C370">
        <v>0</v>
      </c>
      <c r="D370">
        <v>39.6875</v>
      </c>
      <c r="E370">
        <v>22</v>
      </c>
      <c r="F370">
        <v>1</v>
      </c>
      <c r="G370">
        <v>0</v>
      </c>
      <c r="H370">
        <v>0</v>
      </c>
      <c r="I370">
        <v>1</v>
      </c>
      <c r="J370">
        <v>1</v>
      </c>
      <c r="K370">
        <v>0</v>
      </c>
      <c r="L370">
        <v>0</v>
      </c>
      <c r="M370">
        <v>1</v>
      </c>
      <c r="N370" s="14">
        <f t="shared" si="10"/>
        <v>1</v>
      </c>
      <c r="O370">
        <f t="shared" si="11"/>
        <v>0.67387922199296535</v>
      </c>
    </row>
    <row r="371" spans="1:15" x14ac:dyDescent="0.4">
      <c r="A371">
        <v>1260</v>
      </c>
      <c r="B371">
        <v>0</v>
      </c>
      <c r="C371">
        <v>1</v>
      </c>
      <c r="D371">
        <v>59.4</v>
      </c>
      <c r="E371">
        <v>45</v>
      </c>
      <c r="F371">
        <v>1</v>
      </c>
      <c r="G371">
        <v>1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1</v>
      </c>
      <c r="N371" s="14">
        <f t="shared" si="10"/>
        <v>1</v>
      </c>
      <c r="O371">
        <f t="shared" si="11"/>
        <v>0.91505162892215741</v>
      </c>
    </row>
    <row r="372" spans="1:15" x14ac:dyDescent="0.4">
      <c r="A372">
        <v>1261</v>
      </c>
      <c r="B372">
        <v>0</v>
      </c>
      <c r="C372">
        <v>0</v>
      </c>
      <c r="D372">
        <v>13.8583</v>
      </c>
      <c r="E372">
        <v>29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1</v>
      </c>
      <c r="M372">
        <v>1</v>
      </c>
      <c r="N372" s="14">
        <f t="shared" si="10"/>
        <v>0</v>
      </c>
      <c r="O372">
        <f t="shared" si="11"/>
        <v>0.34088296346667601</v>
      </c>
    </row>
    <row r="373" spans="1:15" x14ac:dyDescent="0.4">
      <c r="A373">
        <v>1262</v>
      </c>
      <c r="B373">
        <v>1</v>
      </c>
      <c r="C373">
        <v>0</v>
      </c>
      <c r="D373">
        <v>11.5</v>
      </c>
      <c r="E373">
        <v>21</v>
      </c>
      <c r="F373">
        <v>0</v>
      </c>
      <c r="G373">
        <v>0</v>
      </c>
      <c r="H373">
        <v>1</v>
      </c>
      <c r="I373">
        <v>0</v>
      </c>
      <c r="J373">
        <v>1</v>
      </c>
      <c r="K373">
        <v>0</v>
      </c>
      <c r="L373">
        <v>0</v>
      </c>
      <c r="M373">
        <v>1</v>
      </c>
      <c r="N373" s="14">
        <f t="shared" si="10"/>
        <v>0</v>
      </c>
      <c r="O373">
        <f t="shared" si="11"/>
        <v>0.24723005690818742</v>
      </c>
    </row>
    <row r="374" spans="1:15" x14ac:dyDescent="0.4">
      <c r="A374">
        <v>1263</v>
      </c>
      <c r="B374">
        <v>0</v>
      </c>
      <c r="C374">
        <v>0</v>
      </c>
      <c r="D374">
        <v>134.5</v>
      </c>
      <c r="E374">
        <v>31</v>
      </c>
      <c r="F374">
        <v>1</v>
      </c>
      <c r="G374">
        <v>1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1</v>
      </c>
      <c r="N374" s="14">
        <f t="shared" si="10"/>
        <v>1</v>
      </c>
      <c r="O374">
        <f t="shared" si="11"/>
        <v>0.96027676267223816</v>
      </c>
    </row>
    <row r="375" spans="1:15" x14ac:dyDescent="0.4">
      <c r="A375">
        <v>1264</v>
      </c>
      <c r="B375">
        <v>0</v>
      </c>
      <c r="C375">
        <v>0</v>
      </c>
      <c r="D375">
        <v>0</v>
      </c>
      <c r="E375">
        <v>49</v>
      </c>
      <c r="F375">
        <v>0</v>
      </c>
      <c r="G375">
        <v>1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1</v>
      </c>
      <c r="N375" s="14">
        <f t="shared" si="10"/>
        <v>0</v>
      </c>
      <c r="O375">
        <f t="shared" si="11"/>
        <v>0.2734549534362446</v>
      </c>
    </row>
    <row r="376" spans="1:15" x14ac:dyDescent="0.4">
      <c r="A376">
        <v>1265</v>
      </c>
      <c r="B376">
        <v>0</v>
      </c>
      <c r="C376">
        <v>0</v>
      </c>
      <c r="D376">
        <v>13</v>
      </c>
      <c r="E376">
        <v>44</v>
      </c>
      <c r="F376">
        <v>0</v>
      </c>
      <c r="G376">
        <v>0</v>
      </c>
      <c r="H376">
        <v>1</v>
      </c>
      <c r="I376">
        <v>0</v>
      </c>
      <c r="J376">
        <v>1</v>
      </c>
      <c r="K376">
        <v>0</v>
      </c>
      <c r="L376">
        <v>0</v>
      </c>
      <c r="M376">
        <v>1</v>
      </c>
      <c r="N376" s="14">
        <f t="shared" si="10"/>
        <v>0</v>
      </c>
      <c r="O376">
        <f t="shared" si="11"/>
        <v>0.15787969227905976</v>
      </c>
    </row>
    <row r="377" spans="1:15" x14ac:dyDescent="0.4">
      <c r="A377">
        <v>1266</v>
      </c>
      <c r="B377">
        <v>1</v>
      </c>
      <c r="C377">
        <v>1</v>
      </c>
      <c r="D377">
        <v>81.8583</v>
      </c>
      <c r="E377">
        <v>54</v>
      </c>
      <c r="F377">
        <v>1</v>
      </c>
      <c r="G377">
        <v>1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1</v>
      </c>
      <c r="N377" s="14">
        <f t="shared" si="10"/>
        <v>1</v>
      </c>
      <c r="O377">
        <f t="shared" si="11"/>
        <v>0.79017190666153359</v>
      </c>
    </row>
    <row r="378" spans="1:15" x14ac:dyDescent="0.4">
      <c r="A378">
        <v>1267</v>
      </c>
      <c r="B378">
        <v>0</v>
      </c>
      <c r="C378">
        <v>0</v>
      </c>
      <c r="D378">
        <v>262.375</v>
      </c>
      <c r="E378">
        <v>45</v>
      </c>
      <c r="F378">
        <v>1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1</v>
      </c>
      <c r="N378" s="14">
        <f t="shared" si="10"/>
        <v>1</v>
      </c>
      <c r="O378">
        <f t="shared" si="11"/>
        <v>0.95002572861478252</v>
      </c>
    </row>
    <row r="379" spans="1:15" x14ac:dyDescent="0.4">
      <c r="A379">
        <v>1268</v>
      </c>
      <c r="B379">
        <v>2</v>
      </c>
      <c r="C379">
        <v>0</v>
      </c>
      <c r="D379">
        <v>8.6624999999999996</v>
      </c>
      <c r="E379">
        <v>22</v>
      </c>
      <c r="F379">
        <v>1</v>
      </c>
      <c r="G379">
        <v>0</v>
      </c>
      <c r="H379">
        <v>0</v>
      </c>
      <c r="I379">
        <v>1</v>
      </c>
      <c r="J379">
        <v>1</v>
      </c>
      <c r="K379">
        <v>0</v>
      </c>
      <c r="L379">
        <v>0</v>
      </c>
      <c r="M379">
        <v>1</v>
      </c>
      <c r="N379" s="14">
        <f t="shared" si="10"/>
        <v>1</v>
      </c>
      <c r="O379">
        <f t="shared" si="11"/>
        <v>0.50234222283398666</v>
      </c>
    </row>
    <row r="380" spans="1:15" x14ac:dyDescent="0.4">
      <c r="A380">
        <v>1269</v>
      </c>
      <c r="B380">
        <v>0</v>
      </c>
      <c r="C380">
        <v>0</v>
      </c>
      <c r="D380">
        <v>11.5</v>
      </c>
      <c r="E380">
        <v>21</v>
      </c>
      <c r="F380">
        <v>0</v>
      </c>
      <c r="G380">
        <v>0</v>
      </c>
      <c r="H380">
        <v>1</v>
      </c>
      <c r="I380">
        <v>0</v>
      </c>
      <c r="J380">
        <v>1</v>
      </c>
      <c r="K380">
        <v>0</v>
      </c>
      <c r="L380">
        <v>0</v>
      </c>
      <c r="M380">
        <v>1</v>
      </c>
      <c r="N380" s="14">
        <f t="shared" si="10"/>
        <v>0</v>
      </c>
      <c r="O380">
        <f t="shared" si="11"/>
        <v>0.31184425786090697</v>
      </c>
    </row>
    <row r="381" spans="1:15" x14ac:dyDescent="0.4">
      <c r="A381">
        <v>1270</v>
      </c>
      <c r="B381">
        <v>0</v>
      </c>
      <c r="C381">
        <v>0</v>
      </c>
      <c r="D381">
        <v>50</v>
      </c>
      <c r="E381">
        <v>55</v>
      </c>
      <c r="F381">
        <v>0</v>
      </c>
      <c r="G381">
        <v>1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1</v>
      </c>
      <c r="N381" s="14">
        <f t="shared" si="10"/>
        <v>0</v>
      </c>
      <c r="O381">
        <f t="shared" si="11"/>
        <v>0.25135756825288524</v>
      </c>
    </row>
    <row r="382" spans="1:15" x14ac:dyDescent="0.4">
      <c r="A382">
        <v>1271</v>
      </c>
      <c r="B382">
        <v>4</v>
      </c>
      <c r="C382">
        <v>2</v>
      </c>
      <c r="D382">
        <v>31.387499999999999</v>
      </c>
      <c r="E382">
        <v>5</v>
      </c>
      <c r="F382">
        <v>0</v>
      </c>
      <c r="G382">
        <v>0</v>
      </c>
      <c r="H382">
        <v>0</v>
      </c>
      <c r="I382">
        <v>1</v>
      </c>
      <c r="J382">
        <v>1</v>
      </c>
      <c r="K382">
        <v>0</v>
      </c>
      <c r="L382">
        <v>0</v>
      </c>
      <c r="M382">
        <v>1</v>
      </c>
      <c r="N382" s="14">
        <f t="shared" si="10"/>
        <v>0</v>
      </c>
      <c r="O382">
        <f t="shared" si="11"/>
        <v>5.5580540679323776E-2</v>
      </c>
    </row>
    <row r="383" spans="1:15" x14ac:dyDescent="0.4">
      <c r="A383">
        <v>1272</v>
      </c>
      <c r="B383">
        <v>0</v>
      </c>
      <c r="C383">
        <v>0</v>
      </c>
      <c r="D383">
        <v>7.75</v>
      </c>
      <c r="E383">
        <v>28</v>
      </c>
      <c r="F383">
        <v>0</v>
      </c>
      <c r="G383">
        <v>0</v>
      </c>
      <c r="H383">
        <v>0</v>
      </c>
      <c r="I383">
        <v>1</v>
      </c>
      <c r="J383">
        <v>0</v>
      </c>
      <c r="K383">
        <v>1</v>
      </c>
      <c r="L383">
        <v>0</v>
      </c>
      <c r="M383">
        <v>1</v>
      </c>
      <c r="N383" s="14">
        <f t="shared" si="10"/>
        <v>0</v>
      </c>
      <c r="O383">
        <f t="shared" si="11"/>
        <v>0.12770204164315915</v>
      </c>
    </row>
    <row r="384" spans="1:15" x14ac:dyDescent="0.4">
      <c r="A384">
        <v>1273</v>
      </c>
      <c r="B384">
        <v>0</v>
      </c>
      <c r="C384">
        <v>0</v>
      </c>
      <c r="D384">
        <v>7.8792</v>
      </c>
      <c r="E384">
        <v>26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1</v>
      </c>
      <c r="L384">
        <v>0</v>
      </c>
      <c r="M384">
        <v>1</v>
      </c>
      <c r="N384" s="14">
        <f t="shared" si="10"/>
        <v>0</v>
      </c>
      <c r="O384">
        <f t="shared" si="11"/>
        <v>0.13656968674391201</v>
      </c>
    </row>
    <row r="385" spans="1:15" x14ac:dyDescent="0.4">
      <c r="A385">
        <v>1274</v>
      </c>
      <c r="B385">
        <v>0</v>
      </c>
      <c r="C385">
        <v>0</v>
      </c>
      <c r="D385">
        <v>14.5</v>
      </c>
      <c r="E385">
        <v>28</v>
      </c>
      <c r="F385">
        <v>1</v>
      </c>
      <c r="G385">
        <v>0</v>
      </c>
      <c r="H385">
        <v>0</v>
      </c>
      <c r="I385">
        <v>1</v>
      </c>
      <c r="J385">
        <v>1</v>
      </c>
      <c r="K385">
        <v>0</v>
      </c>
      <c r="L385">
        <v>0</v>
      </c>
      <c r="M385">
        <v>1</v>
      </c>
      <c r="N385" s="14">
        <f t="shared" si="10"/>
        <v>1</v>
      </c>
      <c r="O385">
        <f t="shared" si="11"/>
        <v>0.60724013000814159</v>
      </c>
    </row>
    <row r="386" spans="1:15" x14ac:dyDescent="0.4">
      <c r="A386">
        <v>1275</v>
      </c>
      <c r="B386">
        <v>1</v>
      </c>
      <c r="C386">
        <v>0</v>
      </c>
      <c r="D386">
        <v>16.100000000000001</v>
      </c>
      <c r="E386">
        <v>19</v>
      </c>
      <c r="F386">
        <v>1</v>
      </c>
      <c r="G386">
        <v>0</v>
      </c>
      <c r="H386">
        <v>0</v>
      </c>
      <c r="I386">
        <v>1</v>
      </c>
      <c r="J386">
        <v>1</v>
      </c>
      <c r="K386">
        <v>0</v>
      </c>
      <c r="L386">
        <v>0</v>
      </c>
      <c r="M386">
        <v>1</v>
      </c>
      <c r="N386" s="14">
        <f t="shared" si="10"/>
        <v>1</v>
      </c>
      <c r="O386">
        <f t="shared" si="11"/>
        <v>0.61402618733028069</v>
      </c>
    </row>
    <row r="387" spans="1:15" x14ac:dyDescent="0.4">
      <c r="A387">
        <v>1276</v>
      </c>
      <c r="B387">
        <v>0</v>
      </c>
      <c r="C387">
        <v>0</v>
      </c>
      <c r="D387">
        <v>12.875</v>
      </c>
      <c r="E387">
        <v>28</v>
      </c>
      <c r="F387">
        <v>0</v>
      </c>
      <c r="G387">
        <v>0</v>
      </c>
      <c r="H387">
        <v>1</v>
      </c>
      <c r="I387">
        <v>0</v>
      </c>
      <c r="J387">
        <v>1</v>
      </c>
      <c r="K387">
        <v>0</v>
      </c>
      <c r="L387">
        <v>0</v>
      </c>
      <c r="M387">
        <v>1</v>
      </c>
      <c r="N387" s="14">
        <f t="shared" si="10"/>
        <v>0</v>
      </c>
      <c r="O387">
        <f t="shared" si="11"/>
        <v>0.25769679798798928</v>
      </c>
    </row>
    <row r="388" spans="1:15" x14ac:dyDescent="0.4">
      <c r="A388">
        <v>1277</v>
      </c>
      <c r="B388">
        <v>1</v>
      </c>
      <c r="C388">
        <v>2</v>
      </c>
      <c r="D388">
        <v>65</v>
      </c>
      <c r="E388">
        <v>24</v>
      </c>
      <c r="F388">
        <v>1</v>
      </c>
      <c r="G388">
        <v>0</v>
      </c>
      <c r="H388">
        <v>1</v>
      </c>
      <c r="I388">
        <v>0</v>
      </c>
      <c r="J388">
        <v>1</v>
      </c>
      <c r="K388">
        <v>0</v>
      </c>
      <c r="L388">
        <v>0</v>
      </c>
      <c r="M388">
        <v>1</v>
      </c>
      <c r="N388" s="14">
        <f t="shared" ref="N388:N420" si="12">IF(O388&gt;0.5,1,0)</f>
        <v>1</v>
      </c>
      <c r="O388">
        <f t="shared" ref="O388:O420" si="13">1/(1+EXP(-SUMPRODUCT(_xlfn.ANCHORARRAY(B$1),$B388:$M388)))</f>
        <v>0.80674315478230119</v>
      </c>
    </row>
    <row r="389" spans="1:15" x14ac:dyDescent="0.4">
      <c r="A389">
        <v>1278</v>
      </c>
      <c r="B389">
        <v>0</v>
      </c>
      <c r="C389">
        <v>0</v>
      </c>
      <c r="D389">
        <v>7.7750000000000004</v>
      </c>
      <c r="E389">
        <v>24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0</v>
      </c>
      <c r="L389">
        <v>0</v>
      </c>
      <c r="M389">
        <v>1</v>
      </c>
      <c r="N389" s="14">
        <f t="shared" si="12"/>
        <v>0</v>
      </c>
      <c r="O389">
        <f t="shared" si="13"/>
        <v>0.10475196660446838</v>
      </c>
    </row>
    <row r="390" spans="1:15" x14ac:dyDescent="0.4">
      <c r="A390">
        <v>1279</v>
      </c>
      <c r="B390">
        <v>0</v>
      </c>
      <c r="C390">
        <v>0</v>
      </c>
      <c r="D390">
        <v>13</v>
      </c>
      <c r="E390">
        <v>57</v>
      </c>
      <c r="F390">
        <v>0</v>
      </c>
      <c r="G390">
        <v>0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1</v>
      </c>
      <c r="N390" s="14">
        <f t="shared" si="12"/>
        <v>0</v>
      </c>
      <c r="O390">
        <f t="shared" si="13"/>
        <v>0.10202531227257676</v>
      </c>
    </row>
    <row r="391" spans="1:15" x14ac:dyDescent="0.4">
      <c r="A391">
        <v>1280</v>
      </c>
      <c r="B391">
        <v>0</v>
      </c>
      <c r="C391">
        <v>0</v>
      </c>
      <c r="D391">
        <v>7.75</v>
      </c>
      <c r="E391">
        <v>21</v>
      </c>
      <c r="F391">
        <v>0</v>
      </c>
      <c r="G391">
        <v>0</v>
      </c>
      <c r="H391">
        <v>0</v>
      </c>
      <c r="I391">
        <v>1</v>
      </c>
      <c r="J391">
        <v>0</v>
      </c>
      <c r="K391">
        <v>1</v>
      </c>
      <c r="L391">
        <v>0</v>
      </c>
      <c r="M391">
        <v>1</v>
      </c>
      <c r="N391" s="14">
        <f t="shared" si="12"/>
        <v>0</v>
      </c>
      <c r="O391">
        <f t="shared" si="13"/>
        <v>0.16087218227684116</v>
      </c>
    </row>
    <row r="392" spans="1:15" x14ac:dyDescent="0.4">
      <c r="A392">
        <v>1281</v>
      </c>
      <c r="B392">
        <v>3</v>
      </c>
      <c r="C392">
        <v>1</v>
      </c>
      <c r="D392">
        <v>21.074999999999999</v>
      </c>
      <c r="E392">
        <v>6</v>
      </c>
      <c r="F392">
        <v>0</v>
      </c>
      <c r="G392">
        <v>0</v>
      </c>
      <c r="H392">
        <v>0</v>
      </c>
      <c r="I392">
        <v>1</v>
      </c>
      <c r="J392">
        <v>1</v>
      </c>
      <c r="K392">
        <v>0</v>
      </c>
      <c r="L392">
        <v>0</v>
      </c>
      <c r="M392">
        <v>1</v>
      </c>
      <c r="N392" s="14">
        <f t="shared" si="12"/>
        <v>0</v>
      </c>
      <c r="O392">
        <f t="shared" si="13"/>
        <v>7.7265753476479848E-2</v>
      </c>
    </row>
    <row r="393" spans="1:15" x14ac:dyDescent="0.4">
      <c r="A393">
        <v>1282</v>
      </c>
      <c r="B393">
        <v>0</v>
      </c>
      <c r="C393">
        <v>0</v>
      </c>
      <c r="D393">
        <v>93.5</v>
      </c>
      <c r="E393">
        <v>23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1</v>
      </c>
      <c r="N393" s="14">
        <f t="shared" si="12"/>
        <v>1</v>
      </c>
      <c r="O393">
        <f t="shared" si="13"/>
        <v>0.56049250531164663</v>
      </c>
    </row>
    <row r="394" spans="1:15" x14ac:dyDescent="0.4">
      <c r="A394">
        <v>1283</v>
      </c>
      <c r="B394">
        <v>0</v>
      </c>
      <c r="C394">
        <v>1</v>
      </c>
      <c r="D394">
        <v>39.4</v>
      </c>
      <c r="E394">
        <v>51</v>
      </c>
      <c r="F394">
        <v>1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1</v>
      </c>
      <c r="N394" s="14">
        <f t="shared" si="12"/>
        <v>1</v>
      </c>
      <c r="O394">
        <f t="shared" si="13"/>
        <v>0.84079740677255255</v>
      </c>
    </row>
    <row r="395" spans="1:15" x14ac:dyDescent="0.4">
      <c r="A395">
        <v>1284</v>
      </c>
      <c r="B395">
        <v>0</v>
      </c>
      <c r="C395">
        <v>2</v>
      </c>
      <c r="D395">
        <v>20.25</v>
      </c>
      <c r="E395">
        <v>13</v>
      </c>
      <c r="F395">
        <v>0</v>
      </c>
      <c r="G395">
        <v>0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1</v>
      </c>
      <c r="N395" s="14">
        <f t="shared" si="12"/>
        <v>0</v>
      </c>
      <c r="O395">
        <f t="shared" si="13"/>
        <v>0.13247258175545659</v>
      </c>
    </row>
    <row r="396" spans="1:15" x14ac:dyDescent="0.4">
      <c r="A396">
        <v>1285</v>
      </c>
      <c r="B396">
        <v>0</v>
      </c>
      <c r="C396">
        <v>0</v>
      </c>
      <c r="D396">
        <v>10.5</v>
      </c>
      <c r="E396">
        <v>47</v>
      </c>
      <c r="F396">
        <v>0</v>
      </c>
      <c r="G396">
        <v>0</v>
      </c>
      <c r="H396">
        <v>1</v>
      </c>
      <c r="I396">
        <v>0</v>
      </c>
      <c r="J396">
        <v>1</v>
      </c>
      <c r="K396">
        <v>0</v>
      </c>
      <c r="L396">
        <v>0</v>
      </c>
      <c r="M396">
        <v>1</v>
      </c>
      <c r="N396" s="14">
        <f t="shared" si="12"/>
        <v>0</v>
      </c>
      <c r="O396">
        <f t="shared" si="13"/>
        <v>0.14239818805188192</v>
      </c>
    </row>
    <row r="397" spans="1:15" x14ac:dyDescent="0.4">
      <c r="A397">
        <v>1286</v>
      </c>
      <c r="B397">
        <v>3</v>
      </c>
      <c r="C397">
        <v>1</v>
      </c>
      <c r="D397">
        <v>22.024999999999999</v>
      </c>
      <c r="E397">
        <v>29</v>
      </c>
      <c r="F397">
        <v>0</v>
      </c>
      <c r="G397">
        <v>0</v>
      </c>
      <c r="H397">
        <v>0</v>
      </c>
      <c r="I397">
        <v>1</v>
      </c>
      <c r="J397">
        <v>1</v>
      </c>
      <c r="K397">
        <v>0</v>
      </c>
      <c r="L397">
        <v>0</v>
      </c>
      <c r="M397">
        <v>1</v>
      </c>
      <c r="N397" s="14">
        <f t="shared" si="12"/>
        <v>0</v>
      </c>
      <c r="O397">
        <f t="shared" si="13"/>
        <v>3.3441150729762656E-2</v>
      </c>
    </row>
    <row r="398" spans="1:15" x14ac:dyDescent="0.4">
      <c r="A398">
        <v>1287</v>
      </c>
      <c r="B398">
        <v>1</v>
      </c>
      <c r="C398">
        <v>0</v>
      </c>
      <c r="D398">
        <v>60</v>
      </c>
      <c r="E398">
        <v>18</v>
      </c>
      <c r="F398">
        <v>1</v>
      </c>
      <c r="G398">
        <v>1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1</v>
      </c>
      <c r="N398" s="14">
        <f t="shared" si="12"/>
        <v>1</v>
      </c>
      <c r="O398">
        <f t="shared" si="13"/>
        <v>0.94020193655392492</v>
      </c>
    </row>
    <row r="399" spans="1:15" x14ac:dyDescent="0.4">
      <c r="A399">
        <v>1288</v>
      </c>
      <c r="B399">
        <v>0</v>
      </c>
      <c r="C399">
        <v>0</v>
      </c>
      <c r="D399">
        <v>7.25</v>
      </c>
      <c r="E399">
        <v>24</v>
      </c>
      <c r="F399">
        <v>0</v>
      </c>
      <c r="G399">
        <v>0</v>
      </c>
      <c r="H399">
        <v>0</v>
      </c>
      <c r="I399">
        <v>1</v>
      </c>
      <c r="J399">
        <v>0</v>
      </c>
      <c r="K399">
        <v>1</v>
      </c>
      <c r="L399">
        <v>0</v>
      </c>
      <c r="M399">
        <v>1</v>
      </c>
      <c r="N399" s="14">
        <f t="shared" si="12"/>
        <v>0</v>
      </c>
      <c r="O399">
        <f t="shared" si="13"/>
        <v>0.14572913324417733</v>
      </c>
    </row>
    <row r="400" spans="1:15" x14ac:dyDescent="0.4">
      <c r="A400">
        <v>1289</v>
      </c>
      <c r="B400">
        <v>1</v>
      </c>
      <c r="C400">
        <v>1</v>
      </c>
      <c r="D400">
        <v>79.2</v>
      </c>
      <c r="E400">
        <v>48</v>
      </c>
      <c r="F400">
        <v>1</v>
      </c>
      <c r="G400">
        <v>1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1</v>
      </c>
      <c r="N400" s="14">
        <f t="shared" si="12"/>
        <v>1</v>
      </c>
      <c r="O400">
        <f t="shared" si="13"/>
        <v>0.87929131497360702</v>
      </c>
    </row>
    <row r="401" spans="1:15" x14ac:dyDescent="0.4">
      <c r="A401">
        <v>1290</v>
      </c>
      <c r="B401">
        <v>0</v>
      </c>
      <c r="C401">
        <v>0</v>
      </c>
      <c r="D401">
        <v>7.7750000000000004</v>
      </c>
      <c r="E401">
        <v>22</v>
      </c>
      <c r="F401">
        <v>0</v>
      </c>
      <c r="G401">
        <v>0</v>
      </c>
      <c r="H401">
        <v>0</v>
      </c>
      <c r="I401">
        <v>1</v>
      </c>
      <c r="J401">
        <v>1</v>
      </c>
      <c r="K401">
        <v>0</v>
      </c>
      <c r="L401">
        <v>0</v>
      </c>
      <c r="M401">
        <v>1</v>
      </c>
      <c r="N401" s="14">
        <f t="shared" si="12"/>
        <v>0</v>
      </c>
      <c r="O401">
        <f t="shared" si="13"/>
        <v>0.11220089624504503</v>
      </c>
    </row>
    <row r="402" spans="1:15" x14ac:dyDescent="0.4">
      <c r="A402">
        <v>1291</v>
      </c>
      <c r="B402">
        <v>0</v>
      </c>
      <c r="C402">
        <v>0</v>
      </c>
      <c r="D402">
        <v>7.7332999999999998</v>
      </c>
      <c r="E402">
        <v>31</v>
      </c>
      <c r="F402">
        <v>0</v>
      </c>
      <c r="G402">
        <v>0</v>
      </c>
      <c r="H402">
        <v>0</v>
      </c>
      <c r="I402">
        <v>1</v>
      </c>
      <c r="J402">
        <v>0</v>
      </c>
      <c r="K402">
        <v>1</v>
      </c>
      <c r="L402">
        <v>0</v>
      </c>
      <c r="M402">
        <v>1</v>
      </c>
      <c r="N402" s="14">
        <f t="shared" si="12"/>
        <v>0</v>
      </c>
      <c r="O402">
        <f t="shared" si="13"/>
        <v>0.11536778452362563</v>
      </c>
    </row>
    <row r="403" spans="1:15" x14ac:dyDescent="0.4">
      <c r="A403">
        <v>1292</v>
      </c>
      <c r="B403">
        <v>0</v>
      </c>
      <c r="C403">
        <v>0</v>
      </c>
      <c r="D403">
        <v>164.86670000000001</v>
      </c>
      <c r="E403">
        <v>30</v>
      </c>
      <c r="F403">
        <v>1</v>
      </c>
      <c r="G403">
        <v>1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1</v>
      </c>
      <c r="N403" s="14">
        <f t="shared" si="12"/>
        <v>1</v>
      </c>
      <c r="O403">
        <f t="shared" si="13"/>
        <v>0.94583274057616329</v>
      </c>
    </row>
    <row r="404" spans="1:15" x14ac:dyDescent="0.4">
      <c r="A404">
        <v>1293</v>
      </c>
      <c r="B404">
        <v>1</v>
      </c>
      <c r="C404">
        <v>0</v>
      </c>
      <c r="D404">
        <v>21</v>
      </c>
      <c r="E404">
        <v>38</v>
      </c>
      <c r="F404">
        <v>0</v>
      </c>
      <c r="G404">
        <v>0</v>
      </c>
      <c r="H404">
        <v>1</v>
      </c>
      <c r="I404">
        <v>0</v>
      </c>
      <c r="J404">
        <v>1</v>
      </c>
      <c r="K404">
        <v>0</v>
      </c>
      <c r="L404">
        <v>0</v>
      </c>
      <c r="M404">
        <v>1</v>
      </c>
      <c r="N404" s="14">
        <f t="shared" si="12"/>
        <v>0</v>
      </c>
      <c r="O404">
        <f t="shared" si="13"/>
        <v>0.14853261048647401</v>
      </c>
    </row>
    <row r="405" spans="1:15" x14ac:dyDescent="0.4">
      <c r="A405">
        <v>1294</v>
      </c>
      <c r="B405">
        <v>0</v>
      </c>
      <c r="C405">
        <v>1</v>
      </c>
      <c r="D405">
        <v>59.4</v>
      </c>
      <c r="E405">
        <v>22</v>
      </c>
      <c r="F405">
        <v>1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1</v>
      </c>
      <c r="N405" s="14">
        <f t="shared" si="12"/>
        <v>1</v>
      </c>
      <c r="O405">
        <f t="shared" si="13"/>
        <v>0.96313826847436257</v>
      </c>
    </row>
    <row r="406" spans="1:15" x14ac:dyDescent="0.4">
      <c r="A406">
        <v>1295</v>
      </c>
      <c r="B406">
        <v>0</v>
      </c>
      <c r="C406">
        <v>0</v>
      </c>
      <c r="D406">
        <v>47.1</v>
      </c>
      <c r="E406">
        <v>17</v>
      </c>
      <c r="F406">
        <v>0</v>
      </c>
      <c r="G406">
        <v>1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1</v>
      </c>
      <c r="N406" s="14">
        <f t="shared" si="12"/>
        <v>1</v>
      </c>
      <c r="O406">
        <f t="shared" si="13"/>
        <v>0.59044410043241657</v>
      </c>
    </row>
    <row r="407" spans="1:15" x14ac:dyDescent="0.4">
      <c r="A407">
        <v>1296</v>
      </c>
      <c r="B407">
        <v>1</v>
      </c>
      <c r="C407">
        <v>0</v>
      </c>
      <c r="D407">
        <v>27.720800000000001</v>
      </c>
      <c r="E407">
        <v>43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1</v>
      </c>
      <c r="N407" s="14">
        <f t="shared" si="12"/>
        <v>0</v>
      </c>
      <c r="O407">
        <f t="shared" si="13"/>
        <v>0.36163543974784124</v>
      </c>
    </row>
    <row r="408" spans="1:15" x14ac:dyDescent="0.4">
      <c r="A408">
        <v>1297</v>
      </c>
      <c r="B408">
        <v>0</v>
      </c>
      <c r="C408">
        <v>0</v>
      </c>
      <c r="D408">
        <v>13.862500000000001</v>
      </c>
      <c r="E408">
        <v>20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0</v>
      </c>
      <c r="L408">
        <v>1</v>
      </c>
      <c r="M408">
        <v>1</v>
      </c>
      <c r="N408" s="14">
        <f t="shared" si="12"/>
        <v>0</v>
      </c>
      <c r="O408">
        <f t="shared" si="13"/>
        <v>0.42247469874143412</v>
      </c>
    </row>
    <row r="409" spans="1:15" x14ac:dyDescent="0.4">
      <c r="A409">
        <v>1298</v>
      </c>
      <c r="B409">
        <v>1</v>
      </c>
      <c r="C409">
        <v>0</v>
      </c>
      <c r="D409">
        <v>10.5</v>
      </c>
      <c r="E409">
        <v>23</v>
      </c>
      <c r="F409">
        <v>0</v>
      </c>
      <c r="G409">
        <v>0</v>
      </c>
      <c r="H409">
        <v>1</v>
      </c>
      <c r="I409">
        <v>0</v>
      </c>
      <c r="J409">
        <v>1</v>
      </c>
      <c r="K409">
        <v>0</v>
      </c>
      <c r="L409">
        <v>0</v>
      </c>
      <c r="M409">
        <v>1</v>
      </c>
      <c r="N409" s="14">
        <f t="shared" si="12"/>
        <v>0</v>
      </c>
      <c r="O409">
        <f t="shared" si="13"/>
        <v>0.23275318158171021</v>
      </c>
    </row>
    <row r="410" spans="1:15" x14ac:dyDescent="0.4">
      <c r="A410">
        <v>1299</v>
      </c>
      <c r="B410">
        <v>1</v>
      </c>
      <c r="C410">
        <v>1</v>
      </c>
      <c r="D410">
        <v>211.5</v>
      </c>
      <c r="E410">
        <v>50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1</v>
      </c>
      <c r="N410" s="14">
        <f t="shared" si="12"/>
        <v>0</v>
      </c>
      <c r="O410">
        <f t="shared" si="13"/>
        <v>0.37718353042328612</v>
      </c>
    </row>
    <row r="411" spans="1:15" x14ac:dyDescent="0.4">
      <c r="A411">
        <v>1300</v>
      </c>
      <c r="B411">
        <v>0</v>
      </c>
      <c r="C411">
        <v>0</v>
      </c>
      <c r="D411">
        <v>7.7207999999999997</v>
      </c>
      <c r="E411">
        <v>28</v>
      </c>
      <c r="F411">
        <v>1</v>
      </c>
      <c r="G411">
        <v>0</v>
      </c>
      <c r="H411">
        <v>0</v>
      </c>
      <c r="I411">
        <v>1</v>
      </c>
      <c r="J411">
        <v>0</v>
      </c>
      <c r="K411">
        <v>1</v>
      </c>
      <c r="L411">
        <v>0</v>
      </c>
      <c r="M411">
        <v>1</v>
      </c>
      <c r="N411" s="14">
        <f t="shared" si="12"/>
        <v>1</v>
      </c>
      <c r="O411">
        <f t="shared" si="13"/>
        <v>0.68956928693896991</v>
      </c>
    </row>
    <row r="412" spans="1:15" x14ac:dyDescent="0.4">
      <c r="A412">
        <v>1301</v>
      </c>
      <c r="B412">
        <v>1</v>
      </c>
      <c r="C412">
        <v>1</v>
      </c>
      <c r="D412">
        <v>13.775</v>
      </c>
      <c r="E412">
        <v>3</v>
      </c>
      <c r="F412">
        <v>1</v>
      </c>
      <c r="G412">
        <v>0</v>
      </c>
      <c r="H412">
        <v>0</v>
      </c>
      <c r="I412">
        <v>1</v>
      </c>
      <c r="J412">
        <v>1</v>
      </c>
      <c r="K412">
        <v>0</v>
      </c>
      <c r="L412">
        <v>0</v>
      </c>
      <c r="M412">
        <v>1</v>
      </c>
      <c r="N412" s="14">
        <f t="shared" si="12"/>
        <v>1</v>
      </c>
      <c r="O412">
        <f t="shared" si="13"/>
        <v>0.72748073055910067</v>
      </c>
    </row>
    <row r="413" spans="1:15" x14ac:dyDescent="0.4">
      <c r="A413">
        <v>1302</v>
      </c>
      <c r="B413">
        <v>0</v>
      </c>
      <c r="C413">
        <v>0</v>
      </c>
      <c r="D413">
        <v>7.75</v>
      </c>
      <c r="E413">
        <v>28</v>
      </c>
      <c r="F413">
        <v>1</v>
      </c>
      <c r="G413">
        <v>0</v>
      </c>
      <c r="H413">
        <v>0</v>
      </c>
      <c r="I413">
        <v>1</v>
      </c>
      <c r="J413">
        <v>0</v>
      </c>
      <c r="K413">
        <v>1</v>
      </c>
      <c r="L413">
        <v>0</v>
      </c>
      <c r="M413">
        <v>1</v>
      </c>
      <c r="N413" s="14">
        <f t="shared" si="12"/>
        <v>1</v>
      </c>
      <c r="O413">
        <f t="shared" si="13"/>
        <v>0.68958390472100084</v>
      </c>
    </row>
    <row r="414" spans="1:15" x14ac:dyDescent="0.4">
      <c r="A414">
        <v>1303</v>
      </c>
      <c r="B414">
        <v>1</v>
      </c>
      <c r="C414">
        <v>0</v>
      </c>
      <c r="D414">
        <v>90</v>
      </c>
      <c r="E414">
        <v>37</v>
      </c>
      <c r="F414">
        <v>1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1</v>
      </c>
      <c r="N414" s="14">
        <f t="shared" si="12"/>
        <v>1</v>
      </c>
      <c r="O414">
        <f t="shared" si="13"/>
        <v>0.92212175535486574</v>
      </c>
    </row>
    <row r="415" spans="1:15" x14ac:dyDescent="0.4">
      <c r="A415">
        <v>1304</v>
      </c>
      <c r="B415">
        <v>0</v>
      </c>
      <c r="C415">
        <v>0</v>
      </c>
      <c r="D415">
        <v>7.7750000000000004</v>
      </c>
      <c r="E415">
        <v>28</v>
      </c>
      <c r="F415">
        <v>1</v>
      </c>
      <c r="G415">
        <v>0</v>
      </c>
      <c r="H415">
        <v>0</v>
      </c>
      <c r="I415">
        <v>1</v>
      </c>
      <c r="J415">
        <v>1</v>
      </c>
      <c r="K415">
        <v>0</v>
      </c>
      <c r="L415">
        <v>0</v>
      </c>
      <c r="M415">
        <v>1</v>
      </c>
      <c r="N415" s="14">
        <f t="shared" si="12"/>
        <v>1</v>
      </c>
      <c r="O415">
        <f t="shared" si="13"/>
        <v>0.60348291842845014</v>
      </c>
    </row>
    <row r="416" spans="1:15" x14ac:dyDescent="0.4">
      <c r="A416">
        <v>1305</v>
      </c>
      <c r="B416">
        <v>0</v>
      </c>
      <c r="C416">
        <v>0</v>
      </c>
      <c r="D416">
        <v>8.0500000000000007</v>
      </c>
      <c r="E416">
        <v>28</v>
      </c>
      <c r="F416">
        <v>0</v>
      </c>
      <c r="G416">
        <v>0</v>
      </c>
      <c r="H416">
        <v>0</v>
      </c>
      <c r="I416">
        <v>1</v>
      </c>
      <c r="J416">
        <v>1</v>
      </c>
      <c r="K416">
        <v>0</v>
      </c>
      <c r="L416">
        <v>0</v>
      </c>
      <c r="M416">
        <v>1</v>
      </c>
      <c r="N416" s="14">
        <f t="shared" si="12"/>
        <v>0</v>
      </c>
      <c r="O416">
        <f t="shared" si="13"/>
        <v>9.1208772698105012E-2</v>
      </c>
    </row>
    <row r="417" spans="1:15" x14ac:dyDescent="0.4">
      <c r="A417">
        <v>1306</v>
      </c>
      <c r="B417">
        <v>0</v>
      </c>
      <c r="C417">
        <v>0</v>
      </c>
      <c r="D417">
        <v>108.9</v>
      </c>
      <c r="E417">
        <v>39</v>
      </c>
      <c r="F417">
        <v>1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1</v>
      </c>
      <c r="M417">
        <v>1</v>
      </c>
      <c r="N417" s="14">
        <f t="shared" si="12"/>
        <v>1</v>
      </c>
      <c r="O417">
        <f t="shared" si="13"/>
        <v>0.94359889045307055</v>
      </c>
    </row>
    <row r="418" spans="1:15" x14ac:dyDescent="0.4">
      <c r="A418">
        <v>1307</v>
      </c>
      <c r="B418">
        <v>0</v>
      </c>
      <c r="C418">
        <v>0</v>
      </c>
      <c r="D418">
        <v>7.25</v>
      </c>
      <c r="E418">
        <v>38.5</v>
      </c>
      <c r="F418">
        <v>0</v>
      </c>
      <c r="G418">
        <v>0</v>
      </c>
      <c r="H418">
        <v>0</v>
      </c>
      <c r="I418">
        <v>1</v>
      </c>
      <c r="J418">
        <v>1</v>
      </c>
      <c r="K418">
        <v>0</v>
      </c>
      <c r="L418">
        <v>0</v>
      </c>
      <c r="M418">
        <v>1</v>
      </c>
      <c r="N418" s="14">
        <f t="shared" si="12"/>
        <v>0</v>
      </c>
      <c r="O418">
        <f t="shared" si="13"/>
        <v>6.2658234766521381E-2</v>
      </c>
    </row>
    <row r="419" spans="1:15" x14ac:dyDescent="0.4">
      <c r="A419">
        <v>1308</v>
      </c>
      <c r="B419">
        <v>0</v>
      </c>
      <c r="C419">
        <v>0</v>
      </c>
      <c r="D419">
        <v>8.0500000000000007</v>
      </c>
      <c r="E419">
        <v>28</v>
      </c>
      <c r="F419">
        <v>0</v>
      </c>
      <c r="G419">
        <v>0</v>
      </c>
      <c r="H419">
        <v>0</v>
      </c>
      <c r="I419">
        <v>1</v>
      </c>
      <c r="J419">
        <v>1</v>
      </c>
      <c r="K419">
        <v>0</v>
      </c>
      <c r="L419">
        <v>0</v>
      </c>
      <c r="M419">
        <v>1</v>
      </c>
      <c r="N419" s="14">
        <f t="shared" si="12"/>
        <v>0</v>
      </c>
      <c r="O419">
        <f t="shared" si="13"/>
        <v>9.1208772698105012E-2</v>
      </c>
    </row>
    <row r="420" spans="1:15" x14ac:dyDescent="0.4">
      <c r="A420">
        <v>1309</v>
      </c>
      <c r="B420">
        <v>1</v>
      </c>
      <c r="C420">
        <v>1</v>
      </c>
      <c r="D420">
        <v>22.3583</v>
      </c>
      <c r="E420">
        <v>28</v>
      </c>
      <c r="F420">
        <v>0</v>
      </c>
      <c r="G420">
        <v>0</v>
      </c>
      <c r="H420">
        <v>0</v>
      </c>
      <c r="I420">
        <v>1</v>
      </c>
      <c r="J420">
        <v>0</v>
      </c>
      <c r="K420">
        <v>0</v>
      </c>
      <c r="L420">
        <v>1</v>
      </c>
      <c r="M420">
        <v>1</v>
      </c>
      <c r="N420" s="14">
        <f t="shared" si="12"/>
        <v>0</v>
      </c>
      <c r="O420">
        <f t="shared" si="13"/>
        <v>9.5699052419512709E-2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DE7-8C8B-4378-8A7E-263EF534EBB3}">
  <sheetPr codeName="Sheet5"/>
  <dimension ref="A1:B419"/>
  <sheetViews>
    <sheetView workbookViewId="0"/>
  </sheetViews>
  <sheetFormatPr defaultRowHeight="18.75" x14ac:dyDescent="0.4"/>
  <cols>
    <col min="1" max="1" width="12.375" bestFit="1" customWidth="1"/>
  </cols>
  <sheetData>
    <row r="1" spans="1:2" x14ac:dyDescent="0.4">
      <c r="A1" t="s">
        <v>2482</v>
      </c>
      <c r="B1" t="s">
        <v>2483</v>
      </c>
    </row>
    <row r="2" spans="1:2" x14ac:dyDescent="0.4">
      <c r="A2" cm="1">
        <f t="array" ref="A2:A419">'テストデータ(加工後&amp;ロジスティック回帰)'!A3:A420</f>
        <v>892</v>
      </c>
      <c r="B2" cm="1">
        <f t="array" ref="B2:B419">'テストデータ(加工後&amp;ロジスティック回帰)'!N3:N420</f>
        <v>0</v>
      </c>
    </row>
    <row r="3" spans="1:2" x14ac:dyDescent="0.4">
      <c r="A3">
        <v>893</v>
      </c>
      <c r="B3">
        <v>0</v>
      </c>
    </row>
    <row r="4" spans="1:2" x14ac:dyDescent="0.4">
      <c r="A4">
        <v>894</v>
      </c>
      <c r="B4">
        <v>0</v>
      </c>
    </row>
    <row r="5" spans="1:2" x14ac:dyDescent="0.4">
      <c r="A5">
        <v>895</v>
      </c>
      <c r="B5">
        <v>0</v>
      </c>
    </row>
    <row r="6" spans="1:2" x14ac:dyDescent="0.4">
      <c r="A6">
        <v>896</v>
      </c>
      <c r="B6">
        <v>1</v>
      </c>
    </row>
    <row r="7" spans="1:2" x14ac:dyDescent="0.4">
      <c r="A7">
        <v>897</v>
      </c>
      <c r="B7">
        <v>0</v>
      </c>
    </row>
    <row r="8" spans="1:2" x14ac:dyDescent="0.4">
      <c r="A8">
        <v>898</v>
      </c>
      <c r="B8">
        <v>1</v>
      </c>
    </row>
    <row r="9" spans="1:2" x14ac:dyDescent="0.4">
      <c r="A9">
        <v>899</v>
      </c>
      <c r="B9">
        <v>0</v>
      </c>
    </row>
    <row r="10" spans="1:2" x14ac:dyDescent="0.4">
      <c r="A10">
        <v>900</v>
      </c>
      <c r="B10">
        <v>1</v>
      </c>
    </row>
    <row r="11" spans="1:2" x14ac:dyDescent="0.4">
      <c r="A11">
        <v>901</v>
      </c>
      <c r="B11">
        <v>0</v>
      </c>
    </row>
    <row r="12" spans="1:2" x14ac:dyDescent="0.4">
      <c r="A12">
        <v>902</v>
      </c>
      <c r="B12">
        <v>0</v>
      </c>
    </row>
    <row r="13" spans="1:2" x14ac:dyDescent="0.4">
      <c r="A13">
        <v>903</v>
      </c>
      <c r="B13">
        <v>0</v>
      </c>
    </row>
    <row r="14" spans="1:2" x14ac:dyDescent="0.4">
      <c r="A14">
        <v>904</v>
      </c>
      <c r="B14">
        <v>1</v>
      </c>
    </row>
    <row r="15" spans="1:2" x14ac:dyDescent="0.4">
      <c r="A15">
        <v>905</v>
      </c>
      <c r="B15">
        <v>0</v>
      </c>
    </row>
    <row r="16" spans="1:2" x14ac:dyDescent="0.4">
      <c r="A16">
        <v>906</v>
      </c>
      <c r="B16">
        <v>1</v>
      </c>
    </row>
    <row r="17" spans="1:2" x14ac:dyDescent="0.4">
      <c r="A17">
        <v>907</v>
      </c>
      <c r="B17">
        <v>1</v>
      </c>
    </row>
    <row r="18" spans="1:2" x14ac:dyDescent="0.4">
      <c r="A18">
        <v>908</v>
      </c>
      <c r="B18">
        <v>0</v>
      </c>
    </row>
    <row r="19" spans="1:2" x14ac:dyDescent="0.4">
      <c r="A19">
        <v>909</v>
      </c>
      <c r="B19">
        <v>0</v>
      </c>
    </row>
    <row r="20" spans="1:2" x14ac:dyDescent="0.4">
      <c r="A20">
        <v>910</v>
      </c>
      <c r="B20">
        <v>1</v>
      </c>
    </row>
    <row r="21" spans="1:2" x14ac:dyDescent="0.4">
      <c r="A21">
        <v>911</v>
      </c>
      <c r="B21">
        <v>1</v>
      </c>
    </row>
    <row r="22" spans="1:2" x14ac:dyDescent="0.4">
      <c r="A22">
        <v>912</v>
      </c>
      <c r="B22">
        <v>0</v>
      </c>
    </row>
    <row r="23" spans="1:2" x14ac:dyDescent="0.4">
      <c r="A23">
        <v>913</v>
      </c>
      <c r="B23">
        <v>0</v>
      </c>
    </row>
    <row r="24" spans="1:2" x14ac:dyDescent="0.4">
      <c r="A24">
        <v>914</v>
      </c>
      <c r="B24">
        <v>1</v>
      </c>
    </row>
    <row r="25" spans="1:2" x14ac:dyDescent="0.4">
      <c r="A25">
        <v>915</v>
      </c>
      <c r="B25">
        <v>1</v>
      </c>
    </row>
    <row r="26" spans="1:2" x14ac:dyDescent="0.4">
      <c r="A26">
        <v>916</v>
      </c>
      <c r="B26">
        <v>1</v>
      </c>
    </row>
    <row r="27" spans="1:2" x14ac:dyDescent="0.4">
      <c r="A27">
        <v>917</v>
      </c>
      <c r="B27">
        <v>0</v>
      </c>
    </row>
    <row r="28" spans="1:2" x14ac:dyDescent="0.4">
      <c r="A28">
        <v>918</v>
      </c>
      <c r="B28">
        <v>1</v>
      </c>
    </row>
    <row r="29" spans="1:2" x14ac:dyDescent="0.4">
      <c r="A29">
        <v>919</v>
      </c>
      <c r="B29">
        <v>0</v>
      </c>
    </row>
    <row r="30" spans="1:2" x14ac:dyDescent="0.4">
      <c r="A30">
        <v>920</v>
      </c>
      <c r="B30">
        <v>0</v>
      </c>
    </row>
    <row r="31" spans="1:2" x14ac:dyDescent="0.4">
      <c r="A31">
        <v>921</v>
      </c>
      <c r="B31">
        <v>0</v>
      </c>
    </row>
    <row r="32" spans="1:2" x14ac:dyDescent="0.4">
      <c r="A32">
        <v>922</v>
      </c>
      <c r="B32">
        <v>0</v>
      </c>
    </row>
    <row r="33" spans="1:2" x14ac:dyDescent="0.4">
      <c r="A33">
        <v>923</v>
      </c>
      <c r="B33">
        <v>0</v>
      </c>
    </row>
    <row r="34" spans="1:2" x14ac:dyDescent="0.4">
      <c r="A34">
        <v>924</v>
      </c>
      <c r="B34">
        <v>0</v>
      </c>
    </row>
    <row r="35" spans="1:2" x14ac:dyDescent="0.4">
      <c r="A35">
        <v>925</v>
      </c>
      <c r="B35">
        <v>0</v>
      </c>
    </row>
    <row r="36" spans="1:2" x14ac:dyDescent="0.4">
      <c r="A36">
        <v>926</v>
      </c>
      <c r="B36">
        <v>1</v>
      </c>
    </row>
    <row r="37" spans="1:2" x14ac:dyDescent="0.4">
      <c r="A37">
        <v>927</v>
      </c>
      <c r="B37">
        <v>0</v>
      </c>
    </row>
    <row r="38" spans="1:2" x14ac:dyDescent="0.4">
      <c r="A38">
        <v>928</v>
      </c>
      <c r="B38">
        <v>1</v>
      </c>
    </row>
    <row r="39" spans="1:2" x14ac:dyDescent="0.4">
      <c r="A39">
        <v>929</v>
      </c>
      <c r="B39">
        <v>1</v>
      </c>
    </row>
    <row r="40" spans="1:2" x14ac:dyDescent="0.4">
      <c r="A40">
        <v>930</v>
      </c>
      <c r="B40">
        <v>0</v>
      </c>
    </row>
    <row r="41" spans="1:2" x14ac:dyDescent="0.4">
      <c r="A41">
        <v>931</v>
      </c>
      <c r="B41">
        <v>0</v>
      </c>
    </row>
    <row r="42" spans="1:2" x14ac:dyDescent="0.4">
      <c r="A42">
        <v>932</v>
      </c>
      <c r="B42">
        <v>0</v>
      </c>
    </row>
    <row r="43" spans="1:2" x14ac:dyDescent="0.4">
      <c r="A43">
        <v>933</v>
      </c>
      <c r="B43">
        <v>0</v>
      </c>
    </row>
    <row r="44" spans="1:2" x14ac:dyDescent="0.4">
      <c r="A44">
        <v>934</v>
      </c>
      <c r="B44">
        <v>0</v>
      </c>
    </row>
    <row r="45" spans="1:2" x14ac:dyDescent="0.4">
      <c r="A45">
        <v>935</v>
      </c>
      <c r="B45">
        <v>1</v>
      </c>
    </row>
    <row r="46" spans="1:2" x14ac:dyDescent="0.4">
      <c r="A46">
        <v>936</v>
      </c>
      <c r="B46">
        <v>1</v>
      </c>
    </row>
    <row r="47" spans="1:2" x14ac:dyDescent="0.4">
      <c r="A47">
        <v>937</v>
      </c>
      <c r="B47">
        <v>0</v>
      </c>
    </row>
    <row r="48" spans="1:2" x14ac:dyDescent="0.4">
      <c r="A48">
        <v>938</v>
      </c>
      <c r="B48">
        <v>0</v>
      </c>
    </row>
    <row r="49" spans="1:2" x14ac:dyDescent="0.4">
      <c r="A49">
        <v>939</v>
      </c>
      <c r="B49">
        <v>0</v>
      </c>
    </row>
    <row r="50" spans="1:2" x14ac:dyDescent="0.4">
      <c r="A50">
        <v>940</v>
      </c>
      <c r="B50">
        <v>1</v>
      </c>
    </row>
    <row r="51" spans="1:2" x14ac:dyDescent="0.4">
      <c r="A51">
        <v>941</v>
      </c>
      <c r="B51">
        <v>0</v>
      </c>
    </row>
    <row r="52" spans="1:2" x14ac:dyDescent="0.4">
      <c r="A52">
        <v>942</v>
      </c>
      <c r="B52">
        <v>0</v>
      </c>
    </row>
    <row r="53" spans="1:2" x14ac:dyDescent="0.4">
      <c r="A53">
        <v>943</v>
      </c>
      <c r="B53">
        <v>0</v>
      </c>
    </row>
    <row r="54" spans="1:2" x14ac:dyDescent="0.4">
      <c r="A54">
        <v>944</v>
      </c>
      <c r="B54">
        <v>1</v>
      </c>
    </row>
    <row r="55" spans="1:2" x14ac:dyDescent="0.4">
      <c r="A55">
        <v>945</v>
      </c>
      <c r="B55">
        <v>1</v>
      </c>
    </row>
    <row r="56" spans="1:2" x14ac:dyDescent="0.4">
      <c r="A56">
        <v>946</v>
      </c>
      <c r="B56">
        <v>0</v>
      </c>
    </row>
    <row r="57" spans="1:2" x14ac:dyDescent="0.4">
      <c r="A57">
        <v>947</v>
      </c>
      <c r="B57">
        <v>0</v>
      </c>
    </row>
    <row r="58" spans="1:2" x14ac:dyDescent="0.4">
      <c r="A58">
        <v>948</v>
      </c>
      <c r="B58">
        <v>0</v>
      </c>
    </row>
    <row r="59" spans="1:2" x14ac:dyDescent="0.4">
      <c r="A59">
        <v>949</v>
      </c>
      <c r="B59">
        <v>0</v>
      </c>
    </row>
    <row r="60" spans="1:2" x14ac:dyDescent="0.4">
      <c r="A60">
        <v>950</v>
      </c>
      <c r="B60">
        <v>0</v>
      </c>
    </row>
    <row r="61" spans="1:2" x14ac:dyDescent="0.4">
      <c r="A61">
        <v>951</v>
      </c>
      <c r="B61">
        <v>1</v>
      </c>
    </row>
    <row r="62" spans="1:2" x14ac:dyDescent="0.4">
      <c r="A62">
        <v>952</v>
      </c>
      <c r="B62">
        <v>0</v>
      </c>
    </row>
    <row r="63" spans="1:2" x14ac:dyDescent="0.4">
      <c r="A63">
        <v>953</v>
      </c>
      <c r="B63">
        <v>0</v>
      </c>
    </row>
    <row r="64" spans="1:2" x14ac:dyDescent="0.4">
      <c r="A64">
        <v>954</v>
      </c>
      <c r="B64">
        <v>0</v>
      </c>
    </row>
    <row r="65" spans="1:2" x14ac:dyDescent="0.4">
      <c r="A65">
        <v>955</v>
      </c>
      <c r="B65">
        <v>1</v>
      </c>
    </row>
    <row r="66" spans="1:2" x14ac:dyDescent="0.4">
      <c r="A66">
        <v>956</v>
      </c>
      <c r="B66">
        <v>1</v>
      </c>
    </row>
    <row r="67" spans="1:2" x14ac:dyDescent="0.4">
      <c r="A67">
        <v>957</v>
      </c>
      <c r="B67">
        <v>1</v>
      </c>
    </row>
    <row r="68" spans="1:2" x14ac:dyDescent="0.4">
      <c r="A68">
        <v>958</v>
      </c>
      <c r="B68">
        <v>1</v>
      </c>
    </row>
    <row r="69" spans="1:2" x14ac:dyDescent="0.4">
      <c r="A69">
        <v>959</v>
      </c>
      <c r="B69">
        <v>0</v>
      </c>
    </row>
    <row r="70" spans="1:2" x14ac:dyDescent="0.4">
      <c r="A70">
        <v>960</v>
      </c>
      <c r="B70">
        <v>1</v>
      </c>
    </row>
    <row r="71" spans="1:2" x14ac:dyDescent="0.4">
      <c r="A71">
        <v>961</v>
      </c>
      <c r="B71">
        <v>1</v>
      </c>
    </row>
    <row r="72" spans="1:2" x14ac:dyDescent="0.4">
      <c r="A72">
        <v>962</v>
      </c>
      <c r="B72">
        <v>1</v>
      </c>
    </row>
    <row r="73" spans="1:2" x14ac:dyDescent="0.4">
      <c r="A73">
        <v>963</v>
      </c>
      <c r="B73">
        <v>0</v>
      </c>
    </row>
    <row r="74" spans="1:2" x14ac:dyDescent="0.4">
      <c r="A74">
        <v>964</v>
      </c>
      <c r="B74">
        <v>1</v>
      </c>
    </row>
    <row r="75" spans="1:2" x14ac:dyDescent="0.4">
      <c r="A75">
        <v>965</v>
      </c>
      <c r="B75">
        <v>1</v>
      </c>
    </row>
    <row r="76" spans="1:2" x14ac:dyDescent="0.4">
      <c r="A76">
        <v>966</v>
      </c>
      <c r="B76">
        <v>1</v>
      </c>
    </row>
    <row r="77" spans="1:2" x14ac:dyDescent="0.4">
      <c r="A77">
        <v>967</v>
      </c>
      <c r="B77">
        <v>1</v>
      </c>
    </row>
    <row r="78" spans="1:2" x14ac:dyDescent="0.4">
      <c r="A78">
        <v>968</v>
      </c>
      <c r="B78">
        <v>0</v>
      </c>
    </row>
    <row r="79" spans="1:2" x14ac:dyDescent="0.4">
      <c r="A79">
        <v>969</v>
      </c>
      <c r="B79">
        <v>1</v>
      </c>
    </row>
    <row r="80" spans="1:2" x14ac:dyDescent="0.4">
      <c r="A80">
        <v>970</v>
      </c>
      <c r="B80">
        <v>0</v>
      </c>
    </row>
    <row r="81" spans="1:2" x14ac:dyDescent="0.4">
      <c r="A81">
        <v>971</v>
      </c>
      <c r="B81">
        <v>1</v>
      </c>
    </row>
    <row r="82" spans="1:2" x14ac:dyDescent="0.4">
      <c r="A82">
        <v>972</v>
      </c>
      <c r="B82">
        <v>0</v>
      </c>
    </row>
    <row r="83" spans="1:2" x14ac:dyDescent="0.4">
      <c r="A83">
        <v>973</v>
      </c>
      <c r="B83">
        <v>0</v>
      </c>
    </row>
    <row r="84" spans="1:2" x14ac:dyDescent="0.4">
      <c r="A84">
        <v>974</v>
      </c>
      <c r="B84">
        <v>0</v>
      </c>
    </row>
    <row r="85" spans="1:2" x14ac:dyDescent="0.4">
      <c r="A85">
        <v>975</v>
      </c>
      <c r="B85">
        <v>0</v>
      </c>
    </row>
    <row r="86" spans="1:2" x14ac:dyDescent="0.4">
      <c r="A86">
        <v>976</v>
      </c>
      <c r="B86">
        <v>0</v>
      </c>
    </row>
    <row r="87" spans="1:2" x14ac:dyDescent="0.4">
      <c r="A87">
        <v>977</v>
      </c>
      <c r="B87">
        <v>0</v>
      </c>
    </row>
    <row r="88" spans="1:2" x14ac:dyDescent="0.4">
      <c r="A88">
        <v>978</v>
      </c>
      <c r="B88">
        <v>1</v>
      </c>
    </row>
    <row r="89" spans="1:2" x14ac:dyDescent="0.4">
      <c r="A89">
        <v>979</v>
      </c>
      <c r="B89">
        <v>1</v>
      </c>
    </row>
    <row r="90" spans="1:2" x14ac:dyDescent="0.4">
      <c r="A90">
        <v>980</v>
      </c>
      <c r="B90">
        <v>1</v>
      </c>
    </row>
    <row r="91" spans="1:2" x14ac:dyDescent="0.4">
      <c r="A91">
        <v>981</v>
      </c>
      <c r="B91">
        <v>0</v>
      </c>
    </row>
    <row r="92" spans="1:2" x14ac:dyDescent="0.4">
      <c r="A92">
        <v>982</v>
      </c>
      <c r="B92">
        <v>1</v>
      </c>
    </row>
    <row r="93" spans="1:2" x14ac:dyDescent="0.4">
      <c r="A93">
        <v>983</v>
      </c>
      <c r="B93">
        <v>0</v>
      </c>
    </row>
    <row r="94" spans="1:2" x14ac:dyDescent="0.4">
      <c r="A94">
        <v>984</v>
      </c>
      <c r="B94">
        <v>1</v>
      </c>
    </row>
    <row r="95" spans="1:2" x14ac:dyDescent="0.4">
      <c r="A95">
        <v>985</v>
      </c>
      <c r="B95">
        <v>0</v>
      </c>
    </row>
    <row r="96" spans="1:2" x14ac:dyDescent="0.4">
      <c r="A96">
        <v>986</v>
      </c>
      <c r="B96">
        <v>1</v>
      </c>
    </row>
    <row r="97" spans="1:2" x14ac:dyDescent="0.4">
      <c r="A97">
        <v>987</v>
      </c>
      <c r="B97">
        <v>0</v>
      </c>
    </row>
    <row r="98" spans="1:2" x14ac:dyDescent="0.4">
      <c r="A98">
        <v>988</v>
      </c>
      <c r="B98">
        <v>1</v>
      </c>
    </row>
    <row r="99" spans="1:2" x14ac:dyDescent="0.4">
      <c r="A99">
        <v>989</v>
      </c>
      <c r="B99">
        <v>0</v>
      </c>
    </row>
    <row r="100" spans="1:2" x14ac:dyDescent="0.4">
      <c r="A100">
        <v>990</v>
      </c>
      <c r="B100">
        <v>1</v>
      </c>
    </row>
    <row r="101" spans="1:2" x14ac:dyDescent="0.4">
      <c r="A101">
        <v>991</v>
      </c>
      <c r="B101">
        <v>0</v>
      </c>
    </row>
    <row r="102" spans="1:2" x14ac:dyDescent="0.4">
      <c r="A102">
        <v>992</v>
      </c>
      <c r="B102">
        <v>1</v>
      </c>
    </row>
    <row r="103" spans="1:2" x14ac:dyDescent="0.4">
      <c r="A103">
        <v>993</v>
      </c>
      <c r="B103">
        <v>0</v>
      </c>
    </row>
    <row r="104" spans="1:2" x14ac:dyDescent="0.4">
      <c r="A104">
        <v>994</v>
      </c>
      <c r="B104">
        <v>0</v>
      </c>
    </row>
    <row r="105" spans="1:2" x14ac:dyDescent="0.4">
      <c r="A105">
        <v>995</v>
      </c>
      <c r="B105">
        <v>0</v>
      </c>
    </row>
    <row r="106" spans="1:2" x14ac:dyDescent="0.4">
      <c r="A106">
        <v>996</v>
      </c>
      <c r="B106">
        <v>1</v>
      </c>
    </row>
    <row r="107" spans="1:2" x14ac:dyDescent="0.4">
      <c r="A107">
        <v>997</v>
      </c>
      <c r="B107">
        <v>0</v>
      </c>
    </row>
    <row r="108" spans="1:2" x14ac:dyDescent="0.4">
      <c r="A108">
        <v>998</v>
      </c>
      <c r="B108">
        <v>0</v>
      </c>
    </row>
    <row r="109" spans="1:2" x14ac:dyDescent="0.4">
      <c r="A109">
        <v>999</v>
      </c>
      <c r="B109">
        <v>0</v>
      </c>
    </row>
    <row r="110" spans="1:2" x14ac:dyDescent="0.4">
      <c r="A110">
        <v>1000</v>
      </c>
      <c r="B110">
        <v>0</v>
      </c>
    </row>
    <row r="111" spans="1:2" x14ac:dyDescent="0.4">
      <c r="A111">
        <v>1001</v>
      </c>
      <c r="B111">
        <v>0</v>
      </c>
    </row>
    <row r="112" spans="1:2" x14ac:dyDescent="0.4">
      <c r="A112">
        <v>1002</v>
      </c>
      <c r="B112">
        <v>0</v>
      </c>
    </row>
    <row r="113" spans="1:2" x14ac:dyDescent="0.4">
      <c r="A113">
        <v>1003</v>
      </c>
      <c r="B113">
        <v>1</v>
      </c>
    </row>
    <row r="114" spans="1:2" x14ac:dyDescent="0.4">
      <c r="A114">
        <v>1004</v>
      </c>
      <c r="B114">
        <v>1</v>
      </c>
    </row>
    <row r="115" spans="1:2" x14ac:dyDescent="0.4">
      <c r="A115">
        <v>1005</v>
      </c>
      <c r="B115">
        <v>1</v>
      </c>
    </row>
    <row r="116" spans="1:2" x14ac:dyDescent="0.4">
      <c r="A116">
        <v>1006</v>
      </c>
      <c r="B116">
        <v>1</v>
      </c>
    </row>
    <row r="117" spans="1:2" x14ac:dyDescent="0.4">
      <c r="A117">
        <v>1007</v>
      </c>
      <c r="B117">
        <v>0</v>
      </c>
    </row>
    <row r="118" spans="1:2" x14ac:dyDescent="0.4">
      <c r="A118">
        <v>1008</v>
      </c>
      <c r="B118">
        <v>0</v>
      </c>
    </row>
    <row r="119" spans="1:2" x14ac:dyDescent="0.4">
      <c r="A119">
        <v>1009</v>
      </c>
      <c r="B119">
        <v>1</v>
      </c>
    </row>
    <row r="120" spans="1:2" x14ac:dyDescent="0.4">
      <c r="A120">
        <v>1010</v>
      </c>
      <c r="B120">
        <v>1</v>
      </c>
    </row>
    <row r="121" spans="1:2" x14ac:dyDescent="0.4">
      <c r="A121">
        <v>1011</v>
      </c>
      <c r="B121">
        <v>1</v>
      </c>
    </row>
    <row r="122" spans="1:2" x14ac:dyDescent="0.4">
      <c r="A122">
        <v>1012</v>
      </c>
      <c r="B122">
        <v>1</v>
      </c>
    </row>
    <row r="123" spans="1:2" x14ac:dyDescent="0.4">
      <c r="A123">
        <v>1013</v>
      </c>
      <c r="B123">
        <v>0</v>
      </c>
    </row>
    <row r="124" spans="1:2" x14ac:dyDescent="0.4">
      <c r="A124">
        <v>1014</v>
      </c>
      <c r="B124">
        <v>1</v>
      </c>
    </row>
    <row r="125" spans="1:2" x14ac:dyDescent="0.4">
      <c r="A125">
        <v>1015</v>
      </c>
      <c r="B125">
        <v>0</v>
      </c>
    </row>
    <row r="126" spans="1:2" x14ac:dyDescent="0.4">
      <c r="A126">
        <v>1016</v>
      </c>
      <c r="B126">
        <v>0</v>
      </c>
    </row>
    <row r="127" spans="1:2" x14ac:dyDescent="0.4">
      <c r="A127">
        <v>1017</v>
      </c>
      <c r="B127">
        <v>1</v>
      </c>
    </row>
    <row r="128" spans="1:2" x14ac:dyDescent="0.4">
      <c r="A128">
        <v>1018</v>
      </c>
      <c r="B128">
        <v>0</v>
      </c>
    </row>
    <row r="129" spans="1:2" x14ac:dyDescent="0.4">
      <c r="A129">
        <v>1019</v>
      </c>
      <c r="B129">
        <v>1</v>
      </c>
    </row>
    <row r="130" spans="1:2" x14ac:dyDescent="0.4">
      <c r="A130">
        <v>1020</v>
      </c>
      <c r="B130">
        <v>0</v>
      </c>
    </row>
    <row r="131" spans="1:2" x14ac:dyDescent="0.4">
      <c r="A131">
        <v>1021</v>
      </c>
      <c r="B131">
        <v>0</v>
      </c>
    </row>
    <row r="132" spans="1:2" x14ac:dyDescent="0.4">
      <c r="A132">
        <v>1022</v>
      </c>
      <c r="B132">
        <v>0</v>
      </c>
    </row>
    <row r="133" spans="1:2" x14ac:dyDescent="0.4">
      <c r="A133">
        <v>1023</v>
      </c>
      <c r="B133">
        <v>0</v>
      </c>
    </row>
    <row r="134" spans="1:2" x14ac:dyDescent="0.4">
      <c r="A134">
        <v>1024</v>
      </c>
      <c r="B134">
        <v>1</v>
      </c>
    </row>
    <row r="135" spans="1:2" x14ac:dyDescent="0.4">
      <c r="A135">
        <v>1025</v>
      </c>
      <c r="B135">
        <v>0</v>
      </c>
    </row>
    <row r="136" spans="1:2" x14ac:dyDescent="0.4">
      <c r="A136">
        <v>1026</v>
      </c>
      <c r="B136">
        <v>0</v>
      </c>
    </row>
    <row r="137" spans="1:2" x14ac:dyDescent="0.4">
      <c r="A137">
        <v>1027</v>
      </c>
      <c r="B137">
        <v>0</v>
      </c>
    </row>
    <row r="138" spans="1:2" x14ac:dyDescent="0.4">
      <c r="A138">
        <v>1028</v>
      </c>
      <c r="B138">
        <v>0</v>
      </c>
    </row>
    <row r="139" spans="1:2" x14ac:dyDescent="0.4">
      <c r="A139">
        <v>1029</v>
      </c>
      <c r="B139">
        <v>0</v>
      </c>
    </row>
    <row r="140" spans="1:2" x14ac:dyDescent="0.4">
      <c r="A140">
        <v>1030</v>
      </c>
      <c r="B140">
        <v>1</v>
      </c>
    </row>
    <row r="141" spans="1:2" x14ac:dyDescent="0.4">
      <c r="A141">
        <v>1031</v>
      </c>
      <c r="B141">
        <v>0</v>
      </c>
    </row>
    <row r="142" spans="1:2" x14ac:dyDescent="0.4">
      <c r="A142">
        <v>1032</v>
      </c>
      <c r="B142">
        <v>0</v>
      </c>
    </row>
    <row r="143" spans="1:2" x14ac:dyDescent="0.4">
      <c r="A143">
        <v>1033</v>
      </c>
      <c r="B143">
        <v>1</v>
      </c>
    </row>
    <row r="144" spans="1:2" x14ac:dyDescent="0.4">
      <c r="A144">
        <v>1034</v>
      </c>
      <c r="B144">
        <v>0</v>
      </c>
    </row>
    <row r="145" spans="1:2" x14ac:dyDescent="0.4">
      <c r="A145">
        <v>1035</v>
      </c>
      <c r="B145">
        <v>0</v>
      </c>
    </row>
    <row r="146" spans="1:2" x14ac:dyDescent="0.4">
      <c r="A146">
        <v>1036</v>
      </c>
      <c r="B146">
        <v>0</v>
      </c>
    </row>
    <row r="147" spans="1:2" x14ac:dyDescent="0.4">
      <c r="A147">
        <v>1037</v>
      </c>
      <c r="B147">
        <v>0</v>
      </c>
    </row>
    <row r="148" spans="1:2" x14ac:dyDescent="0.4">
      <c r="A148">
        <v>1038</v>
      </c>
      <c r="B148">
        <v>0</v>
      </c>
    </row>
    <row r="149" spans="1:2" x14ac:dyDescent="0.4">
      <c r="A149">
        <v>1039</v>
      </c>
      <c r="B149">
        <v>0</v>
      </c>
    </row>
    <row r="150" spans="1:2" x14ac:dyDescent="0.4">
      <c r="A150">
        <v>1040</v>
      </c>
      <c r="B150">
        <v>0</v>
      </c>
    </row>
    <row r="151" spans="1:2" x14ac:dyDescent="0.4">
      <c r="A151">
        <v>1041</v>
      </c>
      <c r="B151">
        <v>0</v>
      </c>
    </row>
    <row r="152" spans="1:2" x14ac:dyDescent="0.4">
      <c r="A152">
        <v>1042</v>
      </c>
      <c r="B152">
        <v>1</v>
      </c>
    </row>
    <row r="153" spans="1:2" x14ac:dyDescent="0.4">
      <c r="A153">
        <v>1043</v>
      </c>
      <c r="B153">
        <v>0</v>
      </c>
    </row>
    <row r="154" spans="1:2" x14ac:dyDescent="0.4">
      <c r="A154">
        <v>1044</v>
      </c>
      <c r="B154">
        <v>0</v>
      </c>
    </row>
    <row r="155" spans="1:2" x14ac:dyDescent="0.4">
      <c r="A155">
        <v>1045</v>
      </c>
      <c r="B155">
        <v>0</v>
      </c>
    </row>
    <row r="156" spans="1:2" x14ac:dyDescent="0.4">
      <c r="A156">
        <v>1046</v>
      </c>
      <c r="B156">
        <v>0</v>
      </c>
    </row>
    <row r="157" spans="1:2" x14ac:dyDescent="0.4">
      <c r="A157">
        <v>1047</v>
      </c>
      <c r="B157">
        <v>0</v>
      </c>
    </row>
    <row r="158" spans="1:2" x14ac:dyDescent="0.4">
      <c r="A158">
        <v>1048</v>
      </c>
      <c r="B158">
        <v>1</v>
      </c>
    </row>
    <row r="159" spans="1:2" x14ac:dyDescent="0.4">
      <c r="A159">
        <v>1049</v>
      </c>
      <c r="B159">
        <v>1</v>
      </c>
    </row>
    <row r="160" spans="1:2" x14ac:dyDescent="0.4">
      <c r="A160">
        <v>1050</v>
      </c>
      <c r="B160">
        <v>0</v>
      </c>
    </row>
    <row r="161" spans="1:2" x14ac:dyDescent="0.4">
      <c r="A161">
        <v>1051</v>
      </c>
      <c r="B161">
        <v>1</v>
      </c>
    </row>
    <row r="162" spans="1:2" x14ac:dyDescent="0.4">
      <c r="A162">
        <v>1052</v>
      </c>
      <c r="B162">
        <v>1</v>
      </c>
    </row>
    <row r="163" spans="1:2" x14ac:dyDescent="0.4">
      <c r="A163">
        <v>1053</v>
      </c>
      <c r="B163">
        <v>0</v>
      </c>
    </row>
    <row r="164" spans="1:2" x14ac:dyDescent="0.4">
      <c r="A164">
        <v>1054</v>
      </c>
      <c r="B164">
        <v>1</v>
      </c>
    </row>
    <row r="165" spans="1:2" x14ac:dyDescent="0.4">
      <c r="A165">
        <v>1055</v>
      </c>
      <c r="B165">
        <v>0</v>
      </c>
    </row>
    <row r="166" spans="1:2" x14ac:dyDescent="0.4">
      <c r="A166">
        <v>1056</v>
      </c>
      <c r="B166">
        <v>0</v>
      </c>
    </row>
    <row r="167" spans="1:2" x14ac:dyDescent="0.4">
      <c r="A167">
        <v>1057</v>
      </c>
      <c r="B167">
        <v>1</v>
      </c>
    </row>
    <row r="168" spans="1:2" x14ac:dyDescent="0.4">
      <c r="A168">
        <v>1058</v>
      </c>
      <c r="B168">
        <v>0</v>
      </c>
    </row>
    <row r="169" spans="1:2" x14ac:dyDescent="0.4">
      <c r="A169">
        <v>1059</v>
      </c>
      <c r="B169">
        <v>0</v>
      </c>
    </row>
    <row r="170" spans="1:2" x14ac:dyDescent="0.4">
      <c r="A170">
        <v>1060</v>
      </c>
      <c r="B170">
        <v>1</v>
      </c>
    </row>
    <row r="171" spans="1:2" x14ac:dyDescent="0.4">
      <c r="A171">
        <v>1061</v>
      </c>
      <c r="B171">
        <v>1</v>
      </c>
    </row>
    <row r="172" spans="1:2" x14ac:dyDescent="0.4">
      <c r="A172">
        <v>1062</v>
      </c>
      <c r="B172">
        <v>0</v>
      </c>
    </row>
    <row r="173" spans="1:2" x14ac:dyDescent="0.4">
      <c r="A173">
        <v>1063</v>
      </c>
      <c r="B173">
        <v>0</v>
      </c>
    </row>
    <row r="174" spans="1:2" x14ac:dyDescent="0.4">
      <c r="A174">
        <v>1064</v>
      </c>
      <c r="B174">
        <v>0</v>
      </c>
    </row>
    <row r="175" spans="1:2" x14ac:dyDescent="0.4">
      <c r="A175">
        <v>1065</v>
      </c>
      <c r="B175">
        <v>0</v>
      </c>
    </row>
    <row r="176" spans="1:2" x14ac:dyDescent="0.4">
      <c r="A176">
        <v>1066</v>
      </c>
      <c r="B176">
        <v>0</v>
      </c>
    </row>
    <row r="177" spans="1:2" x14ac:dyDescent="0.4">
      <c r="A177">
        <v>1067</v>
      </c>
      <c r="B177">
        <v>1</v>
      </c>
    </row>
    <row r="178" spans="1:2" x14ac:dyDescent="0.4">
      <c r="A178">
        <v>1068</v>
      </c>
      <c r="B178">
        <v>1</v>
      </c>
    </row>
    <row r="179" spans="1:2" x14ac:dyDescent="0.4">
      <c r="A179">
        <v>1069</v>
      </c>
      <c r="B179">
        <v>0</v>
      </c>
    </row>
    <row r="180" spans="1:2" x14ac:dyDescent="0.4">
      <c r="A180">
        <v>1070</v>
      </c>
      <c r="B180">
        <v>1</v>
      </c>
    </row>
    <row r="181" spans="1:2" x14ac:dyDescent="0.4">
      <c r="A181">
        <v>1071</v>
      </c>
      <c r="B181">
        <v>1</v>
      </c>
    </row>
    <row r="182" spans="1:2" x14ac:dyDescent="0.4">
      <c r="A182">
        <v>1072</v>
      </c>
      <c r="B182">
        <v>0</v>
      </c>
    </row>
    <row r="183" spans="1:2" x14ac:dyDescent="0.4">
      <c r="A183">
        <v>1073</v>
      </c>
      <c r="B183">
        <v>0</v>
      </c>
    </row>
    <row r="184" spans="1:2" x14ac:dyDescent="0.4">
      <c r="A184">
        <v>1074</v>
      </c>
      <c r="B184">
        <v>1</v>
      </c>
    </row>
    <row r="185" spans="1:2" x14ac:dyDescent="0.4">
      <c r="A185">
        <v>1075</v>
      </c>
      <c r="B185">
        <v>0</v>
      </c>
    </row>
    <row r="186" spans="1:2" x14ac:dyDescent="0.4">
      <c r="A186">
        <v>1076</v>
      </c>
      <c r="B186">
        <v>1</v>
      </c>
    </row>
    <row r="187" spans="1:2" x14ac:dyDescent="0.4">
      <c r="A187">
        <v>1077</v>
      </c>
      <c r="B187">
        <v>0</v>
      </c>
    </row>
    <row r="188" spans="1:2" x14ac:dyDescent="0.4">
      <c r="A188">
        <v>1078</v>
      </c>
      <c r="B188">
        <v>1</v>
      </c>
    </row>
    <row r="189" spans="1:2" x14ac:dyDescent="0.4">
      <c r="A189">
        <v>1079</v>
      </c>
      <c r="B189">
        <v>0</v>
      </c>
    </row>
    <row r="190" spans="1:2" x14ac:dyDescent="0.4">
      <c r="A190">
        <v>1080</v>
      </c>
      <c r="B190">
        <v>0</v>
      </c>
    </row>
    <row r="191" spans="1:2" x14ac:dyDescent="0.4">
      <c r="A191">
        <v>1081</v>
      </c>
      <c r="B191">
        <v>0</v>
      </c>
    </row>
    <row r="192" spans="1:2" x14ac:dyDescent="0.4">
      <c r="A192">
        <v>1082</v>
      </c>
      <c r="B192">
        <v>0</v>
      </c>
    </row>
    <row r="193" spans="1:2" x14ac:dyDescent="0.4">
      <c r="A193">
        <v>1083</v>
      </c>
      <c r="B193">
        <v>0</v>
      </c>
    </row>
    <row r="194" spans="1:2" x14ac:dyDescent="0.4">
      <c r="A194">
        <v>1084</v>
      </c>
      <c r="B194">
        <v>0</v>
      </c>
    </row>
    <row r="195" spans="1:2" x14ac:dyDescent="0.4">
      <c r="A195">
        <v>1085</v>
      </c>
      <c r="B195">
        <v>0</v>
      </c>
    </row>
    <row r="196" spans="1:2" x14ac:dyDescent="0.4">
      <c r="A196">
        <v>1086</v>
      </c>
      <c r="B196">
        <v>0</v>
      </c>
    </row>
    <row r="197" spans="1:2" x14ac:dyDescent="0.4">
      <c r="A197">
        <v>1087</v>
      </c>
      <c r="B197">
        <v>0</v>
      </c>
    </row>
    <row r="198" spans="1:2" x14ac:dyDescent="0.4">
      <c r="A198">
        <v>1088</v>
      </c>
      <c r="B198">
        <v>1</v>
      </c>
    </row>
    <row r="199" spans="1:2" x14ac:dyDescent="0.4">
      <c r="A199">
        <v>1089</v>
      </c>
      <c r="B199">
        <v>1</v>
      </c>
    </row>
    <row r="200" spans="1:2" x14ac:dyDescent="0.4">
      <c r="A200">
        <v>1090</v>
      </c>
      <c r="B200">
        <v>0</v>
      </c>
    </row>
    <row r="201" spans="1:2" x14ac:dyDescent="0.4">
      <c r="A201">
        <v>1091</v>
      </c>
      <c r="B201">
        <v>1</v>
      </c>
    </row>
    <row r="202" spans="1:2" x14ac:dyDescent="0.4">
      <c r="A202">
        <v>1092</v>
      </c>
      <c r="B202">
        <v>1</v>
      </c>
    </row>
    <row r="203" spans="1:2" x14ac:dyDescent="0.4">
      <c r="A203">
        <v>1093</v>
      </c>
      <c r="B203">
        <v>0</v>
      </c>
    </row>
    <row r="204" spans="1:2" x14ac:dyDescent="0.4">
      <c r="A204">
        <v>1094</v>
      </c>
      <c r="B204">
        <v>0</v>
      </c>
    </row>
    <row r="205" spans="1:2" x14ac:dyDescent="0.4">
      <c r="A205">
        <v>1095</v>
      </c>
      <c r="B205">
        <v>1</v>
      </c>
    </row>
    <row r="206" spans="1:2" x14ac:dyDescent="0.4">
      <c r="A206">
        <v>1096</v>
      </c>
      <c r="B206">
        <v>0</v>
      </c>
    </row>
    <row r="207" spans="1:2" x14ac:dyDescent="0.4">
      <c r="A207">
        <v>1097</v>
      </c>
      <c r="B207">
        <v>1</v>
      </c>
    </row>
    <row r="208" spans="1:2" x14ac:dyDescent="0.4">
      <c r="A208">
        <v>1098</v>
      </c>
      <c r="B208">
        <v>1</v>
      </c>
    </row>
    <row r="209" spans="1:2" x14ac:dyDescent="0.4">
      <c r="A209">
        <v>1099</v>
      </c>
      <c r="B209">
        <v>0</v>
      </c>
    </row>
    <row r="210" spans="1:2" x14ac:dyDescent="0.4">
      <c r="A210">
        <v>1100</v>
      </c>
      <c r="B210">
        <v>1</v>
      </c>
    </row>
    <row r="211" spans="1:2" x14ac:dyDescent="0.4">
      <c r="A211">
        <v>1101</v>
      </c>
      <c r="B211">
        <v>0</v>
      </c>
    </row>
    <row r="212" spans="1:2" x14ac:dyDescent="0.4">
      <c r="A212">
        <v>1102</v>
      </c>
      <c r="B212">
        <v>0</v>
      </c>
    </row>
    <row r="213" spans="1:2" x14ac:dyDescent="0.4">
      <c r="A213">
        <v>1103</v>
      </c>
      <c r="B213">
        <v>0</v>
      </c>
    </row>
    <row r="214" spans="1:2" x14ac:dyDescent="0.4">
      <c r="A214">
        <v>1104</v>
      </c>
      <c r="B214">
        <v>0</v>
      </c>
    </row>
    <row r="215" spans="1:2" x14ac:dyDescent="0.4">
      <c r="A215">
        <v>1105</v>
      </c>
      <c r="B215">
        <v>1</v>
      </c>
    </row>
    <row r="216" spans="1:2" x14ac:dyDescent="0.4">
      <c r="A216">
        <v>1106</v>
      </c>
      <c r="B216">
        <v>0</v>
      </c>
    </row>
    <row r="217" spans="1:2" x14ac:dyDescent="0.4">
      <c r="A217">
        <v>1107</v>
      </c>
      <c r="B217">
        <v>0</v>
      </c>
    </row>
    <row r="218" spans="1:2" x14ac:dyDescent="0.4">
      <c r="A218">
        <v>1108</v>
      </c>
      <c r="B218">
        <v>1</v>
      </c>
    </row>
    <row r="219" spans="1:2" x14ac:dyDescent="0.4">
      <c r="A219">
        <v>1109</v>
      </c>
      <c r="B219">
        <v>0</v>
      </c>
    </row>
    <row r="220" spans="1:2" x14ac:dyDescent="0.4">
      <c r="A220">
        <v>1110</v>
      </c>
      <c r="B220">
        <v>1</v>
      </c>
    </row>
    <row r="221" spans="1:2" x14ac:dyDescent="0.4">
      <c r="A221">
        <v>1111</v>
      </c>
      <c r="B221">
        <v>0</v>
      </c>
    </row>
    <row r="222" spans="1:2" x14ac:dyDescent="0.4">
      <c r="A222">
        <v>1112</v>
      </c>
      <c r="B222">
        <v>1</v>
      </c>
    </row>
    <row r="223" spans="1:2" x14ac:dyDescent="0.4">
      <c r="A223">
        <v>1113</v>
      </c>
      <c r="B223">
        <v>0</v>
      </c>
    </row>
    <row r="224" spans="1:2" x14ac:dyDescent="0.4">
      <c r="A224">
        <v>1114</v>
      </c>
      <c r="B224">
        <v>1</v>
      </c>
    </row>
    <row r="225" spans="1:2" x14ac:dyDescent="0.4">
      <c r="A225">
        <v>1115</v>
      </c>
      <c r="B225">
        <v>0</v>
      </c>
    </row>
    <row r="226" spans="1:2" x14ac:dyDescent="0.4">
      <c r="A226">
        <v>1116</v>
      </c>
      <c r="B226">
        <v>1</v>
      </c>
    </row>
    <row r="227" spans="1:2" x14ac:dyDescent="0.4">
      <c r="A227">
        <v>1117</v>
      </c>
      <c r="B227">
        <v>1</v>
      </c>
    </row>
    <row r="228" spans="1:2" x14ac:dyDescent="0.4">
      <c r="A228">
        <v>1118</v>
      </c>
      <c r="B228">
        <v>0</v>
      </c>
    </row>
    <row r="229" spans="1:2" x14ac:dyDescent="0.4">
      <c r="A229">
        <v>1119</v>
      </c>
      <c r="B229">
        <v>1</v>
      </c>
    </row>
    <row r="230" spans="1:2" x14ac:dyDescent="0.4">
      <c r="A230">
        <v>1120</v>
      </c>
      <c r="B230">
        <v>0</v>
      </c>
    </row>
    <row r="231" spans="1:2" x14ac:dyDescent="0.4">
      <c r="A231">
        <v>1121</v>
      </c>
      <c r="B231">
        <v>0</v>
      </c>
    </row>
    <row r="232" spans="1:2" x14ac:dyDescent="0.4">
      <c r="A232">
        <v>1122</v>
      </c>
      <c r="B232">
        <v>0</v>
      </c>
    </row>
    <row r="233" spans="1:2" x14ac:dyDescent="0.4">
      <c r="A233">
        <v>1123</v>
      </c>
      <c r="B233">
        <v>1</v>
      </c>
    </row>
    <row r="234" spans="1:2" x14ac:dyDescent="0.4">
      <c r="A234">
        <v>1124</v>
      </c>
      <c r="B234">
        <v>0</v>
      </c>
    </row>
    <row r="235" spans="1:2" x14ac:dyDescent="0.4">
      <c r="A235">
        <v>1125</v>
      </c>
      <c r="B235">
        <v>0</v>
      </c>
    </row>
    <row r="236" spans="1:2" x14ac:dyDescent="0.4">
      <c r="A236">
        <v>1126</v>
      </c>
      <c r="B236">
        <v>0</v>
      </c>
    </row>
    <row r="237" spans="1:2" x14ac:dyDescent="0.4">
      <c r="A237">
        <v>1127</v>
      </c>
      <c r="B237">
        <v>0</v>
      </c>
    </row>
    <row r="238" spans="1:2" x14ac:dyDescent="0.4">
      <c r="A238">
        <v>1128</v>
      </c>
      <c r="B238">
        <v>0</v>
      </c>
    </row>
    <row r="239" spans="1:2" x14ac:dyDescent="0.4">
      <c r="A239">
        <v>1129</v>
      </c>
      <c r="B239">
        <v>0</v>
      </c>
    </row>
    <row r="240" spans="1:2" x14ac:dyDescent="0.4">
      <c r="A240">
        <v>1130</v>
      </c>
      <c r="B240">
        <v>1</v>
      </c>
    </row>
    <row r="241" spans="1:2" x14ac:dyDescent="0.4">
      <c r="A241">
        <v>1131</v>
      </c>
      <c r="B241">
        <v>1</v>
      </c>
    </row>
    <row r="242" spans="1:2" x14ac:dyDescent="0.4">
      <c r="A242">
        <v>1132</v>
      </c>
      <c r="B242">
        <v>1</v>
      </c>
    </row>
    <row r="243" spans="1:2" x14ac:dyDescent="0.4">
      <c r="A243">
        <v>1133</v>
      </c>
      <c r="B243">
        <v>1</v>
      </c>
    </row>
    <row r="244" spans="1:2" x14ac:dyDescent="0.4">
      <c r="A244">
        <v>1134</v>
      </c>
      <c r="B244">
        <v>0</v>
      </c>
    </row>
    <row r="245" spans="1:2" x14ac:dyDescent="0.4">
      <c r="A245">
        <v>1135</v>
      </c>
      <c r="B245">
        <v>0</v>
      </c>
    </row>
    <row r="246" spans="1:2" x14ac:dyDescent="0.4">
      <c r="A246">
        <v>1136</v>
      </c>
      <c r="B246">
        <v>0</v>
      </c>
    </row>
    <row r="247" spans="1:2" x14ac:dyDescent="0.4">
      <c r="A247">
        <v>1137</v>
      </c>
      <c r="B247">
        <v>0</v>
      </c>
    </row>
    <row r="248" spans="1:2" x14ac:dyDescent="0.4">
      <c r="A248">
        <v>1138</v>
      </c>
      <c r="B248">
        <v>1</v>
      </c>
    </row>
    <row r="249" spans="1:2" x14ac:dyDescent="0.4">
      <c r="A249">
        <v>1139</v>
      </c>
      <c r="B249">
        <v>0</v>
      </c>
    </row>
    <row r="250" spans="1:2" x14ac:dyDescent="0.4">
      <c r="A250">
        <v>1140</v>
      </c>
      <c r="B250">
        <v>1</v>
      </c>
    </row>
    <row r="251" spans="1:2" x14ac:dyDescent="0.4">
      <c r="A251">
        <v>1141</v>
      </c>
      <c r="B251">
        <v>1</v>
      </c>
    </row>
    <row r="252" spans="1:2" x14ac:dyDescent="0.4">
      <c r="A252">
        <v>1142</v>
      </c>
      <c r="B252">
        <v>1</v>
      </c>
    </row>
    <row r="253" spans="1:2" x14ac:dyDescent="0.4">
      <c r="A253">
        <v>1143</v>
      </c>
      <c r="B253">
        <v>0</v>
      </c>
    </row>
    <row r="254" spans="1:2" x14ac:dyDescent="0.4">
      <c r="A254">
        <v>1144</v>
      </c>
      <c r="B254">
        <v>1</v>
      </c>
    </row>
    <row r="255" spans="1:2" x14ac:dyDescent="0.4">
      <c r="A255">
        <v>1145</v>
      </c>
      <c r="B255">
        <v>0</v>
      </c>
    </row>
    <row r="256" spans="1:2" x14ac:dyDescent="0.4">
      <c r="A256">
        <v>1146</v>
      </c>
      <c r="B256">
        <v>0</v>
      </c>
    </row>
    <row r="257" spans="1:2" x14ac:dyDescent="0.4">
      <c r="A257">
        <v>1147</v>
      </c>
      <c r="B257">
        <v>0</v>
      </c>
    </row>
    <row r="258" spans="1:2" x14ac:dyDescent="0.4">
      <c r="A258">
        <v>1148</v>
      </c>
      <c r="B258">
        <v>0</v>
      </c>
    </row>
    <row r="259" spans="1:2" x14ac:dyDescent="0.4">
      <c r="A259">
        <v>1149</v>
      </c>
      <c r="B259">
        <v>0</v>
      </c>
    </row>
    <row r="260" spans="1:2" x14ac:dyDescent="0.4">
      <c r="A260">
        <v>1150</v>
      </c>
      <c r="B260">
        <v>1</v>
      </c>
    </row>
    <row r="261" spans="1:2" x14ac:dyDescent="0.4">
      <c r="A261">
        <v>1151</v>
      </c>
      <c r="B261">
        <v>0</v>
      </c>
    </row>
    <row r="262" spans="1:2" x14ac:dyDescent="0.4">
      <c r="A262">
        <v>1152</v>
      </c>
      <c r="B262">
        <v>0</v>
      </c>
    </row>
    <row r="263" spans="1:2" x14ac:dyDescent="0.4">
      <c r="A263">
        <v>1153</v>
      </c>
      <c r="B263">
        <v>0</v>
      </c>
    </row>
    <row r="264" spans="1:2" x14ac:dyDescent="0.4">
      <c r="A264">
        <v>1154</v>
      </c>
      <c r="B264">
        <v>1</v>
      </c>
    </row>
    <row r="265" spans="1:2" x14ac:dyDescent="0.4">
      <c r="A265">
        <v>1155</v>
      </c>
      <c r="B265">
        <v>1</v>
      </c>
    </row>
    <row r="266" spans="1:2" x14ac:dyDescent="0.4">
      <c r="A266">
        <v>1156</v>
      </c>
      <c r="B266">
        <v>0</v>
      </c>
    </row>
    <row r="267" spans="1:2" x14ac:dyDescent="0.4">
      <c r="A267">
        <v>1157</v>
      </c>
      <c r="B267">
        <v>0</v>
      </c>
    </row>
    <row r="268" spans="1:2" x14ac:dyDescent="0.4">
      <c r="A268">
        <v>1158</v>
      </c>
      <c r="B268">
        <v>0</v>
      </c>
    </row>
    <row r="269" spans="1:2" x14ac:dyDescent="0.4">
      <c r="A269">
        <v>1159</v>
      </c>
      <c r="B269">
        <v>0</v>
      </c>
    </row>
    <row r="270" spans="1:2" x14ac:dyDescent="0.4">
      <c r="A270">
        <v>1160</v>
      </c>
      <c r="B270">
        <v>1</v>
      </c>
    </row>
    <row r="271" spans="1:2" x14ac:dyDescent="0.4">
      <c r="A271">
        <v>1161</v>
      </c>
      <c r="B271">
        <v>0</v>
      </c>
    </row>
    <row r="272" spans="1:2" x14ac:dyDescent="0.4">
      <c r="A272">
        <v>1162</v>
      </c>
      <c r="B272">
        <v>0</v>
      </c>
    </row>
    <row r="273" spans="1:2" x14ac:dyDescent="0.4">
      <c r="A273">
        <v>1163</v>
      </c>
      <c r="B273">
        <v>0</v>
      </c>
    </row>
    <row r="274" spans="1:2" x14ac:dyDescent="0.4">
      <c r="A274">
        <v>1164</v>
      </c>
      <c r="B274">
        <v>1</v>
      </c>
    </row>
    <row r="275" spans="1:2" x14ac:dyDescent="0.4">
      <c r="A275">
        <v>1165</v>
      </c>
      <c r="B275">
        <v>1</v>
      </c>
    </row>
    <row r="276" spans="1:2" x14ac:dyDescent="0.4">
      <c r="A276">
        <v>1166</v>
      </c>
      <c r="B276">
        <v>0</v>
      </c>
    </row>
    <row r="277" spans="1:2" x14ac:dyDescent="0.4">
      <c r="A277">
        <v>1167</v>
      </c>
      <c r="B277">
        <v>1</v>
      </c>
    </row>
    <row r="278" spans="1:2" x14ac:dyDescent="0.4">
      <c r="A278">
        <v>1168</v>
      </c>
      <c r="B278">
        <v>0</v>
      </c>
    </row>
    <row r="279" spans="1:2" x14ac:dyDescent="0.4">
      <c r="A279">
        <v>1169</v>
      </c>
      <c r="B279">
        <v>0</v>
      </c>
    </row>
    <row r="280" spans="1:2" x14ac:dyDescent="0.4">
      <c r="A280">
        <v>1170</v>
      </c>
      <c r="B280">
        <v>0</v>
      </c>
    </row>
    <row r="281" spans="1:2" x14ac:dyDescent="0.4">
      <c r="A281">
        <v>1171</v>
      </c>
      <c r="B281">
        <v>0</v>
      </c>
    </row>
    <row r="282" spans="1:2" x14ac:dyDescent="0.4">
      <c r="A282">
        <v>1172</v>
      </c>
      <c r="B282">
        <v>1</v>
      </c>
    </row>
    <row r="283" spans="1:2" x14ac:dyDescent="0.4">
      <c r="A283">
        <v>1173</v>
      </c>
      <c r="B283">
        <v>0</v>
      </c>
    </row>
    <row r="284" spans="1:2" x14ac:dyDescent="0.4">
      <c r="A284">
        <v>1174</v>
      </c>
      <c r="B284">
        <v>1</v>
      </c>
    </row>
    <row r="285" spans="1:2" x14ac:dyDescent="0.4">
      <c r="A285">
        <v>1175</v>
      </c>
      <c r="B285">
        <v>1</v>
      </c>
    </row>
    <row r="286" spans="1:2" x14ac:dyDescent="0.4">
      <c r="A286">
        <v>1176</v>
      </c>
      <c r="B286">
        <v>1</v>
      </c>
    </row>
    <row r="287" spans="1:2" x14ac:dyDescent="0.4">
      <c r="A287">
        <v>1177</v>
      </c>
      <c r="B287">
        <v>0</v>
      </c>
    </row>
    <row r="288" spans="1:2" x14ac:dyDescent="0.4">
      <c r="A288">
        <v>1178</v>
      </c>
      <c r="B288">
        <v>0</v>
      </c>
    </row>
    <row r="289" spans="1:2" x14ac:dyDescent="0.4">
      <c r="A289">
        <v>1179</v>
      </c>
      <c r="B289">
        <v>0</v>
      </c>
    </row>
    <row r="290" spans="1:2" x14ac:dyDescent="0.4">
      <c r="A290">
        <v>1180</v>
      </c>
      <c r="B290">
        <v>0</v>
      </c>
    </row>
    <row r="291" spans="1:2" x14ac:dyDescent="0.4">
      <c r="A291">
        <v>1181</v>
      </c>
      <c r="B291">
        <v>0</v>
      </c>
    </row>
    <row r="292" spans="1:2" x14ac:dyDescent="0.4">
      <c r="A292">
        <v>1182</v>
      </c>
      <c r="B292">
        <v>0</v>
      </c>
    </row>
    <row r="293" spans="1:2" x14ac:dyDescent="0.4">
      <c r="A293">
        <v>1183</v>
      </c>
      <c r="B293">
        <v>1</v>
      </c>
    </row>
    <row r="294" spans="1:2" x14ac:dyDescent="0.4">
      <c r="A294">
        <v>1184</v>
      </c>
      <c r="B294">
        <v>0</v>
      </c>
    </row>
    <row r="295" spans="1:2" x14ac:dyDescent="0.4">
      <c r="A295">
        <v>1185</v>
      </c>
      <c r="B295">
        <v>0</v>
      </c>
    </row>
    <row r="296" spans="1:2" x14ac:dyDescent="0.4">
      <c r="A296">
        <v>1186</v>
      </c>
      <c r="B296">
        <v>0</v>
      </c>
    </row>
    <row r="297" spans="1:2" x14ac:dyDescent="0.4">
      <c r="A297">
        <v>1187</v>
      </c>
      <c r="B297">
        <v>0</v>
      </c>
    </row>
    <row r="298" spans="1:2" x14ac:dyDescent="0.4">
      <c r="A298">
        <v>1188</v>
      </c>
      <c r="B298">
        <v>1</v>
      </c>
    </row>
    <row r="299" spans="1:2" x14ac:dyDescent="0.4">
      <c r="A299">
        <v>1189</v>
      </c>
      <c r="B299">
        <v>0</v>
      </c>
    </row>
    <row r="300" spans="1:2" x14ac:dyDescent="0.4">
      <c r="A300">
        <v>1190</v>
      </c>
      <c r="B300">
        <v>0</v>
      </c>
    </row>
    <row r="301" spans="1:2" x14ac:dyDescent="0.4">
      <c r="A301">
        <v>1191</v>
      </c>
      <c r="B301">
        <v>0</v>
      </c>
    </row>
    <row r="302" spans="1:2" x14ac:dyDescent="0.4">
      <c r="A302">
        <v>1192</v>
      </c>
      <c r="B302">
        <v>0</v>
      </c>
    </row>
    <row r="303" spans="1:2" x14ac:dyDescent="0.4">
      <c r="A303">
        <v>1193</v>
      </c>
      <c r="B303">
        <v>0</v>
      </c>
    </row>
    <row r="304" spans="1:2" x14ac:dyDescent="0.4">
      <c r="A304">
        <v>1194</v>
      </c>
      <c r="B304">
        <v>0</v>
      </c>
    </row>
    <row r="305" spans="1:2" x14ac:dyDescent="0.4">
      <c r="A305">
        <v>1195</v>
      </c>
      <c r="B305">
        <v>0</v>
      </c>
    </row>
    <row r="306" spans="1:2" x14ac:dyDescent="0.4">
      <c r="A306">
        <v>1196</v>
      </c>
      <c r="B306">
        <v>1</v>
      </c>
    </row>
    <row r="307" spans="1:2" x14ac:dyDescent="0.4">
      <c r="A307">
        <v>1197</v>
      </c>
      <c r="B307">
        <v>1</v>
      </c>
    </row>
    <row r="308" spans="1:2" x14ac:dyDescent="0.4">
      <c r="A308">
        <v>1198</v>
      </c>
      <c r="B308">
        <v>0</v>
      </c>
    </row>
    <row r="309" spans="1:2" x14ac:dyDescent="0.4">
      <c r="A309">
        <v>1199</v>
      </c>
      <c r="B309">
        <v>0</v>
      </c>
    </row>
    <row r="310" spans="1:2" x14ac:dyDescent="0.4">
      <c r="A310">
        <v>1200</v>
      </c>
      <c r="B310">
        <v>0</v>
      </c>
    </row>
    <row r="311" spans="1:2" x14ac:dyDescent="0.4">
      <c r="A311">
        <v>1201</v>
      </c>
      <c r="B311">
        <v>0</v>
      </c>
    </row>
    <row r="312" spans="1:2" x14ac:dyDescent="0.4">
      <c r="A312">
        <v>1202</v>
      </c>
      <c r="B312">
        <v>0</v>
      </c>
    </row>
    <row r="313" spans="1:2" x14ac:dyDescent="0.4">
      <c r="A313">
        <v>1203</v>
      </c>
      <c r="B313">
        <v>0</v>
      </c>
    </row>
    <row r="314" spans="1:2" x14ac:dyDescent="0.4">
      <c r="A314">
        <v>1204</v>
      </c>
      <c r="B314">
        <v>0</v>
      </c>
    </row>
    <row r="315" spans="1:2" x14ac:dyDescent="0.4">
      <c r="A315">
        <v>1205</v>
      </c>
      <c r="B315">
        <v>1</v>
      </c>
    </row>
    <row r="316" spans="1:2" x14ac:dyDescent="0.4">
      <c r="A316">
        <v>1206</v>
      </c>
      <c r="B316">
        <v>1</v>
      </c>
    </row>
    <row r="317" spans="1:2" x14ac:dyDescent="0.4">
      <c r="A317">
        <v>1207</v>
      </c>
      <c r="B317">
        <v>1</v>
      </c>
    </row>
    <row r="318" spans="1:2" x14ac:dyDescent="0.4">
      <c r="A318">
        <v>1208</v>
      </c>
      <c r="B318">
        <v>0</v>
      </c>
    </row>
    <row r="319" spans="1:2" x14ac:dyDescent="0.4">
      <c r="A319">
        <v>1209</v>
      </c>
      <c r="B319">
        <v>0</v>
      </c>
    </row>
    <row r="320" spans="1:2" x14ac:dyDescent="0.4">
      <c r="A320">
        <v>1210</v>
      </c>
      <c r="B320">
        <v>0</v>
      </c>
    </row>
    <row r="321" spans="1:2" x14ac:dyDescent="0.4">
      <c r="A321">
        <v>1211</v>
      </c>
      <c r="B321">
        <v>0</v>
      </c>
    </row>
    <row r="322" spans="1:2" x14ac:dyDescent="0.4">
      <c r="A322">
        <v>1212</v>
      </c>
      <c r="B322">
        <v>0</v>
      </c>
    </row>
    <row r="323" spans="1:2" x14ac:dyDescent="0.4">
      <c r="A323">
        <v>1213</v>
      </c>
      <c r="B323">
        <v>0</v>
      </c>
    </row>
    <row r="324" spans="1:2" x14ac:dyDescent="0.4">
      <c r="A324">
        <v>1214</v>
      </c>
      <c r="B324">
        <v>0</v>
      </c>
    </row>
    <row r="325" spans="1:2" x14ac:dyDescent="0.4">
      <c r="A325">
        <v>1215</v>
      </c>
      <c r="B325">
        <v>0</v>
      </c>
    </row>
    <row r="326" spans="1:2" x14ac:dyDescent="0.4">
      <c r="A326">
        <v>1216</v>
      </c>
      <c r="B326">
        <v>1</v>
      </c>
    </row>
    <row r="327" spans="1:2" x14ac:dyDescent="0.4">
      <c r="A327">
        <v>1217</v>
      </c>
      <c r="B327">
        <v>0</v>
      </c>
    </row>
    <row r="328" spans="1:2" x14ac:dyDescent="0.4">
      <c r="A328">
        <v>1218</v>
      </c>
      <c r="B328">
        <v>1</v>
      </c>
    </row>
    <row r="329" spans="1:2" x14ac:dyDescent="0.4">
      <c r="A329">
        <v>1219</v>
      </c>
      <c r="B329">
        <v>0</v>
      </c>
    </row>
    <row r="330" spans="1:2" x14ac:dyDescent="0.4">
      <c r="A330">
        <v>1220</v>
      </c>
      <c r="B330">
        <v>0</v>
      </c>
    </row>
    <row r="331" spans="1:2" x14ac:dyDescent="0.4">
      <c r="A331">
        <v>1221</v>
      </c>
      <c r="B331">
        <v>0</v>
      </c>
    </row>
    <row r="332" spans="1:2" x14ac:dyDescent="0.4">
      <c r="A332">
        <v>1222</v>
      </c>
      <c r="B332">
        <v>1</v>
      </c>
    </row>
    <row r="333" spans="1:2" x14ac:dyDescent="0.4">
      <c r="A333">
        <v>1223</v>
      </c>
      <c r="B333">
        <v>0</v>
      </c>
    </row>
    <row r="334" spans="1:2" x14ac:dyDescent="0.4">
      <c r="A334">
        <v>1224</v>
      </c>
      <c r="B334">
        <v>0</v>
      </c>
    </row>
    <row r="335" spans="1:2" x14ac:dyDescent="0.4">
      <c r="A335">
        <v>1225</v>
      </c>
      <c r="B335">
        <v>1</v>
      </c>
    </row>
    <row r="336" spans="1:2" x14ac:dyDescent="0.4">
      <c r="A336">
        <v>1226</v>
      </c>
      <c r="B336">
        <v>0</v>
      </c>
    </row>
    <row r="337" spans="1:2" x14ac:dyDescent="0.4">
      <c r="A337">
        <v>1227</v>
      </c>
      <c r="B337">
        <v>0</v>
      </c>
    </row>
    <row r="338" spans="1:2" x14ac:dyDescent="0.4">
      <c r="A338">
        <v>1228</v>
      </c>
      <c r="B338">
        <v>0</v>
      </c>
    </row>
    <row r="339" spans="1:2" x14ac:dyDescent="0.4">
      <c r="A339">
        <v>1229</v>
      </c>
      <c r="B339">
        <v>0</v>
      </c>
    </row>
    <row r="340" spans="1:2" x14ac:dyDescent="0.4">
      <c r="A340">
        <v>1230</v>
      </c>
      <c r="B340">
        <v>0</v>
      </c>
    </row>
    <row r="341" spans="1:2" x14ac:dyDescent="0.4">
      <c r="A341">
        <v>1231</v>
      </c>
      <c r="B341">
        <v>0</v>
      </c>
    </row>
    <row r="342" spans="1:2" x14ac:dyDescent="0.4">
      <c r="A342">
        <v>1232</v>
      </c>
      <c r="B342">
        <v>0</v>
      </c>
    </row>
    <row r="343" spans="1:2" x14ac:dyDescent="0.4">
      <c r="A343">
        <v>1233</v>
      </c>
      <c r="B343">
        <v>0</v>
      </c>
    </row>
    <row r="344" spans="1:2" x14ac:dyDescent="0.4">
      <c r="A344">
        <v>1234</v>
      </c>
      <c r="B344">
        <v>0</v>
      </c>
    </row>
    <row r="345" spans="1:2" x14ac:dyDescent="0.4">
      <c r="A345">
        <v>1235</v>
      </c>
      <c r="B345">
        <v>1</v>
      </c>
    </row>
    <row r="346" spans="1:2" x14ac:dyDescent="0.4">
      <c r="A346">
        <v>1236</v>
      </c>
      <c r="B346">
        <v>0</v>
      </c>
    </row>
    <row r="347" spans="1:2" x14ac:dyDescent="0.4">
      <c r="A347">
        <v>1237</v>
      </c>
      <c r="B347">
        <v>1</v>
      </c>
    </row>
    <row r="348" spans="1:2" x14ac:dyDescent="0.4">
      <c r="A348">
        <v>1238</v>
      </c>
      <c r="B348">
        <v>0</v>
      </c>
    </row>
    <row r="349" spans="1:2" x14ac:dyDescent="0.4">
      <c r="A349">
        <v>1239</v>
      </c>
      <c r="B349">
        <v>1</v>
      </c>
    </row>
    <row r="350" spans="1:2" x14ac:dyDescent="0.4">
      <c r="A350">
        <v>1240</v>
      </c>
      <c r="B350">
        <v>0</v>
      </c>
    </row>
    <row r="351" spans="1:2" x14ac:dyDescent="0.4">
      <c r="A351">
        <v>1241</v>
      </c>
      <c r="B351">
        <v>1</v>
      </c>
    </row>
    <row r="352" spans="1:2" x14ac:dyDescent="0.4">
      <c r="A352">
        <v>1242</v>
      </c>
      <c r="B352">
        <v>1</v>
      </c>
    </row>
    <row r="353" spans="1:2" x14ac:dyDescent="0.4">
      <c r="A353">
        <v>1243</v>
      </c>
      <c r="B353">
        <v>0</v>
      </c>
    </row>
    <row r="354" spans="1:2" x14ac:dyDescent="0.4">
      <c r="A354">
        <v>1244</v>
      </c>
      <c r="B354">
        <v>0</v>
      </c>
    </row>
    <row r="355" spans="1:2" x14ac:dyDescent="0.4">
      <c r="A355">
        <v>1245</v>
      </c>
      <c r="B355">
        <v>0</v>
      </c>
    </row>
    <row r="356" spans="1:2" x14ac:dyDescent="0.4">
      <c r="A356">
        <v>1246</v>
      </c>
      <c r="B356">
        <v>1</v>
      </c>
    </row>
    <row r="357" spans="1:2" x14ac:dyDescent="0.4">
      <c r="A357">
        <v>1247</v>
      </c>
      <c r="B357">
        <v>0</v>
      </c>
    </row>
    <row r="358" spans="1:2" x14ac:dyDescent="0.4">
      <c r="A358">
        <v>1248</v>
      </c>
      <c r="B358">
        <v>1</v>
      </c>
    </row>
    <row r="359" spans="1:2" x14ac:dyDescent="0.4">
      <c r="A359">
        <v>1249</v>
      </c>
      <c r="B359">
        <v>0</v>
      </c>
    </row>
    <row r="360" spans="1:2" x14ac:dyDescent="0.4">
      <c r="A360">
        <v>1250</v>
      </c>
      <c r="B360">
        <v>0</v>
      </c>
    </row>
    <row r="361" spans="1:2" x14ac:dyDescent="0.4">
      <c r="A361">
        <v>1251</v>
      </c>
      <c r="B361">
        <v>1</v>
      </c>
    </row>
    <row r="362" spans="1:2" x14ac:dyDescent="0.4">
      <c r="A362">
        <v>1252</v>
      </c>
      <c r="B362">
        <v>0</v>
      </c>
    </row>
    <row r="363" spans="1:2" x14ac:dyDescent="0.4">
      <c r="A363">
        <v>1253</v>
      </c>
      <c r="B363">
        <v>1</v>
      </c>
    </row>
    <row r="364" spans="1:2" x14ac:dyDescent="0.4">
      <c r="A364">
        <v>1254</v>
      </c>
      <c r="B364">
        <v>1</v>
      </c>
    </row>
    <row r="365" spans="1:2" x14ac:dyDescent="0.4">
      <c r="A365">
        <v>1255</v>
      </c>
      <c r="B365">
        <v>0</v>
      </c>
    </row>
    <row r="366" spans="1:2" x14ac:dyDescent="0.4">
      <c r="A366">
        <v>1256</v>
      </c>
      <c r="B366">
        <v>1</v>
      </c>
    </row>
    <row r="367" spans="1:2" x14ac:dyDescent="0.4">
      <c r="A367">
        <v>1257</v>
      </c>
      <c r="B367">
        <v>0</v>
      </c>
    </row>
    <row r="368" spans="1:2" x14ac:dyDescent="0.4">
      <c r="A368">
        <v>1258</v>
      </c>
      <c r="B368">
        <v>0</v>
      </c>
    </row>
    <row r="369" spans="1:2" x14ac:dyDescent="0.4">
      <c r="A369">
        <v>1259</v>
      </c>
      <c r="B369">
        <v>1</v>
      </c>
    </row>
    <row r="370" spans="1:2" x14ac:dyDescent="0.4">
      <c r="A370">
        <v>1260</v>
      </c>
      <c r="B370">
        <v>1</v>
      </c>
    </row>
    <row r="371" spans="1:2" x14ac:dyDescent="0.4">
      <c r="A371">
        <v>1261</v>
      </c>
      <c r="B371">
        <v>0</v>
      </c>
    </row>
    <row r="372" spans="1:2" x14ac:dyDescent="0.4">
      <c r="A372">
        <v>1262</v>
      </c>
      <c r="B372">
        <v>0</v>
      </c>
    </row>
    <row r="373" spans="1:2" x14ac:dyDescent="0.4">
      <c r="A373">
        <v>1263</v>
      </c>
      <c r="B373">
        <v>1</v>
      </c>
    </row>
    <row r="374" spans="1:2" x14ac:dyDescent="0.4">
      <c r="A374">
        <v>1264</v>
      </c>
      <c r="B374">
        <v>0</v>
      </c>
    </row>
    <row r="375" spans="1:2" x14ac:dyDescent="0.4">
      <c r="A375">
        <v>1265</v>
      </c>
      <c r="B375">
        <v>0</v>
      </c>
    </row>
    <row r="376" spans="1:2" x14ac:dyDescent="0.4">
      <c r="A376">
        <v>1266</v>
      </c>
      <c r="B376">
        <v>1</v>
      </c>
    </row>
    <row r="377" spans="1:2" x14ac:dyDescent="0.4">
      <c r="A377">
        <v>1267</v>
      </c>
      <c r="B377">
        <v>1</v>
      </c>
    </row>
    <row r="378" spans="1:2" x14ac:dyDescent="0.4">
      <c r="A378">
        <v>1268</v>
      </c>
      <c r="B378">
        <v>1</v>
      </c>
    </row>
    <row r="379" spans="1:2" x14ac:dyDescent="0.4">
      <c r="A379">
        <v>1269</v>
      </c>
      <c r="B379">
        <v>0</v>
      </c>
    </row>
    <row r="380" spans="1:2" x14ac:dyDescent="0.4">
      <c r="A380">
        <v>1270</v>
      </c>
      <c r="B380">
        <v>0</v>
      </c>
    </row>
    <row r="381" spans="1:2" x14ac:dyDescent="0.4">
      <c r="A381">
        <v>1271</v>
      </c>
      <c r="B381">
        <v>0</v>
      </c>
    </row>
    <row r="382" spans="1:2" x14ac:dyDescent="0.4">
      <c r="A382">
        <v>1272</v>
      </c>
      <c r="B382">
        <v>0</v>
      </c>
    </row>
    <row r="383" spans="1:2" x14ac:dyDescent="0.4">
      <c r="A383">
        <v>1273</v>
      </c>
      <c r="B383">
        <v>0</v>
      </c>
    </row>
    <row r="384" spans="1:2" x14ac:dyDescent="0.4">
      <c r="A384">
        <v>1274</v>
      </c>
      <c r="B384">
        <v>1</v>
      </c>
    </row>
    <row r="385" spans="1:2" x14ac:dyDescent="0.4">
      <c r="A385">
        <v>1275</v>
      </c>
      <c r="B385">
        <v>1</v>
      </c>
    </row>
    <row r="386" spans="1:2" x14ac:dyDescent="0.4">
      <c r="A386">
        <v>1276</v>
      </c>
      <c r="B386">
        <v>0</v>
      </c>
    </row>
    <row r="387" spans="1:2" x14ac:dyDescent="0.4">
      <c r="A387">
        <v>1277</v>
      </c>
      <c r="B387">
        <v>1</v>
      </c>
    </row>
    <row r="388" spans="1:2" x14ac:dyDescent="0.4">
      <c r="A388">
        <v>1278</v>
      </c>
      <c r="B388">
        <v>0</v>
      </c>
    </row>
    <row r="389" spans="1:2" x14ac:dyDescent="0.4">
      <c r="A389">
        <v>1279</v>
      </c>
      <c r="B389">
        <v>0</v>
      </c>
    </row>
    <row r="390" spans="1:2" x14ac:dyDescent="0.4">
      <c r="A390">
        <v>1280</v>
      </c>
      <c r="B390">
        <v>0</v>
      </c>
    </row>
    <row r="391" spans="1:2" x14ac:dyDescent="0.4">
      <c r="A391">
        <v>1281</v>
      </c>
      <c r="B391">
        <v>0</v>
      </c>
    </row>
    <row r="392" spans="1:2" x14ac:dyDescent="0.4">
      <c r="A392">
        <v>1282</v>
      </c>
      <c r="B392">
        <v>1</v>
      </c>
    </row>
    <row r="393" spans="1:2" x14ac:dyDescent="0.4">
      <c r="A393">
        <v>1283</v>
      </c>
      <c r="B393">
        <v>1</v>
      </c>
    </row>
    <row r="394" spans="1:2" x14ac:dyDescent="0.4">
      <c r="A394">
        <v>1284</v>
      </c>
      <c r="B394">
        <v>0</v>
      </c>
    </row>
    <row r="395" spans="1:2" x14ac:dyDescent="0.4">
      <c r="A395">
        <v>1285</v>
      </c>
      <c r="B395">
        <v>0</v>
      </c>
    </row>
    <row r="396" spans="1:2" x14ac:dyDescent="0.4">
      <c r="A396">
        <v>1286</v>
      </c>
      <c r="B396">
        <v>0</v>
      </c>
    </row>
    <row r="397" spans="1:2" x14ac:dyDescent="0.4">
      <c r="A397">
        <v>1287</v>
      </c>
      <c r="B397">
        <v>1</v>
      </c>
    </row>
    <row r="398" spans="1:2" x14ac:dyDescent="0.4">
      <c r="A398">
        <v>1288</v>
      </c>
      <c r="B398">
        <v>0</v>
      </c>
    </row>
    <row r="399" spans="1:2" x14ac:dyDescent="0.4">
      <c r="A399">
        <v>1289</v>
      </c>
      <c r="B399">
        <v>1</v>
      </c>
    </row>
    <row r="400" spans="1:2" x14ac:dyDescent="0.4">
      <c r="A400">
        <v>1290</v>
      </c>
      <c r="B400">
        <v>0</v>
      </c>
    </row>
    <row r="401" spans="1:2" x14ac:dyDescent="0.4">
      <c r="A401">
        <v>1291</v>
      </c>
      <c r="B401">
        <v>0</v>
      </c>
    </row>
    <row r="402" spans="1:2" x14ac:dyDescent="0.4">
      <c r="A402">
        <v>1292</v>
      </c>
      <c r="B402">
        <v>1</v>
      </c>
    </row>
    <row r="403" spans="1:2" x14ac:dyDescent="0.4">
      <c r="A403">
        <v>1293</v>
      </c>
      <c r="B403">
        <v>0</v>
      </c>
    </row>
    <row r="404" spans="1:2" x14ac:dyDescent="0.4">
      <c r="A404">
        <v>1294</v>
      </c>
      <c r="B404">
        <v>1</v>
      </c>
    </row>
    <row r="405" spans="1:2" x14ac:dyDescent="0.4">
      <c r="A405">
        <v>1295</v>
      </c>
      <c r="B405">
        <v>1</v>
      </c>
    </row>
    <row r="406" spans="1:2" x14ac:dyDescent="0.4">
      <c r="A406">
        <v>1296</v>
      </c>
      <c r="B406">
        <v>0</v>
      </c>
    </row>
    <row r="407" spans="1:2" x14ac:dyDescent="0.4">
      <c r="A407">
        <v>1297</v>
      </c>
      <c r="B407">
        <v>0</v>
      </c>
    </row>
    <row r="408" spans="1:2" x14ac:dyDescent="0.4">
      <c r="A408">
        <v>1298</v>
      </c>
      <c r="B408">
        <v>0</v>
      </c>
    </row>
    <row r="409" spans="1:2" x14ac:dyDescent="0.4">
      <c r="A409">
        <v>1299</v>
      </c>
      <c r="B409">
        <v>0</v>
      </c>
    </row>
    <row r="410" spans="1:2" x14ac:dyDescent="0.4">
      <c r="A410">
        <v>1300</v>
      </c>
      <c r="B410">
        <v>1</v>
      </c>
    </row>
    <row r="411" spans="1:2" x14ac:dyDescent="0.4">
      <c r="A411">
        <v>1301</v>
      </c>
      <c r="B411">
        <v>1</v>
      </c>
    </row>
    <row r="412" spans="1:2" x14ac:dyDescent="0.4">
      <c r="A412">
        <v>1302</v>
      </c>
      <c r="B412">
        <v>1</v>
      </c>
    </row>
    <row r="413" spans="1:2" x14ac:dyDescent="0.4">
      <c r="A413">
        <v>1303</v>
      </c>
      <c r="B413">
        <v>1</v>
      </c>
    </row>
    <row r="414" spans="1:2" x14ac:dyDescent="0.4">
      <c r="A414">
        <v>1304</v>
      </c>
      <c r="B414">
        <v>1</v>
      </c>
    </row>
    <row r="415" spans="1:2" x14ac:dyDescent="0.4">
      <c r="A415">
        <v>1305</v>
      </c>
      <c r="B415">
        <v>0</v>
      </c>
    </row>
    <row r="416" spans="1:2" x14ac:dyDescent="0.4">
      <c r="A416">
        <v>1306</v>
      </c>
      <c r="B416">
        <v>1</v>
      </c>
    </row>
    <row r="417" spans="1:2" x14ac:dyDescent="0.4">
      <c r="A417">
        <v>1307</v>
      </c>
      <c r="B417">
        <v>0</v>
      </c>
    </row>
    <row r="418" spans="1:2" x14ac:dyDescent="0.4">
      <c r="A418">
        <v>1308</v>
      </c>
      <c r="B418">
        <v>0</v>
      </c>
    </row>
    <row r="419" spans="1:2" x14ac:dyDescent="0.4">
      <c r="A419">
        <v>1309</v>
      </c>
      <c r="B419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5.CSV出力">
                <anchor moveWithCells="1" sizeWithCells="1">
                  <from>
                    <xdr:col>3</xdr:col>
                    <xdr:colOff>47625</xdr:colOff>
                    <xdr:row>1</xdr:row>
                    <xdr:rowOff>38100</xdr:rowOff>
                  </from>
                  <to>
                    <xdr:col>4</xdr:col>
                    <xdr:colOff>561975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EC42C8-0BB1-4CFC-BFB3-3F5D06F78C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訓練データ</vt:lpstr>
      <vt:lpstr>テストデータ</vt:lpstr>
      <vt:lpstr>訓練データ(加工後&amp;ロジスティック回帰)</vt:lpstr>
      <vt:lpstr>テストデータ(加工後&amp;ロジスティック回帰)</vt:lpstr>
      <vt:lpstr>CSV出力用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2022-08-23T06:55:02Z</dcterms:created>
  <dcterms:modified xsi:type="dcterms:W3CDTF">2022-08-23T15:52:01Z</dcterms:modified>
</cp:coreProperties>
</file>